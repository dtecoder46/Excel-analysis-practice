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" sheetId="1" state="visible" r:id="rId3"/>
    <sheet name="pivot table + ANOVA" sheetId="2" state="visible" r:id="rId4"/>
    <sheet name="descriptive stats" sheetId="3" state="visible" r:id="rId5"/>
    <sheet name="pie chart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<sst xmlns="http://schemas.openxmlformats.org/spreadsheetml/2006/main" count="8674" uniqueCount="3556">
  <si>
    <t xml:space="preserve">FID</t>
  </si>
  <si>
    <t xml:space="preserve">id</t>
  </si>
  <si>
    <t xml:space="preserve">agency_code</t>
  </si>
  <si>
    <t xml:space="preserve">region_code</t>
  </si>
  <si>
    <t xml:space="preserve">national_fire_id</t>
  </si>
  <si>
    <t xml:space="preserve">agency_fire_id</t>
  </si>
  <si>
    <t xml:space="preserve">national_fire_cause</t>
  </si>
  <si>
    <t xml:space="preserve">fire_type_ics</t>
  </si>
  <si>
    <t xml:space="preserve">severity_nearest_dsr</t>
  </si>
  <si>
    <t xml:space="preserve">fire_was_prescribed</t>
  </si>
  <si>
    <t xml:space="preserve">percent_contained</t>
  </si>
  <si>
    <t xml:space="preserve">fire_size</t>
  </si>
  <si>
    <t xml:space="preserve">response_type</t>
  </si>
  <si>
    <t xml:space="preserve">stage_of_control_status</t>
  </si>
  <si>
    <t xml:space="preserve">situation_report_date</t>
  </si>
  <si>
    <t xml:space="preserve">status_date</t>
  </si>
  <si>
    <t xml:space="preserve">latitude</t>
  </si>
  <si>
    <t xml:space="preserve">longitude</t>
  </si>
  <si>
    <t xml:space="preserve">geometry</t>
  </si>
  <si>
    <t xml:space="preserve">fire_year</t>
  </si>
  <si>
    <t xml:space="preserve">status_year</t>
  </si>
  <si>
    <t xml:space="preserve">record_start</t>
  </si>
  <si>
    <t xml:space="preserve">record_end</t>
  </si>
  <si>
    <t xml:space="preserve">cwfif_national_activefires.fid--5b5096eb_19f85a2ef78_-5a8c</t>
  </si>
  <si>
    <t xml:space="preserve">AB</t>
  </si>
  <si>
    <t xml:space="preserve">LWF</t>
  </si>
  <si>
    <t xml:space="preserve">2026_AB_LWF-083-2026</t>
  </si>
  <si>
    <t xml:space="preserve">LWF-083-2026</t>
  </si>
  <si>
    <t xml:space="preserve">N</t>
  </si>
  <si>
    <t xml:space="preserve">FUL</t>
  </si>
  <si>
    <t xml:space="preserve">BH</t>
  </si>
  <si>
    <t xml:space="preserve">POINT (-920123.892682 894098.645139)</t>
  </si>
  <si>
    <t xml:space="preserve">cwfif_national_activefires.fid--5b5096eb_19f85a2ef78_-5a8b</t>
  </si>
  <si>
    <t xml:space="preserve">HWF</t>
  </si>
  <si>
    <t xml:space="preserve">2026_AB_HWF-113-2026</t>
  </si>
  <si>
    <t xml:space="preserve">HWF-113-2026</t>
  </si>
  <si>
    <t xml:space="preserve">U</t>
  </si>
  <si>
    <t xml:space="preserve">UC</t>
  </si>
  <si>
    <t xml:space="preserve">POINT (-1092533.106795 1311654.717263)</t>
  </si>
  <si>
    <t xml:space="preserve">cwfif_national_activefires.fid--5b5096eb_19f85a2ef78_-5a8a</t>
  </si>
  <si>
    <t xml:space="preserve">2026_AB_LWF-084-2026</t>
  </si>
  <si>
    <t xml:space="preserve">LWF-084-2026</t>
  </si>
  <si>
    <t xml:space="preserve">POINT (-921519.249959 903919.00468)</t>
  </si>
  <si>
    <t xml:space="preserve">cwfif_national_activefires.fid--5b5096eb_19f85a2ef78_-5a89</t>
  </si>
  <si>
    <t xml:space="preserve">2026_AB_HWF-114-2026</t>
  </si>
  <si>
    <t xml:space="preserve">HWF-114-2026</t>
  </si>
  <si>
    <t xml:space="preserve">POINT (-1212225.823284 1369488.529376)</t>
  </si>
  <si>
    <t xml:space="preserve">cwfif_national_activefires.fid--5b5096eb_19f85a2ef78_-5a88</t>
  </si>
  <si>
    <t xml:space="preserve">2026_AB_LWF-082-2026</t>
  </si>
  <si>
    <t xml:space="preserve">LWF-082-2026</t>
  </si>
  <si>
    <t xml:space="preserve">POINT (-956465.758417 886439.765128)</t>
  </si>
  <si>
    <t xml:space="preserve">cwfif_national_activefires.fid--5b5096eb_19f85a2ef78_-5a87</t>
  </si>
  <si>
    <t xml:space="preserve">2026_AB_LWF-081-2026</t>
  </si>
  <si>
    <t xml:space="preserve">LWF-081-2026</t>
  </si>
  <si>
    <t xml:space="preserve">o</t>
  </si>
  <si>
    <t xml:space="preserve">POINT (-953385.950998 857089.639223)</t>
  </si>
  <si>
    <t xml:space="preserve">cwfif_national_activefires.fid--5b5096eb_19f85a2ef78_-5a86</t>
  </si>
  <si>
    <t xml:space="preserve">PWF</t>
  </si>
  <si>
    <t xml:space="preserve">2026_AB_PWF-056-2026</t>
  </si>
  <si>
    <t xml:space="preserve">PWF-056-2026</t>
  </si>
  <si>
    <t xml:space="preserve">POINT (-1316520.788436 1202987.31373)</t>
  </si>
  <si>
    <t xml:space="preserve">cwfif_national_activefires.fid--5b5096eb_19f85a2ef78_-5a85</t>
  </si>
  <si>
    <t xml:space="preserve">MWF</t>
  </si>
  <si>
    <t xml:space="preserve">2026_AB_MWF-038-2026</t>
  </si>
  <si>
    <t xml:space="preserve">MWF-038-2026</t>
  </si>
  <si>
    <t xml:space="preserve">MON</t>
  </si>
  <si>
    <t xml:space="preserve">POINT (-1019289.422026 973942.870373)</t>
  </si>
  <si>
    <t xml:space="preserve">cwfif_national_activefires.fid--5b5096eb_19f85a2ef78_-5a84</t>
  </si>
  <si>
    <t xml:space="preserve">2026_AB_HWF-094-2026</t>
  </si>
  <si>
    <t xml:space="preserve">HWF-094-2026</t>
  </si>
  <si>
    <t xml:space="preserve">MOD</t>
  </si>
  <si>
    <t xml:space="preserve">POINT (-1069417.577148 1314020.386942)</t>
  </si>
  <si>
    <t xml:space="preserve">cwfif_national_activefires.fid--5b5096eb_19f85a2ef78_-5a83</t>
  </si>
  <si>
    <t xml:space="preserve">2026_AB_HWF-096-2026</t>
  </si>
  <si>
    <t xml:space="preserve">HWF-096-2026</t>
  </si>
  <si>
    <t xml:space="preserve">POINT (-1245306.827591 1304154.115057)</t>
  </si>
  <si>
    <t xml:space="preserve">cwfif_national_activefires.fid--5b5096eb_19f85a2ef78_-5a82</t>
  </si>
  <si>
    <t xml:space="preserve">RWF</t>
  </si>
  <si>
    <t xml:space="preserve">2026_AB_RWF-036-2026</t>
  </si>
  <si>
    <t xml:space="preserve">RWF-036-2026</t>
  </si>
  <si>
    <t xml:space="preserve">POINT (-1350796.215932 534517.58749)</t>
  </si>
  <si>
    <t xml:space="preserve">cwfif_national_activefires.fid--5b5096eb_19f85a2ef78_-5a81</t>
  </si>
  <si>
    <t xml:space="preserve">2026_AB_HWF-005-2026</t>
  </si>
  <si>
    <t xml:space="preserve">HWF-005-2026</t>
  </si>
  <si>
    <t xml:space="preserve">H</t>
  </si>
  <si>
    <t xml:space="preserve">POINT (-1092101.985211 1208166.265712)</t>
  </si>
  <si>
    <t xml:space="preserve">cwfif_national_activefires.fid--5b5096eb_19f85a2ef78_-5a80</t>
  </si>
  <si>
    <t xml:space="preserve">2026_AB_HWF-003-2026</t>
  </si>
  <si>
    <t xml:space="preserve">HWF-003-2026</t>
  </si>
  <si>
    <t xml:space="preserve">POINT (-1125205.247982 1224610.225009)</t>
  </si>
  <si>
    <t xml:space="preserve">cwfif_national_activefires.fid--5b5096eb_19f85a2ef78_-5a7f</t>
  </si>
  <si>
    <t xml:space="preserve">BC</t>
  </si>
  <si>
    <t xml:space="preserve">V3</t>
  </si>
  <si>
    <t xml:space="preserve">2026_BC_2026-V30852</t>
  </si>
  <si>
    <t xml:space="preserve">2026-V30852</t>
  </si>
  <si>
    <t xml:space="preserve">POINT (-1908447.167917 568495.189572)</t>
  </si>
  <si>
    <t xml:space="preserve">cwfif_national_activefires.fid--5b5096eb_19f85a2ef78_-5a7e</t>
  </si>
  <si>
    <t xml:space="preserve">C1</t>
  </si>
  <si>
    <t xml:space="preserve">2026_BC_2026-C10968</t>
  </si>
  <si>
    <t xml:space="preserve">2026-C10968</t>
  </si>
  <si>
    <t xml:space="preserve">POINT (-1827160.452382 902760.212936)</t>
  </si>
  <si>
    <t xml:space="preserve">cwfif_national_activefires.fid--5b5096eb_19f85a2ef78_-5a7d</t>
  </si>
  <si>
    <t xml:space="preserve">R9</t>
  </si>
  <si>
    <t xml:space="preserve">2026_BC_2026-R91074</t>
  </si>
  <si>
    <t xml:space="preserve">2026-R91074</t>
  </si>
  <si>
    <t xml:space="preserve">OC</t>
  </si>
  <si>
    <t xml:space="preserve">POINT (-1992723.382724 1814520.579441)</t>
  </si>
  <si>
    <t xml:space="preserve">cwfif_national_activefires.fid--5b5096eb_19f85a2ef78_-5a7c</t>
  </si>
  <si>
    <t xml:space="preserve">2026_BC_2026-V31008</t>
  </si>
  <si>
    <t xml:space="preserve">2026-V31008</t>
  </si>
  <si>
    <t xml:space="preserve">POINT (-1962883.507958 543211.201976)</t>
  </si>
  <si>
    <t xml:space="preserve">cwfif_national_activefires.fid--5b5096eb_19f85a2ef78_-5a7b</t>
  </si>
  <si>
    <t xml:space="preserve">V1</t>
  </si>
  <si>
    <t xml:space="preserve">2026_BC_2026-V10755</t>
  </si>
  <si>
    <t xml:space="preserve">2026-V10755</t>
  </si>
  <si>
    <t xml:space="preserve">POINT (-1838152.187521 493106.708404)</t>
  </si>
  <si>
    <t xml:space="preserve">cwfif_national_activefires.fid--5b5096eb_19f85a2ef78_-5a7a</t>
  </si>
  <si>
    <t xml:space="preserve">2026_BC_2026-V10742</t>
  </si>
  <si>
    <t xml:space="preserve">2026-V10742</t>
  </si>
  <si>
    <t xml:space="preserve">POINT (-1840333.902542 487524.588551)</t>
  </si>
  <si>
    <t xml:space="preserve">cwfif_national_activefires.fid--5b5096eb_19f85a2ef78_-5a79</t>
  </si>
  <si>
    <t xml:space="preserve">N6</t>
  </si>
  <si>
    <t xml:space="preserve">2026_BC_2026-N61072</t>
  </si>
  <si>
    <t xml:space="preserve">2026-N61072</t>
  </si>
  <si>
    <t xml:space="preserve">POINT (-1656083.580211 316567.256559)</t>
  </si>
  <si>
    <t xml:space="preserve">cwfif_national_activefires.fid--5b5096eb_19f85a2ef78_-5a78</t>
  </si>
  <si>
    <t xml:space="preserve">N4</t>
  </si>
  <si>
    <t xml:space="preserve">2026_BC_2026-N41041</t>
  </si>
  <si>
    <t xml:space="preserve">2026-N41041</t>
  </si>
  <si>
    <t xml:space="preserve">POINT (-1582338.769613 565088.474975)</t>
  </si>
  <si>
    <t xml:space="preserve">cwfif_national_activefires.fid--5b5096eb_19f85a2ef78_-5a77</t>
  </si>
  <si>
    <t xml:space="preserve">G6</t>
  </si>
  <si>
    <t xml:space="preserve">2026_BC_2026-G61062</t>
  </si>
  <si>
    <t xml:space="preserve">2026-G61062</t>
  </si>
  <si>
    <t xml:space="preserve">POINT (-1845389.334124 1374350.190305)</t>
  </si>
  <si>
    <t xml:space="preserve">cwfif_national_activefires.fid--5b5096eb_19f85a2ef78_-5a76</t>
  </si>
  <si>
    <t xml:space="preserve">2026_BC_2026-C10988</t>
  </si>
  <si>
    <t xml:space="preserve">2026-C10988</t>
  </si>
  <si>
    <t xml:space="preserve">POINT (-1661221.013544 798738.480399)</t>
  </si>
  <si>
    <t xml:space="preserve">cwfif_national_activefires.fid--5b5096eb_19f85a2ef78_-5a75</t>
  </si>
  <si>
    <t xml:space="preserve">C3</t>
  </si>
  <si>
    <t xml:space="preserve">2026_BC_2026-C31000</t>
  </si>
  <si>
    <t xml:space="preserve">2026-C31000</t>
  </si>
  <si>
    <t xml:space="preserve">POINT (-1656425.131838 765116.432003)</t>
  </si>
  <si>
    <t xml:space="preserve">cwfif_national_activefires.fid--5b5096eb_19f85a2ef78_-5a74</t>
  </si>
  <si>
    <t xml:space="preserve">2026_BC_2026-C10981</t>
  </si>
  <si>
    <t xml:space="preserve">2026-C10981</t>
  </si>
  <si>
    <t xml:space="preserve">POINT (-1711081.240872 798178.235022)</t>
  </si>
  <si>
    <t xml:space="preserve">cwfif_national_activefires.fid--5b5096eb_19f85a2ef78_-5a73</t>
  </si>
  <si>
    <t xml:space="preserve">2026_BC_2026-N41073</t>
  </si>
  <si>
    <t xml:space="preserve">2026-N41073</t>
  </si>
  <si>
    <t xml:space="preserve">POINT (-1575769.497466 571006.199677)</t>
  </si>
  <si>
    <t xml:space="preserve">cwfif_national_activefires.fid--5b5096eb_19f85a2ef78_-5a72</t>
  </si>
  <si>
    <t xml:space="preserve">2026_BC_2026-V10877</t>
  </si>
  <si>
    <t xml:space="preserve">2026-V10877</t>
  </si>
  <si>
    <t xml:space="preserve">POINT (-1840954.72056 393215.201422)</t>
  </si>
  <si>
    <t xml:space="preserve">cwfif_national_activefires.fid--5b5096eb_19f85a2ef78_-5a71</t>
  </si>
  <si>
    <t xml:space="preserve">2026_BC_2026-R90834</t>
  </si>
  <si>
    <t xml:space="preserve">2026-R90834</t>
  </si>
  <si>
    <t xml:space="preserve">POINT (-1778463.342511 1667073.929758)</t>
  </si>
  <si>
    <t xml:space="preserve">cwfif_national_activefires.fid--5b5096eb_19f85a2ef78_-5a70</t>
  </si>
  <si>
    <t xml:space="preserve">2026_BC_2026-V10886</t>
  </si>
  <si>
    <t xml:space="preserve">2026-V10886</t>
  </si>
  <si>
    <t xml:space="preserve">POINT (-1843985.255954 394232.688077)</t>
  </si>
  <si>
    <t xml:space="preserve">cwfif_national_activefires.fid--5b5096eb_19f85a2ef78_-5a6f</t>
  </si>
  <si>
    <t xml:space="preserve">2026_BC_2026-V10898</t>
  </si>
  <si>
    <t xml:space="preserve">2026-V10898</t>
  </si>
  <si>
    <t xml:space="preserve">POINT (-1843112.201081 397110.660305)</t>
  </si>
  <si>
    <t xml:space="preserve">cwfif_national_activefires.fid--5b5096eb_19f85a2ef78_-5a6e</t>
  </si>
  <si>
    <t xml:space="preserve">2026_BC_2026-V10942</t>
  </si>
  <si>
    <t xml:space="preserve">2026-V10942</t>
  </si>
  <si>
    <t xml:space="preserve">POINT (-1842134.513287 405137.737835)</t>
  </si>
  <si>
    <t xml:space="preserve">cwfif_national_activefires.fid--5b5096eb_19f85a2ef78_-5a6d</t>
  </si>
  <si>
    <t xml:space="preserve">2026_BC_2026-V10958</t>
  </si>
  <si>
    <t xml:space="preserve">2026-V10958</t>
  </si>
  <si>
    <t xml:space="preserve">POINT (-1838876.578 393516.53295)</t>
  </si>
  <si>
    <t xml:space="preserve">cwfif_national_activefires.fid--5b5096eb_19f85a2ef78_-5a6c</t>
  </si>
  <si>
    <t xml:space="preserve">2026_BC_2026-V11058</t>
  </si>
  <si>
    <t xml:space="preserve">2026-V11058</t>
  </si>
  <si>
    <t xml:space="preserve">POINT (-1842475.285686 394920.125162)</t>
  </si>
  <si>
    <t xml:space="preserve">cwfif_national_activefires.fid--5b5096eb_19f85a2ef78_-5a6b</t>
  </si>
  <si>
    <t xml:space="preserve">2026_BC_2026-N61067</t>
  </si>
  <si>
    <t xml:space="preserve">2026-N61067</t>
  </si>
  <si>
    <t xml:space="preserve">POINT (-1709388.958093 358624.662376)</t>
  </si>
  <si>
    <t xml:space="preserve">cwfif_national_activefires.fid--5b5096eb_19f85a2ef78_-5a6a</t>
  </si>
  <si>
    <t xml:space="preserve">2026_BC_2026-V30941</t>
  </si>
  <si>
    <t xml:space="preserve">2026-V30941</t>
  </si>
  <si>
    <t xml:space="preserve">POINT (-1887776.207113 552666.377734)</t>
  </si>
  <si>
    <t xml:space="preserve">cwfif_national_activefires.fid--5b5096eb_19f85a2ef78_-5a69</t>
  </si>
  <si>
    <t xml:space="preserve">N2</t>
  </si>
  <si>
    <t xml:space="preserve">2026_BC_2026-N21071</t>
  </si>
  <si>
    <t xml:space="preserve">2026-N21071</t>
  </si>
  <si>
    <t xml:space="preserve">POINT (-1494413.390979 406908.028033)</t>
  </si>
  <si>
    <t xml:space="preserve">cwfif_national_activefires.fid--5b5096eb_19f85a2ef78_-5a68</t>
  </si>
  <si>
    <t xml:space="preserve">C5</t>
  </si>
  <si>
    <t xml:space="preserve">2026_BC_2026-C51039</t>
  </si>
  <si>
    <t xml:space="preserve">2026-C51039</t>
  </si>
  <si>
    <t xml:space="preserve">POINT (-1903328.885079 856380.163353)</t>
  </si>
  <si>
    <t xml:space="preserve">cwfif_national_activefires.fid--5b5096eb_19f85a2ef78_-5a67</t>
  </si>
  <si>
    <t xml:space="preserve">2026_BC_2026-C50929</t>
  </si>
  <si>
    <t xml:space="preserve">2026-C50929</t>
  </si>
  <si>
    <t xml:space="preserve">POINT (-1951755.027576 882711.077415)</t>
  </si>
  <si>
    <t xml:space="preserve">cwfif_national_activefires.fid--5b5096eb_19f85a2ef78_-5a66</t>
  </si>
  <si>
    <t xml:space="preserve">N1</t>
  </si>
  <si>
    <t xml:space="preserve">2026_BC_2026-N10944</t>
  </si>
  <si>
    <t xml:space="preserve">2026-N10944</t>
  </si>
  <si>
    <t xml:space="preserve">POINT (-1509406.444246 323873.689155)</t>
  </si>
  <si>
    <t xml:space="preserve">cwfif_national_activefires.fid--5b5096eb_19f85a2ef78_-5a65</t>
  </si>
  <si>
    <t xml:space="preserve">N5</t>
  </si>
  <si>
    <t xml:space="preserve">2026_BC_2026-N51066</t>
  </si>
  <si>
    <t xml:space="preserve">2026-N51066</t>
  </si>
  <si>
    <t xml:space="preserve">POINT (-1553745.385132 476031.392933)</t>
  </si>
  <si>
    <t xml:space="preserve">cwfif_national_activefires.fid--5b5096eb_19f85a2ef78_-5a64</t>
  </si>
  <si>
    <t xml:space="preserve">K4</t>
  </si>
  <si>
    <t xml:space="preserve">2026_BC_2026-K40931</t>
  </si>
  <si>
    <t xml:space="preserve">2026-K40931</t>
  </si>
  <si>
    <t xml:space="preserve">POINT (-1631857.404031 445446.3491)</t>
  </si>
  <si>
    <t xml:space="preserve">cwfif_national_activefires.fid--5b5096eb_19f85a2ef78_-5a63</t>
  </si>
  <si>
    <t xml:space="preserve">V6</t>
  </si>
  <si>
    <t xml:space="preserve">2026_BC_2026-V60767</t>
  </si>
  <si>
    <t xml:space="preserve">2026-V60767</t>
  </si>
  <si>
    <t xml:space="preserve">POINT (-2041994.370713 453810.034514)</t>
  </si>
  <si>
    <t xml:space="preserve">cwfif_national_activefires.fid--5b5096eb_19f85a2ef78_-5a62</t>
  </si>
  <si>
    <t xml:space="preserve">2026_BC_2026-V10858</t>
  </si>
  <si>
    <t xml:space="preserve">2026-V10858</t>
  </si>
  <si>
    <t xml:space="preserve">POINT (-1844570.165215 439960.763676)</t>
  </si>
  <si>
    <t xml:space="preserve">cwfif_national_activefires.fid--5b5096eb_19f85a2ef78_-5a61</t>
  </si>
  <si>
    <t xml:space="preserve">2026_BC_2026-K40899</t>
  </si>
  <si>
    <t xml:space="preserve">2026-K40899</t>
  </si>
  <si>
    <t xml:space="preserve">POINT (-1630549.719454 446310.854986)</t>
  </si>
  <si>
    <t xml:space="preserve">cwfif_national_activefires.fid--5b5096eb_19f85a2ef78_-5a60</t>
  </si>
  <si>
    <t xml:space="preserve">K7</t>
  </si>
  <si>
    <t xml:space="preserve">2026_BC_2026-K70748</t>
  </si>
  <si>
    <t xml:space="preserve">2026-K70748</t>
  </si>
  <si>
    <t xml:space="preserve">POINT (-1827196.078991 646233.033786)</t>
  </si>
  <si>
    <t xml:space="preserve">cwfif_national_activefires.fid--5b5096eb_19f85a2ef78_-5a5f</t>
  </si>
  <si>
    <t xml:space="preserve">C2</t>
  </si>
  <si>
    <t xml:space="preserve">2026_BC_2026-C20940</t>
  </si>
  <si>
    <t xml:space="preserve">2026-C20940</t>
  </si>
  <si>
    <t xml:space="preserve">POINT (-1801606.335983 744680.878026)</t>
  </si>
  <si>
    <t xml:space="preserve">cwfif_national_activefires.fid--5b5096eb_19f85a2ef78_-5a5e</t>
  </si>
  <si>
    <t xml:space="preserve">2026_BC_2026-C50946</t>
  </si>
  <si>
    <t xml:space="preserve">2026-C50946</t>
  </si>
  <si>
    <t xml:space="preserve">POINT (-1927462.816351 838441.544938)</t>
  </si>
  <si>
    <t xml:space="preserve">cwfif_national_activefires.fid--5b5096eb_19f85a2ef78_-5a5d</t>
  </si>
  <si>
    <t xml:space="preserve">2026_BC_2026-C51022</t>
  </si>
  <si>
    <t xml:space="preserve">2026-C51022</t>
  </si>
  <si>
    <t xml:space="preserve">POINT (-1952152.263249 909463.692416)</t>
  </si>
  <si>
    <t xml:space="preserve">cwfif_national_activefires.fid--5b5096eb_19f85a2ef78_-5a5c</t>
  </si>
  <si>
    <t xml:space="preserve">2026_BC_2026-N51068</t>
  </si>
  <si>
    <t xml:space="preserve">2026-N51068</t>
  </si>
  <si>
    <t xml:space="preserve">POINT (-1553010.297331 475943.222977)</t>
  </si>
  <si>
    <t xml:space="preserve">cwfif_national_activefires.fid--5b5096eb_19f85a2ef78_-5a5b</t>
  </si>
  <si>
    <t xml:space="preserve">C4</t>
  </si>
  <si>
    <t xml:space="preserve">2026_BC_2026-C40897</t>
  </si>
  <si>
    <t xml:space="preserve">2026-C40897</t>
  </si>
  <si>
    <t xml:space="preserve">POINT (-1799910.259505 630540.737629)</t>
  </si>
  <si>
    <t xml:space="preserve">cwfif_national_activefires.fid--5b5096eb_19f85a2ef78_-5a5a</t>
  </si>
  <si>
    <t xml:space="preserve">VA</t>
  </si>
  <si>
    <t xml:space="preserve">2026_BC_2026-VA1043</t>
  </si>
  <si>
    <t xml:space="preserve">2026-VA1043</t>
  </si>
  <si>
    <t xml:space="preserve">POINT (-1996377.481551 876584.155849)</t>
  </si>
  <si>
    <t xml:space="preserve">cwfif_national_activefires.fid--5b5096eb_19f85a2ef78_-5a59</t>
  </si>
  <si>
    <t xml:space="preserve">2026_BC_2026-C40930</t>
  </si>
  <si>
    <t xml:space="preserve">2026-C40930</t>
  </si>
  <si>
    <t xml:space="preserve">POINT (-1710053.68412 640184.241542)</t>
  </si>
  <si>
    <t xml:space="preserve">cwfif_national_activefires.fid--5b5096eb_19f85a2ef78_-5a58</t>
  </si>
  <si>
    <t xml:space="preserve">2026_BC_2026-N51014</t>
  </si>
  <si>
    <t xml:space="preserve">2026-N51014</t>
  </si>
  <si>
    <t xml:space="preserve">POINT (-1631285.90298 361586.065832)</t>
  </si>
  <si>
    <t xml:space="preserve">cwfif_national_activefires.fid--5b5096eb_19f85a2ef78_-5a57</t>
  </si>
  <si>
    <t xml:space="preserve">2026_BC_2026-N50873</t>
  </si>
  <si>
    <t xml:space="preserve">2026-N50873</t>
  </si>
  <si>
    <t xml:space="preserve">POINT (-1622339.345178 403953.432391)</t>
  </si>
  <si>
    <t xml:space="preserve">cwfif_national_activefires.fid--5b5096eb_19f85a2ef78_-5a56</t>
  </si>
  <si>
    <t xml:space="preserve">2026_BC_2026-C10964</t>
  </si>
  <si>
    <t xml:space="preserve">2026-C10964</t>
  </si>
  <si>
    <t xml:space="preserve">POINT (-1832381.141579 892926.190999)</t>
  </si>
  <si>
    <t xml:space="preserve">cwfif_national_activefires.fid--5b5096eb_19f85a2ef78_-5a55</t>
  </si>
  <si>
    <t xml:space="preserve">G4</t>
  </si>
  <si>
    <t xml:space="preserve">2026_BC_2026-G40973</t>
  </si>
  <si>
    <t xml:space="preserve">2026-G40973</t>
  </si>
  <si>
    <t xml:space="preserve">POINT (-1795841.906106 914417.887481)</t>
  </si>
  <si>
    <t xml:space="preserve">cwfif_national_activefires.fid--5b5096eb_19f85a2ef78_-5a54</t>
  </si>
  <si>
    <t xml:space="preserve">2026_BC_2026-N10947</t>
  </si>
  <si>
    <t xml:space="preserve">2026-N10947</t>
  </si>
  <si>
    <t xml:space="preserve">POINT (-1512723.728053 323491.625919)</t>
  </si>
  <si>
    <t xml:space="preserve">cwfif_national_activefires.fid--5b5096eb_19f85a2ef78_-5a53</t>
  </si>
  <si>
    <t xml:space="preserve">2026_BC_2026-N10982</t>
  </si>
  <si>
    <t xml:space="preserve">2026-N10982</t>
  </si>
  <si>
    <t xml:space="preserve">POINT (-1508042.749062 322001.551859)</t>
  </si>
  <si>
    <t xml:space="preserve">cwfif_national_activefires.fid--5b5096eb_19f85a2ef78_-5a52</t>
  </si>
  <si>
    <t xml:space="preserve">2026_BC_2026-N50870</t>
  </si>
  <si>
    <t xml:space="preserve">2026-N50870</t>
  </si>
  <si>
    <t xml:space="preserve">POINT (-1569683.752055 364830.643137)</t>
  </si>
  <si>
    <t xml:space="preserve">cwfif_national_activefires.fid--5b5096eb_19f85a2ef78_-5a51</t>
  </si>
  <si>
    <t xml:space="preserve">2026_BC_2026-N51051</t>
  </si>
  <si>
    <t xml:space="preserve">2026-N51051</t>
  </si>
  <si>
    <t xml:space="preserve">POINT (-1567688.682029 363829.515416)</t>
  </si>
  <si>
    <t xml:space="preserve">cwfif_national_activefires.fid--5b5096eb_19f85a2ef78_-5a50</t>
  </si>
  <si>
    <t xml:space="preserve">2026_BC_2026-N51038</t>
  </si>
  <si>
    <t xml:space="preserve">2026-N51038</t>
  </si>
  <si>
    <t xml:space="preserve">POINT (-1640561.77309 347970.028351)</t>
  </si>
  <si>
    <t xml:space="preserve">cwfif_national_activefires.fid--5b5096eb_19f85a2ef78_-5a4f</t>
  </si>
  <si>
    <t xml:space="preserve">2026_BC_2026-V30933</t>
  </si>
  <si>
    <t xml:space="preserve">2026-V30933</t>
  </si>
  <si>
    <t xml:space="preserve">POINT (-1916724.646223 525417.993225)</t>
  </si>
  <si>
    <t xml:space="preserve">cwfif_national_activefires.fid--5b5096eb_19f85a2ef78_-5a4e</t>
  </si>
  <si>
    <t xml:space="preserve">2026_BC_2026-C10952</t>
  </si>
  <si>
    <t xml:space="preserve">2026-C10952</t>
  </si>
  <si>
    <t xml:space="preserve">POINT (-1845906.933794 888174.737976)</t>
  </si>
  <si>
    <t xml:space="preserve">cwfif_national_activefires.fid--5b5096eb_19f85a2ef78_-5a4d</t>
  </si>
  <si>
    <t xml:space="preserve">2026_BC_2026-C10950</t>
  </si>
  <si>
    <t xml:space="preserve">2026-C10950</t>
  </si>
  <si>
    <t xml:space="preserve">POINT (-1846870.029505 885775.104318)</t>
  </si>
  <si>
    <t xml:space="preserve">cwfif_national_activefires.fid--5b5096eb_19f85a2ef78_-5a4c</t>
  </si>
  <si>
    <t xml:space="preserve">2026_BC_2026-VA1048</t>
  </si>
  <si>
    <t xml:space="preserve">2026-VA1048</t>
  </si>
  <si>
    <t xml:space="preserve">POINT (-1999661.845103 871436.234061)</t>
  </si>
  <si>
    <t xml:space="preserve">cwfif_national_activefires.fid--5b5096eb_19f85a2ef78_-5a4b</t>
  </si>
  <si>
    <t xml:space="preserve">2026_BC_2026-N11020</t>
  </si>
  <si>
    <t xml:space="preserve">2026-N11020</t>
  </si>
  <si>
    <t xml:space="preserve">POINT (-1498607.969196 331804.097214)</t>
  </si>
  <si>
    <t xml:space="preserve">cwfif_national_activefires.fid--5b5096eb_19f85a2ef78_-5a4a</t>
  </si>
  <si>
    <t xml:space="preserve">2026_BC_2026-N11028</t>
  </si>
  <si>
    <t xml:space="preserve">2026-N11028</t>
  </si>
  <si>
    <t xml:space="preserve">POINT (-1454309.707694 284753.023882)</t>
  </si>
  <si>
    <t xml:space="preserve">cwfif_national_activefires.fid--5b5096eb_19f85a2ef78_-5a49</t>
  </si>
  <si>
    <t xml:space="preserve">2026_BC_2026-N11027</t>
  </si>
  <si>
    <t xml:space="preserve">2026-N11027</t>
  </si>
  <si>
    <t xml:space="preserve">POINT (-1498370.742611 325691.031732)</t>
  </si>
  <si>
    <t xml:space="preserve">cwfif_national_activefires.fid--5b5096eb_19f85a2ef78_-5a48</t>
  </si>
  <si>
    <t xml:space="preserve">K5</t>
  </si>
  <si>
    <t xml:space="preserve">2026_BC_2026-K50869</t>
  </si>
  <si>
    <t xml:space="preserve">2026-K50869</t>
  </si>
  <si>
    <t xml:space="preserve">POINT (-1699032.440828 399206.280433)</t>
  </si>
  <si>
    <t xml:space="preserve">cwfif_national_activefires.fid--5b5096eb_19f85a2ef78_-5a47</t>
  </si>
  <si>
    <t xml:space="preserve">2026_BC_2026-N40912</t>
  </si>
  <si>
    <t xml:space="preserve">2026-N40912</t>
  </si>
  <si>
    <t xml:space="preserve">POINT (-1559018.613839 502513.592233)</t>
  </si>
  <si>
    <t xml:space="preserve">cwfif_national_activefires.fid--5b5096eb_19f85a2ef78_-5a46</t>
  </si>
  <si>
    <t xml:space="preserve">2026_BC_2026-N11036</t>
  </si>
  <si>
    <t xml:space="preserve">2026-N11036</t>
  </si>
  <si>
    <t xml:space="preserve">POINT (-1512489.790357 350877.015078)</t>
  </si>
  <si>
    <t xml:space="preserve">cwfif_national_activefires.fid--5b5096eb_19f85a2ef78_-5a45</t>
  </si>
  <si>
    <t xml:space="preserve">K2</t>
  </si>
  <si>
    <t xml:space="preserve">2026_BC_2026-K20949</t>
  </si>
  <si>
    <t xml:space="preserve">2026-K20949</t>
  </si>
  <si>
    <t xml:space="preserve">POINT (-1635997.406389 663858.582234)</t>
  </si>
  <si>
    <t xml:space="preserve">cwfif_national_activefires.fid--5b5096eb_19f85a2ef78_-5a44</t>
  </si>
  <si>
    <t xml:space="preserve">2026_BC_2026-N61030</t>
  </si>
  <si>
    <t xml:space="preserve">2026-N61030</t>
  </si>
  <si>
    <t xml:space="preserve">POINT (-1658736.495227 390382.339089)</t>
  </si>
  <si>
    <t xml:space="preserve">cwfif_national_activefires.fid--5b5096eb_19f85a2ef78_-5a43</t>
  </si>
  <si>
    <t xml:space="preserve">G1</t>
  </si>
  <si>
    <t xml:space="preserve">2026_BC_2026-G10951</t>
  </si>
  <si>
    <t xml:space="preserve">2026-G10951</t>
  </si>
  <si>
    <t xml:space="preserve">POINT (-1707588.184956 986285.812071)</t>
  </si>
  <si>
    <t xml:space="preserve">cwfif_national_activefires.fid--5b5096eb_19f85a2ef78_-5a42</t>
  </si>
  <si>
    <t xml:space="preserve">2026_BC_2026-C40983</t>
  </si>
  <si>
    <t xml:space="preserve">2026-C40983</t>
  </si>
  <si>
    <t xml:space="preserve">POINT (-1814344.566584 607442.575123)</t>
  </si>
  <si>
    <t xml:space="preserve">cwfif_national_activefires.fid--5b5096eb_19f85a2ef78_-5a41</t>
  </si>
  <si>
    <t xml:space="preserve">2026_BC_2026-N11007</t>
  </si>
  <si>
    <t xml:space="preserve">2026-N11007</t>
  </si>
  <si>
    <t xml:space="preserve">POINT (-1483993.6471 310174.737396)</t>
  </si>
  <si>
    <t xml:space="preserve">cwfif_national_activefires.fid--5b5096eb_19f85a2ef78_-5a40</t>
  </si>
  <si>
    <t xml:space="preserve">2026_BC_2026-C40923</t>
  </si>
  <si>
    <t xml:space="preserve">2026-C40923</t>
  </si>
  <si>
    <t xml:space="preserve">POINT (-1710813.660663 642598.874066)</t>
  </si>
  <si>
    <t xml:space="preserve">cwfif_national_activefires.fid--5b5096eb_19f85a2ef78_-5a3f</t>
  </si>
  <si>
    <t xml:space="preserve">2026_BC_2026-N20809</t>
  </si>
  <si>
    <t xml:space="preserve">2026-N20809</t>
  </si>
  <si>
    <t xml:space="preserve">POINT (-1454403.491395 344047.794108)</t>
  </si>
  <si>
    <t xml:space="preserve">cwfif_national_activefires.fid--5b5096eb_19f85a2ef78_-5a3e</t>
  </si>
  <si>
    <t xml:space="preserve">V8</t>
  </si>
  <si>
    <t xml:space="preserve">2026_BC_2026-V80937</t>
  </si>
  <si>
    <t xml:space="preserve">2026-V80937</t>
  </si>
  <si>
    <t xml:space="preserve">POINT (-2115183.177381 662138.561883)</t>
  </si>
  <si>
    <t xml:space="preserve">cwfif_national_activefires.fid--5b5096eb_19f85a2ef78_-5a3d</t>
  </si>
  <si>
    <t xml:space="preserve">2026_BC_2026-C50927</t>
  </si>
  <si>
    <t xml:space="preserve">2026-C50927</t>
  </si>
  <si>
    <t xml:space="preserve">POINT (-1949475.847651 879625.473926)</t>
  </si>
  <si>
    <t xml:space="preserve">cwfif_national_activefires.fid--5b5096eb_19f85a2ef78_-5a3c</t>
  </si>
  <si>
    <t xml:space="preserve">2026_BC_2026-N50919</t>
  </si>
  <si>
    <t xml:space="preserve">2026-N50919</t>
  </si>
  <si>
    <t xml:space="preserve">POINT (-1585820.468335 300251.232371)</t>
  </si>
  <si>
    <t xml:space="preserve">cwfif_national_activefires.fid--5b5096eb_19f85a2ef78_-5a3b</t>
  </si>
  <si>
    <t xml:space="preserve">2026_BC_2026-N10943</t>
  </si>
  <si>
    <t xml:space="preserve">2026-N10943</t>
  </si>
  <si>
    <t xml:space="preserve">POINT (-1507325.956931 321897.788972)</t>
  </si>
  <si>
    <t xml:space="preserve">cwfif_national_activefires.fid--5b5096eb_19f85a2ef78_-5a3a</t>
  </si>
  <si>
    <t xml:space="preserve">2026_BC_2026-N50876</t>
  </si>
  <si>
    <t xml:space="preserve">2026-N50876</t>
  </si>
  <si>
    <t xml:space="preserve">POINT (-1587601.879284 354796.390095)</t>
  </si>
  <si>
    <t xml:space="preserve">cwfif_national_activefires.fid--5b5096eb_19f85a2ef78_-5a39</t>
  </si>
  <si>
    <t xml:space="preserve">2026_BC_2026-C10970</t>
  </si>
  <si>
    <t xml:space="preserve">2026-C10970</t>
  </si>
  <si>
    <t xml:space="preserve">POINT (-1719083.640777 822548.963108)</t>
  </si>
  <si>
    <t xml:space="preserve">cwfif_national_activefires.fid--5b5096eb_19f85a2ef78_-5a38</t>
  </si>
  <si>
    <t xml:space="preserve">G8</t>
  </si>
  <si>
    <t xml:space="preserve">2026_BC_2026-G80916</t>
  </si>
  <si>
    <t xml:space="preserve">2026-G80916</t>
  </si>
  <si>
    <t xml:space="preserve">POINT (-1573513.047997 1304444.970816)</t>
  </si>
  <si>
    <t xml:space="preserve">cwfif_national_activefires.fid--5b5096eb_19f85a2ef78_-5a37</t>
  </si>
  <si>
    <t xml:space="preserve">2026_BC_2026-C40906</t>
  </si>
  <si>
    <t xml:space="preserve">2026-C40906</t>
  </si>
  <si>
    <t xml:space="preserve">POINT (-1792885.327268 640952.783603)</t>
  </si>
  <si>
    <t xml:space="preserve">cwfif_national_activefires.fid--5b5096eb_19f85a2ef78_-5a36</t>
  </si>
  <si>
    <t xml:space="preserve">2026_BC_2026-C40907</t>
  </si>
  <si>
    <t xml:space="preserve">2026-C40907</t>
  </si>
  <si>
    <t xml:space="preserve">POINT (-1792258.033205 641311.746482)</t>
  </si>
  <si>
    <t xml:space="preserve">cwfif_national_activefires.fid--5b5096eb_19f85a2ef78_-5a35</t>
  </si>
  <si>
    <t xml:space="preserve">2026_BC_2026-K50871</t>
  </si>
  <si>
    <t xml:space="preserve">2026-K50871</t>
  </si>
  <si>
    <t xml:space="preserve">POINT (-1736079.852823 338723.060179)</t>
  </si>
  <si>
    <t xml:space="preserve">cwfif_national_activefires.fid--5b5096eb_19f85a2ef78_-5a34</t>
  </si>
  <si>
    <t xml:space="preserve">2026_BC_2026-C20851</t>
  </si>
  <si>
    <t xml:space="preserve">2026-C20851</t>
  </si>
  <si>
    <t xml:space="preserve">POINT (-1808351.067521 678569.492617)</t>
  </si>
  <si>
    <t xml:space="preserve">cwfif_national_activefires.fid--5b5096eb_19f85a2ef78_-5a33</t>
  </si>
  <si>
    <t xml:space="preserve">2026_BC_2026-K50824</t>
  </si>
  <si>
    <t xml:space="preserve">2026-K50824</t>
  </si>
  <si>
    <t xml:space="preserve">POINT (-1738245.180589 338514.623295)</t>
  </si>
  <si>
    <t xml:space="preserve">cwfif_national_activefires.fid--5b5096eb_19f85a2ef78_-5a32</t>
  </si>
  <si>
    <t xml:space="preserve">2026_BC_2026-N10812</t>
  </si>
  <si>
    <t xml:space="preserve">2026-N10812</t>
  </si>
  <si>
    <t xml:space="preserve">POINT (-1490324.943897 294538.715096)</t>
  </si>
  <si>
    <t xml:space="preserve">cwfif_national_activefires.fid--5b5096eb_19f85a2ef78_-5a31</t>
  </si>
  <si>
    <t xml:space="preserve">2026_BC_2026-K70659</t>
  </si>
  <si>
    <t xml:space="preserve">2026-K70659</t>
  </si>
  <si>
    <t xml:space="preserve">POINT (-1838603.513658 572235.854741)</t>
  </si>
  <si>
    <t xml:space="preserve">cwfif_national_activefires.fid--5b5096eb_19f85a2ef78_-5a30</t>
  </si>
  <si>
    <t xml:space="preserve">2026_BC_2026-C40784</t>
  </si>
  <si>
    <t xml:space="preserve">2026-C40784</t>
  </si>
  <si>
    <t xml:space="preserve">POINT (-1791970.157813 649447.655739)</t>
  </si>
  <si>
    <t xml:space="preserve">cwfif_national_activefires.fid--5b5096eb_19f85a2ef78_-5a2f</t>
  </si>
  <si>
    <t xml:space="preserve">G9</t>
  </si>
  <si>
    <t xml:space="preserve">2026_BC_2026-G90285</t>
  </si>
  <si>
    <t xml:space="preserve">2026-G90285</t>
  </si>
  <si>
    <t xml:space="preserve">POINT (-1594469.363128 1395096.121197)</t>
  </si>
  <si>
    <t xml:space="preserve">cwfif_national_activefires.fid--5b5096eb_19f85a2ef78_-5a2e</t>
  </si>
  <si>
    <t xml:space="preserve">2026_BC_2026-G90400</t>
  </si>
  <si>
    <t xml:space="preserve">2026-G90400</t>
  </si>
  <si>
    <t xml:space="preserve">POINT (-1353246.903266 1422688.373697)</t>
  </si>
  <si>
    <t xml:space="preserve">cwfif_national_activefires.fid--5b5096eb_19f85a2ef78_-5a2d</t>
  </si>
  <si>
    <t xml:space="preserve">2026_BC_2026-G90714</t>
  </si>
  <si>
    <t xml:space="preserve">2026-G90714</t>
  </si>
  <si>
    <t xml:space="preserve">POINT (-1394654.055515 1462995.080291)</t>
  </si>
  <si>
    <t xml:space="preserve">cwfif_national_activefires.fid--5b5096eb_19f85a2ef78_-5a2c</t>
  </si>
  <si>
    <t xml:space="preserve">2026_BC_2026-K70597</t>
  </si>
  <si>
    <t xml:space="preserve">2026-K70597</t>
  </si>
  <si>
    <t xml:space="preserve">POINT (-1834440.114094 521632.934992)</t>
  </si>
  <si>
    <t xml:space="preserve">cwfif_national_activefires.fid--5b5096eb_19f85a2ef78_-5a2b</t>
  </si>
  <si>
    <t xml:space="preserve">2026_BC_2026-G80488</t>
  </si>
  <si>
    <t xml:space="preserve">2026-G80488</t>
  </si>
  <si>
    <t xml:space="preserve">POINT (-1576739.212498 1270917.862082)</t>
  </si>
  <si>
    <t xml:space="preserve">cwfif_national_activefires.fid--5b5096eb_19f85a2ef78_-5a2a</t>
  </si>
  <si>
    <t xml:space="preserve">2026_BC_2026-C10467</t>
  </si>
  <si>
    <t xml:space="preserve">2026-C10467</t>
  </si>
  <si>
    <t xml:space="preserve">POINT (-1846272.669596 911081.384414)</t>
  </si>
  <si>
    <t xml:space="preserve">cwfif_national_activefires.fid--5b5096eb_19f85a2ef78_-5a29</t>
  </si>
  <si>
    <t xml:space="preserve">2026_BC_2026-V10108</t>
  </si>
  <si>
    <t xml:space="preserve">2026-V10108</t>
  </si>
  <si>
    <t xml:space="preserve">POINT (-1844613.805364 473718.394918)</t>
  </si>
  <si>
    <t xml:space="preserve">cwfif_national_activefires.fid--5b5096eb_19f85a2ef78_-5a28</t>
  </si>
  <si>
    <t xml:space="preserve">2025_BC_2025-C22352</t>
  </si>
  <si>
    <t xml:space="preserve">2025-C22352</t>
  </si>
  <si>
    <t xml:space="preserve">POINT (-1830083.732181 657696.126504)</t>
  </si>
  <si>
    <t xml:space="preserve">cwfif_national_activefires.fid--5b5096eb_19f85a2ef78_-5a27</t>
  </si>
  <si>
    <t xml:space="preserve">2025_BC_2025-V32337</t>
  </si>
  <si>
    <t xml:space="preserve">2025-V32337</t>
  </si>
  <si>
    <t xml:space="preserve">POINT (-1877973.235267 581516.645698)</t>
  </si>
  <si>
    <t xml:space="preserve">cwfif_national_activefires.fid--5b5096eb_19f85a2ef78_-5a26</t>
  </si>
  <si>
    <t xml:space="preserve">MB</t>
  </si>
  <si>
    <t xml:space="preserve">EA</t>
  </si>
  <si>
    <t xml:space="preserve">2026_MB_MB-EA027</t>
  </si>
  <si>
    <t xml:space="preserve">MB-EA027</t>
  </si>
  <si>
    <t xml:space="preserve">POINT (-35693.937177 334398.522708)</t>
  </si>
  <si>
    <t xml:space="preserve">cwfif_national_activefires.fid--5b5096eb_19f85a2ef78_-5a25</t>
  </si>
  <si>
    <t xml:space="preserve">NO</t>
  </si>
  <si>
    <t xml:space="preserve">2026_MB_MB-NO210</t>
  </si>
  <si>
    <t xml:space="preserve">MB-NO210</t>
  </si>
  <si>
    <t xml:space="preserve">POINT (-213824.140711 601440.132811)</t>
  </si>
  <si>
    <t xml:space="preserve">cwfif_national_activefires.fid--5b5096eb_19f85a2ef78_-5a24</t>
  </si>
  <si>
    <t xml:space="preserve">2026_MB_MB-NO148</t>
  </si>
  <si>
    <t xml:space="preserve">MB-NO148</t>
  </si>
  <si>
    <t xml:space="preserve">POINT (-147488.457964 870399.035706)</t>
  </si>
  <si>
    <t xml:space="preserve">cwfif_national_activefires.fid--5b5096eb_19f85a2ef78_-5a23</t>
  </si>
  <si>
    <t xml:space="preserve">2026_MB_MB-NO192</t>
  </si>
  <si>
    <t xml:space="preserve">MB-NO192</t>
  </si>
  <si>
    <t xml:space="preserve">POINT (-228006.126565 766768.567303)</t>
  </si>
  <si>
    <t xml:space="preserve">cwfif_national_activefires.fid--5b5096eb_19f85a2ef78_-5a22</t>
  </si>
  <si>
    <t xml:space="preserve">2026_MB_MB-NO202</t>
  </si>
  <si>
    <t xml:space="preserve">MB-NO202</t>
  </si>
  <si>
    <t xml:space="preserve">POINT (-236194.520424 703034.241068)</t>
  </si>
  <si>
    <t xml:space="preserve">cwfif_national_activefires.fid--5b5096eb_19f85a2ef78_-5a21</t>
  </si>
  <si>
    <t xml:space="preserve">2026_MB_MB-NO028</t>
  </si>
  <si>
    <t xml:space="preserve">MB-NO028</t>
  </si>
  <si>
    <t xml:space="preserve">POINT (-231713.402498 715035.767985)</t>
  </si>
  <si>
    <t xml:space="preserve">cwfif_national_activefires.fid--5b5096eb_19f85a2ef78_-5a20</t>
  </si>
  <si>
    <t xml:space="preserve">2026_MB_MB-NO209</t>
  </si>
  <si>
    <t xml:space="preserve">MB-NO209</t>
  </si>
  <si>
    <t xml:space="preserve">POINT (-18081.449873 642302.978539)</t>
  </si>
  <si>
    <t xml:space="preserve">cwfif_national_activefires.fid--5b5096eb_19f85a2ef78_-5a1f</t>
  </si>
  <si>
    <t xml:space="preserve">WE</t>
  </si>
  <si>
    <t xml:space="preserve">2026_MB_MB-WE027</t>
  </si>
  <si>
    <t xml:space="preserve">MB-WE027</t>
  </si>
  <si>
    <t xml:space="preserve">POINT (-429360.922274 715098.043452)</t>
  </si>
  <si>
    <t xml:space="preserve">cwfif_national_activefires.fid--5b5096eb_19f85a2ef78_-5a1e</t>
  </si>
  <si>
    <t xml:space="preserve">2026_MB_MB-NO076</t>
  </si>
  <si>
    <t xml:space="preserve">MB-NO076</t>
  </si>
  <si>
    <t xml:space="preserve">POINT (-381597.019205 817334.374816)</t>
  </si>
  <si>
    <t xml:space="preserve">cwfif_national_activefires.fid--5b5096eb_19f85a2ef78_-5a1d</t>
  </si>
  <si>
    <t xml:space="preserve">2026_MB_MB-NO199</t>
  </si>
  <si>
    <t xml:space="preserve">MB-NO199</t>
  </si>
  <si>
    <t xml:space="preserve">POINT (-143570.46724 717844.976517)</t>
  </si>
  <si>
    <t xml:space="preserve">cwfif_national_activefires.fid--5b5096eb_19f85a2ef78_-5a1c</t>
  </si>
  <si>
    <t xml:space="preserve">2026_MB_MB-NO106</t>
  </si>
  <si>
    <t xml:space="preserve">MB-NO106</t>
  </si>
  <si>
    <t xml:space="preserve">POINT (38184.356318 797413.32962)</t>
  </si>
  <si>
    <t xml:space="preserve">cwfif_national_activefires.fid--5b5096eb_19f85a2ef78_-5a1b</t>
  </si>
  <si>
    <t xml:space="preserve">2026_MB_MB-NO186</t>
  </si>
  <si>
    <t xml:space="preserve">MB-NO186</t>
  </si>
  <si>
    <t xml:space="preserve">POINT (-33548.771045 818999.63296)</t>
  </si>
  <si>
    <t xml:space="preserve">cwfif_national_activefires.fid--5b5096eb_19f85a2ef78_-5a1a</t>
  </si>
  <si>
    <t xml:space="preserve">2026_MB_MB-NO201</t>
  </si>
  <si>
    <t xml:space="preserve">MB-NO201</t>
  </si>
  <si>
    <t xml:space="preserve">POINT (39522.682907 845394.896711)</t>
  </si>
  <si>
    <t xml:space="preserve">cwfif_national_activefires.fid--5b5096eb_19f85a2ef78_-5a19</t>
  </si>
  <si>
    <t xml:space="preserve">2026_MB_MB-NO206</t>
  </si>
  <si>
    <t xml:space="preserve">MB-NO206</t>
  </si>
  <si>
    <t xml:space="preserve">POINT (55290.332042 946031.515455)</t>
  </si>
  <si>
    <t xml:space="preserve">cwfif_national_activefires.fid--5b5096eb_19f85a2ef78_-5a18</t>
  </si>
  <si>
    <t xml:space="preserve">2026_MB_MB-NO208</t>
  </si>
  <si>
    <t xml:space="preserve">MB-NO208</t>
  </si>
  <si>
    <t xml:space="preserve">POINT (-1915.72029 998262.872319)</t>
  </si>
  <si>
    <t xml:space="preserve">cwfif_national_activefires.fid--5b5096eb_19f85a2ef78_-5a17</t>
  </si>
  <si>
    <t xml:space="preserve">2026_MB_MB-NO207</t>
  </si>
  <si>
    <t xml:space="preserve">MB-NO207</t>
  </si>
  <si>
    <t xml:space="preserve">POINT (-56514.428703 971821.410108)</t>
  </si>
  <si>
    <t xml:space="preserve">cwfif_national_activefires.fid--5b5096eb_19f85a2ef78_-5a16</t>
  </si>
  <si>
    <t xml:space="preserve">2026_MB_MB-NO204</t>
  </si>
  <si>
    <t xml:space="preserve">MB-NO204</t>
  </si>
  <si>
    <t xml:space="preserve">POINT (-108160.494513 847270.178887)</t>
  </si>
  <si>
    <t xml:space="preserve">cwfif_national_activefires.fid--5b5096eb_19f85a2ef78_-5a15</t>
  </si>
  <si>
    <t xml:space="preserve">2026_MB_MB-NO205</t>
  </si>
  <si>
    <t xml:space="preserve">MB-NO205</t>
  </si>
  <si>
    <t xml:space="preserve">POINT (119335.897404 864387.725821)</t>
  </si>
  <si>
    <t xml:space="preserve">cwfif_national_activefires.fid--5b5096eb_19f85a2ef78_-5a14</t>
  </si>
  <si>
    <t xml:space="preserve">2026_MB_MB-NO187</t>
  </si>
  <si>
    <t xml:space="preserve">MB-NO187</t>
  </si>
  <si>
    <t xml:space="preserve">POINT (-30123.161018 508997.119878)</t>
  </si>
  <si>
    <t xml:space="preserve">cwfif_national_activefires.fid--5b5096eb_19f85a2ef78_-5a13</t>
  </si>
  <si>
    <t xml:space="preserve">2026_MB_MB-NO092</t>
  </si>
  <si>
    <t xml:space="preserve">MB-NO092</t>
  </si>
  <si>
    <t xml:space="preserve">POINT (-116324.105955 974855.199235)</t>
  </si>
  <si>
    <t xml:space="preserve">cwfif_national_activefires.fid--5b5096eb_19f85a2ef78_-5a12</t>
  </si>
  <si>
    <t xml:space="preserve">2026_MB_MB-NO183</t>
  </si>
  <si>
    <t xml:space="preserve">MB-NO183</t>
  </si>
  <si>
    <t xml:space="preserve">POINT (112002.719083 850133.5426)</t>
  </si>
  <si>
    <t xml:space="preserve">cwfif_national_activefires.fid--5b5096eb_19f85a2ef78_-5a11</t>
  </si>
  <si>
    <t xml:space="preserve">2026_MB_MB-NO164</t>
  </si>
  <si>
    <t xml:space="preserve">MB-NO164</t>
  </si>
  <si>
    <t xml:space="preserve">POINT (-395578.813936 860224.77261)</t>
  </si>
  <si>
    <t xml:space="preserve">cwfif_national_activefires.fid--5b5096eb_19f85a2ef78_-5a10</t>
  </si>
  <si>
    <t xml:space="preserve">2026_MB_MB-NO080</t>
  </si>
  <si>
    <t xml:space="preserve">MB-NO080</t>
  </si>
  <si>
    <t xml:space="preserve">POINT (-248457.990435 850241.57572)</t>
  </si>
  <si>
    <t xml:space="preserve">cwfif_national_activefires.fid--5b5096eb_19f85a2ef78_-5a0f</t>
  </si>
  <si>
    <t xml:space="preserve">2026_MB_MB-NO019</t>
  </si>
  <si>
    <t xml:space="preserve">MB-NO019</t>
  </si>
  <si>
    <t xml:space="preserve">POINT (-284833.251195 817403.733494)</t>
  </si>
  <si>
    <t xml:space="preserve">cwfif_national_activefires.fid--5b5096eb_19f85a2ef78_-5a0e</t>
  </si>
  <si>
    <t xml:space="preserve">2026_MB_MB-NO100</t>
  </si>
  <si>
    <t xml:space="preserve">MB-NO100</t>
  </si>
  <si>
    <t xml:space="preserve">POINT (49473.261099 815512.171179)</t>
  </si>
  <si>
    <t xml:space="preserve">cwfif_national_activefires.fid--5b5096eb_19f85a2ef78_-5a0d</t>
  </si>
  <si>
    <t xml:space="preserve">2026_MB_MB-NO107</t>
  </si>
  <si>
    <t xml:space="preserve">MB-NO107</t>
  </si>
  <si>
    <t xml:space="preserve">POINT (-319442.140227 853390.179234)</t>
  </si>
  <si>
    <t xml:space="preserve">cwfif_national_activefires.fid--5b5096eb_19f85a2ef78_-5a0c</t>
  </si>
  <si>
    <t xml:space="preserve">2026_MB_MB-NO114</t>
  </si>
  <si>
    <t xml:space="preserve">MB-NO114</t>
  </si>
  <si>
    <t xml:space="preserve">POINT (-205212.417544 1068877.870843)</t>
  </si>
  <si>
    <t xml:space="preserve">cwfif_national_activefires.fid--5b5096eb_19f85a2ef78_-5a0b</t>
  </si>
  <si>
    <t xml:space="preserve">2026_MB_MB-NO050</t>
  </si>
  <si>
    <t xml:space="preserve">MB-NO050</t>
  </si>
  <si>
    <t xml:space="preserve">POINT (-351417.046187 858551.035557)</t>
  </si>
  <si>
    <t xml:space="preserve">cwfif_national_activefires.fid--5b5096eb_19f85a2ef78_-5a0a</t>
  </si>
  <si>
    <t xml:space="preserve">2026_MB_MB-NO200</t>
  </si>
  <si>
    <t xml:space="preserve">MB-NO200</t>
  </si>
  <si>
    <t xml:space="preserve">POINT (1675.729175 855648.675947)</t>
  </si>
  <si>
    <t xml:space="preserve">cwfif_national_activefires.fid--5b5096eb_19f85a2ef78_-5a09</t>
  </si>
  <si>
    <t xml:space="preserve">2026_MB_MB-NO102</t>
  </si>
  <si>
    <t xml:space="preserve">MB-NO102</t>
  </si>
  <si>
    <t xml:space="preserve">POINT (-310737.636166 859887.465263)</t>
  </si>
  <si>
    <t xml:space="preserve">cwfif_national_activefires.fid--5b5096eb_19f85a2ef78_-5a08</t>
  </si>
  <si>
    <t xml:space="preserve">2026_MB_MB-NO197</t>
  </si>
  <si>
    <t xml:space="preserve">MB-NO197</t>
  </si>
  <si>
    <t xml:space="preserve">POINT (-58705.536146 803844.044985)</t>
  </si>
  <si>
    <t xml:space="preserve">cwfif_national_activefires.fid--5b5096eb_19f85a2ef78_-5a07</t>
  </si>
  <si>
    <t xml:space="preserve">2026_MB_MB-NO198</t>
  </si>
  <si>
    <t xml:space="preserve">MB-NO198</t>
  </si>
  <si>
    <t xml:space="preserve">POINT (-289717.767167 811397.693997)</t>
  </si>
  <si>
    <t xml:space="preserve">cwfif_national_activefires.fid--5b5096eb_19f85a2ef78_-5a06</t>
  </si>
  <si>
    <t xml:space="preserve">2026_MB_MB-NO196</t>
  </si>
  <si>
    <t xml:space="preserve">MB-NO196</t>
  </si>
  <si>
    <t xml:space="preserve">POINT (-123793.182256 764419.054418)</t>
  </si>
  <si>
    <t xml:space="preserve">cwfif_national_activefires.fid--5b5096eb_19f85a2ef78_-5a05</t>
  </si>
  <si>
    <t xml:space="preserve">2026_MB_MB-NO193</t>
  </si>
  <si>
    <t xml:space="preserve">MB-NO193</t>
  </si>
  <si>
    <t xml:space="preserve">POINT (-257638.85571 783243.795967)</t>
  </si>
  <si>
    <t xml:space="preserve">cwfif_national_activefires.fid--5b5096eb_19f85a2ef78_-5a04</t>
  </si>
  <si>
    <t xml:space="preserve">2026_MB_MB-NO195</t>
  </si>
  <si>
    <t xml:space="preserve">MB-NO195</t>
  </si>
  <si>
    <t xml:space="preserve">POINT (-25681.418665 512924.508859)</t>
  </si>
  <si>
    <t xml:space="preserve">cwfif_national_activefires.fid--5b5096eb_19f85a2ef78_-5a03</t>
  </si>
  <si>
    <t xml:space="preserve">2026_MB_MB-NO189</t>
  </si>
  <si>
    <t xml:space="preserve">MB-NO189</t>
  </si>
  <si>
    <t xml:space="preserve">POINT (71970.700413 828300.334559)</t>
  </si>
  <si>
    <t xml:space="preserve">cwfif_national_activefires.fid--5b5096eb_19f85a2ef78_-5a02</t>
  </si>
  <si>
    <t xml:space="preserve">2026_MB_MB-NO155</t>
  </si>
  <si>
    <t xml:space="preserve">MB-NO155</t>
  </si>
  <si>
    <t xml:space="preserve">POINT (-323001.6129 930138.414799)</t>
  </si>
  <si>
    <t xml:space="preserve">cwfif_national_activefires.fid--5b5096eb_19f85a2ef78_-5a01</t>
  </si>
  <si>
    <t xml:space="preserve">2026_MB_MB-NO040</t>
  </si>
  <si>
    <t xml:space="preserve">MB-NO040</t>
  </si>
  <si>
    <t xml:space="preserve">POINT (-211947.130109 1089308.051471)</t>
  </si>
  <si>
    <t xml:space="preserve">cwfif_national_activefires.fid--5b5096eb_19f85a2ef78_-5a00</t>
  </si>
  <si>
    <t xml:space="preserve">2026_MB_MB-NO069</t>
  </si>
  <si>
    <t xml:space="preserve">MB-NO069</t>
  </si>
  <si>
    <t xml:space="preserve">POINT (-373969.926115 957636.290089)</t>
  </si>
  <si>
    <t xml:space="preserve">cwfif_national_activefires.fid--5b5096eb_19f85a2ef78_-59ff</t>
  </si>
  <si>
    <t xml:space="preserve">2026_MB_MB-NO086</t>
  </si>
  <si>
    <t xml:space="preserve">MB-NO086</t>
  </si>
  <si>
    <t xml:space="preserve">POINT (-393034.17987 960495.396968)</t>
  </si>
  <si>
    <t xml:space="preserve">cwfif_national_activefires.fid--5b5096eb_19f85a2ef78_-59fe</t>
  </si>
  <si>
    <t xml:space="preserve">2026_MB_MB-NO156</t>
  </si>
  <si>
    <t xml:space="preserve">MB-NO156</t>
  </si>
  <si>
    <t xml:space="preserve">POINT (-233462.445346 1028958.41722)</t>
  </si>
  <si>
    <t xml:space="preserve">cwfif_national_activefires.fid--5b5096eb_19f85a2ef78_-59fd</t>
  </si>
  <si>
    <t xml:space="preserve">2026_MB_MB-NO037</t>
  </si>
  <si>
    <t xml:space="preserve">MB-NO037</t>
  </si>
  <si>
    <t xml:space="preserve">POINT (-239743.4089 1005466.898881)</t>
  </si>
  <si>
    <t xml:space="preserve">cwfif_national_activefires.fid--5b5096eb_19f85a2ef78_-59fc</t>
  </si>
  <si>
    <t xml:space="preserve">2026_MB_MB-NO117</t>
  </si>
  <si>
    <t xml:space="preserve">MB-NO117</t>
  </si>
  <si>
    <t xml:space="preserve">POINT (-220989.283053 1081557.11041)</t>
  </si>
  <si>
    <t xml:space="preserve">cwfif_national_activefires.fid--5b5096eb_19f85a2ef78_-59fb</t>
  </si>
  <si>
    <t xml:space="preserve">2026_MB_MB-NO185</t>
  </si>
  <si>
    <t xml:space="preserve">MB-NO185</t>
  </si>
  <si>
    <t xml:space="preserve">POINT (-144644.904325 1016817.45074)</t>
  </si>
  <si>
    <t xml:space="preserve">cwfif_national_activefires.fid--5b5096eb_19f85a2ef78_-59fa</t>
  </si>
  <si>
    <t xml:space="preserve">2026_MB_MB-NO119</t>
  </si>
  <si>
    <t xml:space="preserve">MB-NO119</t>
  </si>
  <si>
    <t xml:space="preserve">POINT (-150414.692349 1016568.064978)</t>
  </si>
  <si>
    <t xml:space="preserve">cwfif_national_activefires.fid--5b5096eb_19f85a2ef78_-59f9</t>
  </si>
  <si>
    <t xml:space="preserve">2026_MB_MB-NO053</t>
  </si>
  <si>
    <t xml:space="preserve">MB-NO053</t>
  </si>
  <si>
    <t xml:space="preserve">POINT (-165647.534075 847159.458918)</t>
  </si>
  <si>
    <t xml:space="preserve">cwfif_national_activefires.fid--5b5096eb_19f85a2ef78_-59f8</t>
  </si>
  <si>
    <t xml:space="preserve">2026_MB_MB-NO108</t>
  </si>
  <si>
    <t xml:space="preserve">MB-NO108</t>
  </si>
  <si>
    <t xml:space="preserve">POINT (-137485.80839 908019.189636)</t>
  </si>
  <si>
    <t xml:space="preserve">cwfif_national_activefires.fid--5b5096eb_19f85a2ef78_-59f7</t>
  </si>
  <si>
    <t xml:space="preserve">2026_MB_MB-NO099</t>
  </si>
  <si>
    <t xml:space="preserve">MB-NO099</t>
  </si>
  <si>
    <t xml:space="preserve">POINT (-139776.116654 858281.853608)</t>
  </si>
  <si>
    <t xml:space="preserve">cwfif_national_activefires.fid--5b5096eb_19f85a2ef78_-59f6</t>
  </si>
  <si>
    <t xml:space="preserve">2026_MB_MB-NO031</t>
  </si>
  <si>
    <t xml:space="preserve">MB-NO031</t>
  </si>
  <si>
    <t xml:space="preserve">POINT (-169629.136702 916894.686806)</t>
  </si>
  <si>
    <t xml:space="preserve">cwfif_national_activefires.fid--5b5096eb_19f85a2ef78_-59f5</t>
  </si>
  <si>
    <t xml:space="preserve">2026_MB_MB-NO149</t>
  </si>
  <si>
    <t xml:space="preserve">MB-NO149</t>
  </si>
  <si>
    <t xml:space="preserve">POINT (-171536.001481 839945.313201)</t>
  </si>
  <si>
    <t xml:space="preserve">cwfif_national_activefires.fid--5b5096eb_19f85a2ef78_-59f4</t>
  </si>
  <si>
    <t xml:space="preserve">2026_MB_MB-NO082</t>
  </si>
  <si>
    <t xml:space="preserve">MB-NO082</t>
  </si>
  <si>
    <t xml:space="preserve">POINT (-344239.085507 916878.359246)</t>
  </si>
  <si>
    <t xml:space="preserve">cwfif_national_activefires.fid--5b5096eb_19f85a2ef78_-59f3</t>
  </si>
  <si>
    <t xml:space="preserve">2026_MB_MB-NO045</t>
  </si>
  <si>
    <t xml:space="preserve">MB-NO045</t>
  </si>
  <si>
    <t xml:space="preserve">POINT (-387069.832986 909167.772097)</t>
  </si>
  <si>
    <t xml:space="preserve">cwfif_national_activefires.fid--5b5096eb_19f85a2ef78_-59f2</t>
  </si>
  <si>
    <t xml:space="preserve">2026_MB_MB-NO145</t>
  </si>
  <si>
    <t xml:space="preserve">MB-NO145</t>
  </si>
  <si>
    <t xml:space="preserve">POINT (-369664.48232 978555.793186)</t>
  </si>
  <si>
    <t xml:space="preserve">cwfif_national_activefires.fid--5b5096eb_19f85a2ef78_-59f1</t>
  </si>
  <si>
    <t xml:space="preserve">2026_MB_MB-NO095</t>
  </si>
  <si>
    <t xml:space="preserve">MB-NO095</t>
  </si>
  <si>
    <t xml:space="preserve">POINT (-387226.828615 881878.004988)</t>
  </si>
  <si>
    <t xml:space="preserve">cwfif_national_activefires.fid--5b5096eb_19f85a2ef78_-59f0</t>
  </si>
  <si>
    <t xml:space="preserve">2026_MB_MB-NO118</t>
  </si>
  <si>
    <t xml:space="preserve">MB-NO118</t>
  </si>
  <si>
    <t xml:space="preserve">POINT (-376155.394321 942990.59632)</t>
  </si>
  <si>
    <t xml:space="preserve">cwfif_national_activefires.fid--5b5096eb_19f85a2ef78_-59ef</t>
  </si>
  <si>
    <t xml:space="preserve">2026_MB_MB-NO083</t>
  </si>
  <si>
    <t xml:space="preserve">MB-NO083</t>
  </si>
  <si>
    <t xml:space="preserve">POINT (-331771.017994 925149.370935)</t>
  </si>
  <si>
    <t xml:space="preserve">cwfif_national_activefires.fid--5b5096eb_19f85a2ef78_-59ee</t>
  </si>
  <si>
    <t xml:space="preserve">2026_MB_MB-NO081</t>
  </si>
  <si>
    <t xml:space="preserve">MB-NO081</t>
  </si>
  <si>
    <t xml:space="preserve">POINT (-413323.639091 875404.666575)</t>
  </si>
  <si>
    <t xml:space="preserve">cwfif_national_activefires.fid--5b5096eb_19f85a2ef78_-59ed</t>
  </si>
  <si>
    <t xml:space="preserve">2026_MB_MB-NO171</t>
  </si>
  <si>
    <t xml:space="preserve">MB-NO171</t>
  </si>
  <si>
    <t xml:space="preserve">POINT (-351044.37962 922940.834542)</t>
  </si>
  <si>
    <t xml:space="preserve">cwfif_national_activefires.fid--5b5096eb_19f85a2ef78_-59ec</t>
  </si>
  <si>
    <t xml:space="preserve">2026_MB_MB-NO182</t>
  </si>
  <si>
    <t xml:space="preserve">MB-NO182</t>
  </si>
  <si>
    <t xml:space="preserve">POINT (-20250.858387 985621.72875)</t>
  </si>
  <si>
    <t xml:space="preserve">cwfif_national_activefires.fid--5b5096eb_19f85a2ef78_-59eb</t>
  </si>
  <si>
    <t xml:space="preserve">2026_MB_MB-NO181</t>
  </si>
  <si>
    <t xml:space="preserve">MB-NO181</t>
  </si>
  <si>
    <t xml:space="preserve">POINT (36411.429875 976485.491042)</t>
  </si>
  <si>
    <t xml:space="preserve">cwfif_national_activefires.fid--5b5096eb_19f85a2ef78_-59ea</t>
  </si>
  <si>
    <t xml:space="preserve">2026_MB_MB-NO180</t>
  </si>
  <si>
    <t xml:space="preserve">MB-NO180</t>
  </si>
  <si>
    <t xml:space="preserve">POINT (-223319.410635 1040309.678549)</t>
  </si>
  <si>
    <t xml:space="preserve">cwfif_national_activefires.fid--5b5096eb_19f85a2ef78_-59e9</t>
  </si>
  <si>
    <t xml:space="preserve">2026_MB_MB-NO179</t>
  </si>
  <si>
    <t xml:space="preserve">MB-NO179</t>
  </si>
  <si>
    <t xml:space="preserve">POINT (-225008.191971 1038119.315977)</t>
  </si>
  <si>
    <t xml:space="preserve">cwfif_national_activefires.fid--5b5096eb_19f85a2ef78_-59e8</t>
  </si>
  <si>
    <t xml:space="preserve">2026_MB_MB-NO184</t>
  </si>
  <si>
    <t xml:space="preserve">MB-NO184</t>
  </si>
  <si>
    <t xml:space="preserve">POINT (90715.591514 832237.772557)</t>
  </si>
  <si>
    <t xml:space="preserve">cwfif_national_activefires.fid--5b5096eb_19f85a2ef78_-59e7</t>
  </si>
  <si>
    <t xml:space="preserve">2026_MB_MB-NO101</t>
  </si>
  <si>
    <t xml:space="preserve">MB-NO101</t>
  </si>
  <si>
    <t xml:space="preserve">POINT (-225386.00863 843898.561447)</t>
  </si>
  <si>
    <t xml:space="preserve">cwfif_national_activefires.fid--5b5096eb_19f85a2ef78_-59e6</t>
  </si>
  <si>
    <t xml:space="preserve">2026_MB_MB-NO109</t>
  </si>
  <si>
    <t xml:space="preserve">MB-NO109</t>
  </si>
  <si>
    <t xml:space="preserve">POINT (-150065.034481 901973.416768)</t>
  </si>
  <si>
    <t xml:space="preserve">cwfif_national_activefires.fid--5b5096eb_19f85a2ef78_-59e5</t>
  </si>
  <si>
    <t xml:space="preserve">2026_MB_MB-NO027</t>
  </si>
  <si>
    <t xml:space="preserve">MB-NO027</t>
  </si>
  <si>
    <t xml:space="preserve">POINT (-249464.734328 738072.921481)</t>
  </si>
  <si>
    <t xml:space="preserve">cwfif_national_activefires.fid--5b5096eb_19f85a2ef78_-59e4</t>
  </si>
  <si>
    <t xml:space="preserve">2026_MB_MB-NO048</t>
  </si>
  <si>
    <t xml:space="preserve">MB-NO048</t>
  </si>
  <si>
    <t xml:space="preserve">POINT (-252881.923186 750008.730561)</t>
  </si>
  <si>
    <t xml:space="preserve">cwfif_national_activefires.fid--5b5096eb_19f85a2ef78_-59e3</t>
  </si>
  <si>
    <t xml:space="preserve">2026_MB_MB-NO055</t>
  </si>
  <si>
    <t xml:space="preserve">MB-NO055</t>
  </si>
  <si>
    <t xml:space="preserve">POINT (-338140.389239 901097.489503)</t>
  </si>
  <si>
    <t xml:space="preserve">cwfif_national_activefires.fid--5b5096eb_19f85a2ef78_-59e2</t>
  </si>
  <si>
    <t xml:space="preserve">2026_MB_MB-NO151</t>
  </si>
  <si>
    <t xml:space="preserve">MB-NO151</t>
  </si>
  <si>
    <t xml:space="preserve">POINT (-12456.381569 871232.774817)</t>
  </si>
  <si>
    <t xml:space="preserve">cwfif_national_activefires.fid--5b5096eb_19f85a2ef78_-59e1</t>
  </si>
  <si>
    <t xml:space="preserve">2026_MB_MB-NO098</t>
  </si>
  <si>
    <t xml:space="preserve">MB-NO098</t>
  </si>
  <si>
    <t xml:space="preserve">POINT (41545.728126 813724.890739)</t>
  </si>
  <si>
    <t xml:space="preserve">cwfif_national_activefires.fid--5b5096eb_19f85a2ef78_-59e0</t>
  </si>
  <si>
    <t xml:space="preserve">2026_MB_MB-NO178</t>
  </si>
  <si>
    <t xml:space="preserve">MB-NO178</t>
  </si>
  <si>
    <t xml:space="preserve">POINT (47032.669992 969907.884285)</t>
  </si>
  <si>
    <t xml:space="preserve">cwfif_national_activefires.fid--5b5096eb_19f85a2ef78_-59df</t>
  </si>
  <si>
    <t xml:space="preserve">2026_MB_MB-NO177</t>
  </si>
  <si>
    <t xml:space="preserve">MB-NO177</t>
  </si>
  <si>
    <t xml:space="preserve">POINT (82365.744658 886493.454527)</t>
  </si>
  <si>
    <t xml:space="preserve">cwfif_national_activefires.fid--5b5096eb_19f85a2ef78_-59de</t>
  </si>
  <si>
    <t xml:space="preserve">2026_MB_MB-NO176</t>
  </si>
  <si>
    <t xml:space="preserve">MB-NO176</t>
  </si>
  <si>
    <t xml:space="preserve">POINT (209762.777168 793780.877003)</t>
  </si>
  <si>
    <t xml:space="preserve">cwfif_national_activefires.fid--5b5096eb_19f85a2ef78_-59dd</t>
  </si>
  <si>
    <t xml:space="preserve">2026_MB_MB-NO113</t>
  </si>
  <si>
    <t xml:space="preserve">MB-NO113</t>
  </si>
  <si>
    <t xml:space="preserve">POINT (74031.895123 881697.436262)</t>
  </si>
  <si>
    <t xml:space="preserve">cwfif_national_activefires.fid--5b5096eb_19f85a2ef78_-59dc</t>
  </si>
  <si>
    <t xml:space="preserve">2026_MB_MB-NO174</t>
  </si>
  <si>
    <t xml:space="preserve">MB-NO174</t>
  </si>
  <si>
    <t xml:space="preserve">POINT (192227.49714 813800.983102)</t>
  </si>
  <si>
    <t xml:space="preserve">cwfif_national_activefires.fid--5b5096eb_19f85a2ef78_-59db</t>
  </si>
  <si>
    <t xml:space="preserve">2026_MB_MB-NO173</t>
  </si>
  <si>
    <t xml:space="preserve">MB-NO173</t>
  </si>
  <si>
    <t xml:space="preserve">POINT (128801.713782 841681.692831)</t>
  </si>
  <si>
    <t xml:space="preserve">cwfif_national_activefires.fid--5b5096eb_19f85a2ef78_-59da</t>
  </si>
  <si>
    <t xml:space="preserve">2026_MB_MB-NO175</t>
  </si>
  <si>
    <t xml:space="preserve">MB-NO175</t>
  </si>
  <si>
    <t xml:space="preserve">POINT (-379839.836741 1199537.440086)</t>
  </si>
  <si>
    <t xml:space="preserve">cwfif_national_activefires.fid--5b5096eb_19f85a2ef78_-59d9</t>
  </si>
  <si>
    <t xml:space="preserve">2026_MB_MB-NO172</t>
  </si>
  <si>
    <t xml:space="preserve">MB-NO172</t>
  </si>
  <si>
    <t xml:space="preserve">POINT (-397469.95098 1027819.860288)</t>
  </si>
  <si>
    <t xml:space="preserve">cwfif_national_activefires.fid--5b5096eb_19f85a2ef78_-59d8</t>
  </si>
  <si>
    <t xml:space="preserve">2026_MB_MB-NO169</t>
  </si>
  <si>
    <t xml:space="preserve">MB-NO169</t>
  </si>
  <si>
    <t xml:space="preserve">POINT (-221482.318357 1173028.289308)</t>
  </si>
  <si>
    <t xml:space="preserve">cwfif_national_activefires.fid--5b5096eb_19f85a2ef78_-59d7</t>
  </si>
  <si>
    <t xml:space="preserve">2026_MB_MB-NO120</t>
  </si>
  <si>
    <t xml:space="preserve">MB-NO120</t>
  </si>
  <si>
    <t xml:space="preserve">POINT (-130622.82429 1036406.194384)</t>
  </si>
  <si>
    <t xml:space="preserve">cwfif_national_activefires.fid--5b5096eb_19f85a2ef78_-59d6</t>
  </si>
  <si>
    <t xml:space="preserve">2026_MB_MB-NO054</t>
  </si>
  <si>
    <t xml:space="preserve">MB-NO054</t>
  </si>
  <si>
    <t xml:space="preserve">POINT (-278618.756394 1104231.13952)</t>
  </si>
  <si>
    <t xml:space="preserve">cwfif_national_activefires.fid--5b5096eb_19f85a2ef78_-59d5</t>
  </si>
  <si>
    <t xml:space="preserve">2026_MB_MB-NO154</t>
  </si>
  <si>
    <t xml:space="preserve">MB-NO154</t>
  </si>
  <si>
    <t xml:space="preserve">POINT (-302026.705976 986730.074283)</t>
  </si>
  <si>
    <t xml:space="preserve">cwfif_national_activefires.fid--5b5096eb_19f85a2ef78_-59d4</t>
  </si>
  <si>
    <t xml:space="preserve">2026_MB_MB-NO165</t>
  </si>
  <si>
    <t xml:space="preserve">MB-NO165</t>
  </si>
  <si>
    <t xml:space="preserve">POINT (-73569.657265 1016193.981657)</t>
  </si>
  <si>
    <t xml:space="preserve">cwfif_national_activefires.fid--5b5096eb_19f85a2ef78_-59d3</t>
  </si>
  <si>
    <t xml:space="preserve">2026_MB_MB-NO168</t>
  </si>
  <si>
    <t xml:space="preserve">MB-NO168</t>
  </si>
  <si>
    <t xml:space="preserve">POINT (-133011.858602 925532.843097)</t>
  </si>
  <si>
    <t xml:space="preserve">cwfif_national_activefires.fid--5b5096eb_19f85a2ef78_-59d2</t>
  </si>
  <si>
    <t xml:space="preserve">2026_MB_MB-NO163</t>
  </si>
  <si>
    <t xml:space="preserve">MB-NO163</t>
  </si>
  <si>
    <t xml:space="preserve">POINT (-321991.254629 962016.779614)</t>
  </si>
  <si>
    <t xml:space="preserve">cwfif_national_activefires.fid--5b5096eb_19f85a2ef78_-59d1</t>
  </si>
  <si>
    <t xml:space="preserve">2026_MB_MB-NO121</t>
  </si>
  <si>
    <t xml:space="preserve">MB-NO121</t>
  </si>
  <si>
    <t xml:space="preserve">POINT (-296167.188809 976202.710555)</t>
  </si>
  <si>
    <t xml:space="preserve">cwfif_national_activefires.fid--5b5096eb_19f85a2ef78_-59d0</t>
  </si>
  <si>
    <t xml:space="preserve">2026_MB_MB-NO166</t>
  </si>
  <si>
    <t xml:space="preserve">MB-NO166</t>
  </si>
  <si>
    <t xml:space="preserve">POINT (-42662.004927 914377.42544)</t>
  </si>
  <si>
    <t xml:space="preserve">cwfif_national_activefires.fid--5b5096eb_19f85a2ef78_-59cf</t>
  </si>
  <si>
    <t xml:space="preserve">2026_MB_MB-NO167</t>
  </si>
  <si>
    <t xml:space="preserve">MB-NO167</t>
  </si>
  <si>
    <t xml:space="preserve">POINT (189626.647712 836381.523084)</t>
  </si>
  <si>
    <t xml:space="preserve">cwfif_national_activefires.fid--5b5096eb_19f85a2ef78_-59ce</t>
  </si>
  <si>
    <t xml:space="preserve">2026_MB_MB-NO161</t>
  </si>
  <si>
    <t xml:space="preserve">MB-NO161</t>
  </si>
  <si>
    <t xml:space="preserve">POINT (-264099.725797 923742.770702)</t>
  </si>
  <si>
    <t xml:space="preserve">cwfif_national_activefires.fid--5b5096eb_19f85a2ef78_-59cd</t>
  </si>
  <si>
    <t xml:space="preserve">2026_MB_MB-NO073</t>
  </si>
  <si>
    <t xml:space="preserve">MB-NO073</t>
  </si>
  <si>
    <t xml:space="preserve">POINT (-337893.914177 1078456.559065)</t>
  </si>
  <si>
    <t xml:space="preserve">cwfif_national_activefires.fid--5b5096eb_19f85a2ef78_-59cc</t>
  </si>
  <si>
    <t xml:space="preserve">2026_MB_MB-NO072</t>
  </si>
  <si>
    <t xml:space="preserve">MB-NO072</t>
  </si>
  <si>
    <t xml:space="preserve">POINT (-362875.477774 1088294.869883)</t>
  </si>
  <si>
    <t xml:space="preserve">cwfif_national_activefires.fid--5b5096eb_19f85a2ef78_-59cb</t>
  </si>
  <si>
    <t xml:space="preserve">2026_MB_MB-NO089</t>
  </si>
  <si>
    <t xml:space="preserve">MB-NO089</t>
  </si>
  <si>
    <t xml:space="preserve">POINT (-365802.652052 1111911.238777)</t>
  </si>
  <si>
    <t xml:space="preserve">cwfif_national_activefires.fid--5b5096eb_19f85a2ef78_-59ca</t>
  </si>
  <si>
    <t xml:space="preserve">2026_MB_MB-NO162</t>
  </si>
  <si>
    <t xml:space="preserve">MB-NO162</t>
  </si>
  <si>
    <t xml:space="preserve">POINT (-262629.414118 944279.218844)</t>
  </si>
  <si>
    <t xml:space="preserve">cwfif_national_activefires.fid--5b5096eb_19f85a2ef78_-59c9</t>
  </si>
  <si>
    <t xml:space="preserve">2026_MB_MB-NO160</t>
  </si>
  <si>
    <t xml:space="preserve">MB-NO160</t>
  </si>
  <si>
    <t xml:space="preserve">POINT (74489.701075 1037891.024576)</t>
  </si>
  <si>
    <t xml:space="preserve">cwfif_national_activefires.fid--5b5096eb_19f85a2ef78_-59c8</t>
  </si>
  <si>
    <t xml:space="preserve">2026_MB_MB-NO158</t>
  </si>
  <si>
    <t xml:space="preserve">MB-NO158</t>
  </si>
  <si>
    <t xml:space="preserve">POINT (-112779.477962 1065625.410372)</t>
  </si>
  <si>
    <t xml:space="preserve">cwfif_national_activefires.fid--5b5096eb_19f85a2ef78_-59c7</t>
  </si>
  <si>
    <t xml:space="preserve">2026_MB_MB-NO152</t>
  </si>
  <si>
    <t xml:space="preserve">MB-NO152</t>
  </si>
  <si>
    <t xml:space="preserve">POINT (-171272.901472 1148742.079935)</t>
  </si>
  <si>
    <t xml:space="preserve">cwfif_national_activefires.fid--5b5096eb_19f85a2ef78_-59c6</t>
  </si>
  <si>
    <t xml:space="preserve">2026_MB_MB-NO153</t>
  </si>
  <si>
    <t xml:space="preserve">MB-NO153</t>
  </si>
  <si>
    <t xml:space="preserve">POINT (226978.547518 820666.87185)</t>
  </si>
  <si>
    <t xml:space="preserve">cwfif_national_activefires.fid--5b5096eb_19f85a2ef78_-59c5</t>
  </si>
  <si>
    <t xml:space="preserve">2026_MB_MB-NO147</t>
  </si>
  <si>
    <t xml:space="preserve">MB-NO147</t>
  </si>
  <si>
    <t xml:space="preserve">POINT (-254432.797509 1206717.641401)</t>
  </si>
  <si>
    <t xml:space="preserve">cwfif_national_activefires.fid--5b5096eb_19f85a2ef78_-59c4</t>
  </si>
  <si>
    <t xml:space="preserve">2026_MB_MB-NO146</t>
  </si>
  <si>
    <t xml:space="preserve">MB-NO146</t>
  </si>
  <si>
    <t xml:space="preserve">POINT (-173154.22182 994153.581473)</t>
  </si>
  <si>
    <t xml:space="preserve">cwfif_national_activefires.fid--5b5096eb_19f85a2ef78_-59c3</t>
  </si>
  <si>
    <t xml:space="preserve">2026_MB_MB-NO142</t>
  </si>
  <si>
    <t xml:space="preserve">MB-NO142</t>
  </si>
  <si>
    <t xml:space="preserve">POINT (-189350.497944 1118136.473932)</t>
  </si>
  <si>
    <t xml:space="preserve">cwfif_national_activefires.fid--5b5096eb_19f85a2ef78_-59c2</t>
  </si>
  <si>
    <t xml:space="preserve">2026_MB_MB-NO143</t>
  </si>
  <si>
    <t xml:space="preserve">MB-NO143</t>
  </si>
  <si>
    <t xml:space="preserve">POINT (-234335.855208 1182556.088514)</t>
  </si>
  <si>
    <t xml:space="preserve">cwfif_national_activefires.fid--5b5096eb_19f85a2ef78_-59c1</t>
  </si>
  <si>
    <t xml:space="preserve">2026_MB_MB-NO144</t>
  </si>
  <si>
    <t xml:space="preserve">MB-NO144</t>
  </si>
  <si>
    <t xml:space="preserve">POINT (-278927.636089 1190864.955655)</t>
  </si>
  <si>
    <t xml:space="preserve">cwfif_national_activefires.fid--5b5096eb_19f85a2ef78_-59c0</t>
  </si>
  <si>
    <t xml:space="preserve">2026_MB_MB-NO140</t>
  </si>
  <si>
    <t xml:space="preserve">MB-NO140</t>
  </si>
  <si>
    <t xml:space="preserve">POINT (264734.8928 772070.722492)</t>
  </si>
  <si>
    <t xml:space="preserve">cwfif_national_activefires.fid--5b5096eb_19f85a2ef78_-59bf</t>
  </si>
  <si>
    <t xml:space="preserve">2026_MB_MB-NO131</t>
  </si>
  <si>
    <t xml:space="preserve">MB-NO131</t>
  </si>
  <si>
    <t xml:space="preserve">POINT (224885.156944 801847.155898)</t>
  </si>
  <si>
    <t xml:space="preserve">cwfif_national_activefires.fid--5b5096eb_19f85a2ef78_-59be</t>
  </si>
  <si>
    <t xml:space="preserve">2026_MB_MB-NO133</t>
  </si>
  <si>
    <t xml:space="preserve">MB-NO133</t>
  </si>
  <si>
    <t xml:space="preserve">POINT (223231.858188 780743.797674)</t>
  </si>
  <si>
    <t xml:space="preserve">cwfif_national_activefires.fid--5b5096eb_19f85a2ef78_-59bd</t>
  </si>
  <si>
    <t xml:space="preserve">2026_MB_MB-NO136</t>
  </si>
  <si>
    <t xml:space="preserve">MB-NO136</t>
  </si>
  <si>
    <t xml:space="preserve">POINT (111558.015956 811035.493817)</t>
  </si>
  <si>
    <t xml:space="preserve">cwfif_national_activefires.fid--5b5096eb_19f85a2ef78_-59bc</t>
  </si>
  <si>
    <t xml:space="preserve">2026_MB_MB-NO137</t>
  </si>
  <si>
    <t xml:space="preserve">MB-NO137</t>
  </si>
  <si>
    <t xml:space="preserve">POINT (144005.865869 761902.780769)</t>
  </si>
  <si>
    <t xml:space="preserve">cwfif_national_activefires.fid--5b5096eb_19f85a2ef78_-59bb</t>
  </si>
  <si>
    <t xml:space="preserve">2026_MB_MB-NO138</t>
  </si>
  <si>
    <t xml:space="preserve">MB-NO138</t>
  </si>
  <si>
    <t xml:space="preserve">POINT (157348.568517 816815.190981)</t>
  </si>
  <si>
    <t xml:space="preserve">cwfif_national_activefires.fid--5b5096eb_19f85a2ef78_-59ba</t>
  </si>
  <si>
    <t xml:space="preserve">2026_MB_MB-NO139</t>
  </si>
  <si>
    <t xml:space="preserve">MB-NO139</t>
  </si>
  <si>
    <t xml:space="preserve">POINT (163708.577091 855819.937109)</t>
  </si>
  <si>
    <t xml:space="preserve">cwfif_national_activefires.fid--5b5096eb_19f85a2ef78_-59b9</t>
  </si>
  <si>
    <t xml:space="preserve">2026_MB_MB-NO132</t>
  </si>
  <si>
    <t xml:space="preserve">MB-NO132</t>
  </si>
  <si>
    <t xml:space="preserve">POINT (228784.680312 775517.941225)</t>
  </si>
  <si>
    <t xml:space="preserve">cwfif_national_activefires.fid--5b5096eb_19f85a2ef78_-59b8</t>
  </si>
  <si>
    <t xml:space="preserve">2026_MB_MB-NO130</t>
  </si>
  <si>
    <t xml:space="preserve">MB-NO130</t>
  </si>
  <si>
    <t xml:space="preserve">POINT (-354966.573865 1003021.300874)</t>
  </si>
  <si>
    <t xml:space="preserve">cwfif_national_activefires.fid--5b5096eb_19f85a2ef78_-59b7</t>
  </si>
  <si>
    <t xml:space="preserve">2026_MB_MB-NO128</t>
  </si>
  <si>
    <t xml:space="preserve">MB-NO128</t>
  </si>
  <si>
    <t xml:space="preserve">POINT (-264581.603829 1002074.308151)</t>
  </si>
  <si>
    <t xml:space="preserve">cwfif_national_activefires.fid--5b5096eb_19f85a2ef78_-59b6</t>
  </si>
  <si>
    <t xml:space="preserve">2026_MB_MB-NO127</t>
  </si>
  <si>
    <t xml:space="preserve">MB-NO127</t>
  </si>
  <si>
    <t xml:space="preserve">POINT (-172074.386887 942815.386481)</t>
  </si>
  <si>
    <t xml:space="preserve">cwfif_national_activefires.fid--5b5096eb_19f85a2ef78_-59b5</t>
  </si>
  <si>
    <t xml:space="preserve">2026_MB_MB-NO129</t>
  </si>
  <si>
    <t xml:space="preserve">MB-NO129</t>
  </si>
  <si>
    <t xml:space="preserve">POINT (-316534.430475 972388.448985)</t>
  </si>
  <si>
    <t xml:space="preserve">cwfif_national_activefires.fid--5b5096eb_19f85a2ef78_-59b4</t>
  </si>
  <si>
    <t xml:space="preserve">2026_MB_MB-NO112</t>
  </si>
  <si>
    <t xml:space="preserve">MB-NO112</t>
  </si>
  <si>
    <t xml:space="preserve">POINT (88848.949751 894285.538257)</t>
  </si>
  <si>
    <t xml:space="preserve">cwfif_national_activefires.fid--5b5096eb_19f85a2ef78_-59b3</t>
  </si>
  <si>
    <t xml:space="preserve">2026_MB_MB-NO111</t>
  </si>
  <si>
    <t xml:space="preserve">MB-NO111</t>
  </si>
  <si>
    <t xml:space="preserve">POINT (-163871.022114 996866.027524)</t>
  </si>
  <si>
    <t xml:space="preserve">cwfif_national_activefires.fid--5b5096eb_19f85a2ef78_-59b2</t>
  </si>
  <si>
    <t xml:space="preserve">2026_MB_MB-NO110</t>
  </si>
  <si>
    <t xml:space="preserve">MB-NO110</t>
  </si>
  <si>
    <t xml:space="preserve">POINT (-300108.078875 965321.653537)</t>
  </si>
  <si>
    <t xml:space="preserve">cwfif_national_activefires.fid--5b5096eb_19f85a2ef78_-59b1</t>
  </si>
  <si>
    <t xml:space="preserve">2026_MB_MB-NO094</t>
  </si>
  <si>
    <t xml:space="preserve">MB-NO094</t>
  </si>
  <si>
    <t xml:space="preserve">POINT (20346.846226 985681.981433)</t>
  </si>
  <si>
    <t xml:space="preserve">cwfif_national_activefires.fid--5b5096eb_19f85a2ef78_-59b0</t>
  </si>
  <si>
    <t xml:space="preserve">2026_MB_MB-NO093</t>
  </si>
  <si>
    <t xml:space="preserve">MB-NO093</t>
  </si>
  <si>
    <t xml:space="preserve">POINT (-110434.335363 965829.954635)</t>
  </si>
  <si>
    <t xml:space="preserve">cwfif_national_activefires.fid--5b5096eb_19f85a2ef78_-59af</t>
  </si>
  <si>
    <t xml:space="preserve">2026_MB_MB-NO091</t>
  </si>
  <si>
    <t xml:space="preserve">MB-NO091</t>
  </si>
  <si>
    <t xml:space="preserve">POINT (-111524.736175 1018064.186695)</t>
  </si>
  <si>
    <t xml:space="preserve">cwfif_national_activefires.fid--5b5096eb_19f85a2ef78_-59ae</t>
  </si>
  <si>
    <t xml:space="preserve">2026_MB_MB-NO079</t>
  </si>
  <si>
    <t xml:space="preserve">MB-NO079</t>
  </si>
  <si>
    <t xml:space="preserve">POINT (164577.961804 762172.869201)</t>
  </si>
  <si>
    <t xml:space="preserve">cwfif_national_activefires.fid--5b5096eb_19f85a2ef78_-59ad</t>
  </si>
  <si>
    <t xml:space="preserve">2026_MB_MB-NO084</t>
  </si>
  <si>
    <t xml:space="preserve">MB-NO084</t>
  </si>
  <si>
    <t xml:space="preserve">POINT (-336409.790666 951604.592453)</t>
  </si>
  <si>
    <t xml:space="preserve">cwfif_national_activefires.fid--5b5096eb_19f85a2ef78_-59ac</t>
  </si>
  <si>
    <t xml:space="preserve">2026_MB_MB-NO085</t>
  </si>
  <si>
    <t xml:space="preserve">MB-NO085</t>
  </si>
  <si>
    <t xml:space="preserve">POINT (-350129.679666 951906.46013)</t>
  </si>
  <si>
    <t xml:space="preserve">cwfif_national_activefires.fid--5b5096eb_19f85a2ef78_-59ab</t>
  </si>
  <si>
    <t xml:space="preserve">2026_MB_MB-NO087</t>
  </si>
  <si>
    <t xml:space="preserve">MB-NO087</t>
  </si>
  <si>
    <t xml:space="preserve">POINT (-284199.391194 1033127.018685)</t>
  </si>
  <si>
    <t xml:space="preserve">cwfif_national_activefires.fid--5b5096eb_19f85a2ef78_-59aa</t>
  </si>
  <si>
    <t xml:space="preserve">2026_MB_MB-NO090</t>
  </si>
  <si>
    <t xml:space="preserve">MB-NO090</t>
  </si>
  <si>
    <t xml:space="preserve">POINT (-274540.747659 1149125.683215)</t>
  </si>
  <si>
    <t xml:space="preserve">cwfif_national_activefires.fid--5b5096eb_19f85a2ef78_-59a9</t>
  </si>
  <si>
    <t xml:space="preserve">2026_MB_MB-NO029</t>
  </si>
  <si>
    <t xml:space="preserve">MB-NO029</t>
  </si>
  <si>
    <t xml:space="preserve">POINT (-377740.125244 998968.85946)</t>
  </si>
  <si>
    <t xml:space="preserve">cwfif_national_activefires.fid--5b5096eb_19f85a2ef78_-59a8</t>
  </si>
  <si>
    <t xml:space="preserve">2026_MB_MB-NO068</t>
  </si>
  <si>
    <t xml:space="preserve">MB-NO068</t>
  </si>
  <si>
    <t xml:space="preserve">POINT (-315175.830891 1192525.495411)</t>
  </si>
  <si>
    <t xml:space="preserve">cwfif_national_activefires.fid--5b5096eb_19f85a2ef78_-59a7</t>
  </si>
  <si>
    <t xml:space="preserve">2026_MB_MB-NO070</t>
  </si>
  <si>
    <t xml:space="preserve">MB-NO070</t>
  </si>
  <si>
    <t xml:space="preserve">POINT (-196660.876654 1000445.08636)</t>
  </si>
  <si>
    <t xml:space="preserve">cwfif_national_activefires.fid--5b5096eb_19f85a2ef78_-59a6</t>
  </si>
  <si>
    <t xml:space="preserve">2026_MB_MB-NO062</t>
  </si>
  <si>
    <t xml:space="preserve">MB-NO062</t>
  </si>
  <si>
    <t xml:space="preserve">POINT (-218100.622505 1129506.570478)</t>
  </si>
  <si>
    <t xml:space="preserve">cwfif_national_activefires.fid--5b5096eb_19f85a2ef78_-59a5</t>
  </si>
  <si>
    <t xml:space="preserve">2026_MB_MB-NO067</t>
  </si>
  <si>
    <t xml:space="preserve">MB-NO067</t>
  </si>
  <si>
    <t xml:space="preserve">POINT (-326212.327335 1156247.104567)</t>
  </si>
  <si>
    <t xml:space="preserve">cwfif_national_activefires.fid--5b5096eb_19f85a2ef78_-59a4</t>
  </si>
  <si>
    <t xml:space="preserve">2026_MB_MB-NO065</t>
  </si>
  <si>
    <t xml:space="preserve">MB-NO065</t>
  </si>
  <si>
    <t xml:space="preserve">POINT (-259349.084521 1084680.46336)</t>
  </si>
  <si>
    <t xml:space="preserve">cwfif_national_activefires.fid--5b5096eb_19f85a2ef78_-59a3</t>
  </si>
  <si>
    <t xml:space="preserve">2026_MB_MB-NO066</t>
  </si>
  <si>
    <t xml:space="preserve">MB-NO066</t>
  </si>
  <si>
    <t xml:space="preserve">POINT (-287502.449588 1105695.594914)</t>
  </si>
  <si>
    <t xml:space="preserve">cwfif_national_activefires.fid--5b5096eb_19f85a2ef78_-59a2</t>
  </si>
  <si>
    <t xml:space="preserve">2026_MB_MB-NO041</t>
  </si>
  <si>
    <t xml:space="preserve">MB-NO041</t>
  </si>
  <si>
    <t xml:space="preserve">POINT (-143646.042876 1108239.643124)</t>
  </si>
  <si>
    <t xml:space="preserve">cwfif_national_activefires.fid--5b5096eb_19f85a2ef78_-59a1</t>
  </si>
  <si>
    <t xml:space="preserve">2026_MB_MB-NO039</t>
  </si>
  <si>
    <t xml:space="preserve">MB-NO039</t>
  </si>
  <si>
    <t xml:space="preserve">POINT (-397655.877354 1019528.522033)</t>
  </si>
  <si>
    <t xml:space="preserve">cwfif_national_activefires.fid--5b5096eb_19f85a2ef78_-59a0</t>
  </si>
  <si>
    <t xml:space="preserve">2026_MB_MB-NO042</t>
  </si>
  <si>
    <t xml:space="preserve">MB-NO042</t>
  </si>
  <si>
    <t xml:space="preserve">POINT (-140077.542174 1125845.986517)</t>
  </si>
  <si>
    <t xml:space="preserve">cwfif_national_activefires.fid--5b5096eb_19f85a2ef78_-599f</t>
  </si>
  <si>
    <t xml:space="preserve">2026_MB_MB-NO038</t>
  </si>
  <si>
    <t xml:space="preserve">MB-NO038</t>
  </si>
  <si>
    <t xml:space="preserve">POINT (-324383.634589 954925.196991)</t>
  </si>
  <si>
    <t xml:space="preserve">cwfif_national_activefires.fid--5b5096eb_19f85a2ef78_-599e</t>
  </si>
  <si>
    <t xml:space="preserve">2026_MB_MB-NO032</t>
  </si>
  <si>
    <t xml:space="preserve">MB-NO032</t>
  </si>
  <si>
    <t xml:space="preserve">POINT (-317321.580653 845142.06046)</t>
  </si>
  <si>
    <t xml:space="preserve">cwfif_national_activefires.fid--5b5096eb_19f85a2ef78_-599d</t>
  </si>
  <si>
    <t xml:space="preserve">2026_MB_MB-NO030</t>
  </si>
  <si>
    <t xml:space="preserve">MB-NO030</t>
  </si>
  <si>
    <t xml:space="preserve">POINT (-376682.114429 1013718.306042)</t>
  </si>
  <si>
    <t xml:space="preserve">cwfif_national_activefires.fid--5b5096eb_19f85a2ef78_-599c</t>
  </si>
  <si>
    <t xml:space="preserve">2026_MB_MB-NO026</t>
  </si>
  <si>
    <t xml:space="preserve">MB-NO026</t>
  </si>
  <si>
    <t xml:space="preserve">POINT (-393078.588496 1097287.340618)</t>
  </si>
  <si>
    <t xml:space="preserve">cwfif_national_activefires.fid--5b5096eb_19f85a2ef78_-599b</t>
  </si>
  <si>
    <t xml:space="preserve">2026_MB_MB-NO035</t>
  </si>
  <si>
    <t xml:space="preserve">MB-NO035</t>
  </si>
  <si>
    <t xml:space="preserve">POINT (-317456.945807 996844.073009)</t>
  </si>
  <si>
    <t xml:space="preserve">cwfif_national_activefires.fid--5b5096eb_19f85a2ef78_-599a</t>
  </si>
  <si>
    <t xml:space="preserve">2026_MB_MB-NO034</t>
  </si>
  <si>
    <t xml:space="preserve">MB-NO034</t>
  </si>
  <si>
    <t xml:space="preserve">POINT (-333964.712853 962414.017206)</t>
  </si>
  <si>
    <t xml:space="preserve">cwfif_national_activefires.fid--5b5096eb_19f85a2ef78_-5999</t>
  </si>
  <si>
    <t xml:space="preserve">2026_MB_MB-NO023</t>
  </si>
  <si>
    <t xml:space="preserve">MB-NO023</t>
  </si>
  <si>
    <t xml:space="preserve">POINT (267806.177188 872553.529267)</t>
  </si>
  <si>
    <t xml:space="preserve">cwfif_national_activefires.fid--5b5096eb_19f85a2ef78_-5998</t>
  </si>
  <si>
    <t xml:space="preserve">2026_MB_MB-NO021</t>
  </si>
  <si>
    <t xml:space="preserve">MB-NO021</t>
  </si>
  <si>
    <t xml:space="preserve">POINT (204965.139199 853887.547857)</t>
  </si>
  <si>
    <t xml:space="preserve">cwfif_national_activefires.fid--5b5096eb_19f85a2ef78_-5997</t>
  </si>
  <si>
    <t xml:space="preserve">2026_MB_MB-NO024</t>
  </si>
  <si>
    <t xml:space="preserve">MB-NO024</t>
  </si>
  <si>
    <t xml:space="preserve">POINT (168154.345042 675122.201647)</t>
  </si>
  <si>
    <t xml:space="preserve">cwfif_national_activefires.fid--5b5096eb_19f85a2ef78_-5996</t>
  </si>
  <si>
    <t xml:space="preserve">2026_MB_MB-NO012</t>
  </si>
  <si>
    <t xml:space="preserve">MB-NO012</t>
  </si>
  <si>
    <t xml:space="preserve">POINT (-123746.160864 1065624.347829)</t>
  </si>
  <si>
    <t xml:space="preserve">cwfif_national_activefires.fid--5b5096eb_19f85a2ef78_-5995</t>
  </si>
  <si>
    <t xml:space="preserve">2026_MB_MB-NO009</t>
  </si>
  <si>
    <t xml:space="preserve">MB-NO009</t>
  </si>
  <si>
    <t xml:space="preserve">POINT (-293710.659 994527.173781)</t>
  </si>
  <si>
    <t xml:space="preserve">cwfif_national_activefires.fid--5b5096eb_19f85a2ef78_-5994</t>
  </si>
  <si>
    <t xml:space="preserve">2026_MB_MB-NO013</t>
  </si>
  <si>
    <t xml:space="preserve">MB-NO013</t>
  </si>
  <si>
    <t xml:space="preserve">POINT (-114825.39927 1057067.746845)</t>
  </si>
  <si>
    <t xml:space="preserve">cwfif_national_activefires.fid--5b5096eb_19f85a2ef78_-5993</t>
  </si>
  <si>
    <t xml:space="preserve">NB</t>
  </si>
  <si>
    <t xml:space="preserve">2026_NB_2026310</t>
  </si>
  <si>
    <t xml:space="preserve">POINT (2142796.737969 92145.816032)</t>
  </si>
  <si>
    <t xml:space="preserve">cwfif_national_activefires.fid--5b5096eb_19f85a2ef78_-5992</t>
  </si>
  <si>
    <t xml:space="preserve">NL</t>
  </si>
  <si>
    <t xml:space="preserve">2026_NL_606</t>
  </si>
  <si>
    <t xml:space="preserve">POINT (1845346.709977 928132.285584)</t>
  </si>
  <si>
    <t xml:space="preserve">cwfif_national_activefires.fid--5b5096eb_19f85a2ef78_-5991</t>
  </si>
  <si>
    <t xml:space="preserve">2026_NL_617</t>
  </si>
  <si>
    <t xml:space="preserve">POINT (1785073.489603 998864.226154)</t>
  </si>
  <si>
    <t xml:space="preserve">cwfif_national_activefires.fid--5b5096eb_19f85a2ef78_-5990</t>
  </si>
  <si>
    <t xml:space="preserve">2026_NL_636</t>
  </si>
  <si>
    <t xml:space="preserve">POINT (1898328.347917 813869.883558)</t>
  </si>
  <si>
    <t xml:space="preserve">cwfif_national_activefires.fid--5b5096eb_19f85a2ef78_-598f</t>
  </si>
  <si>
    <t xml:space="preserve">2026_NL_605</t>
  </si>
  <si>
    <t xml:space="preserve">POINT (1876692.726094 810273.86715)</t>
  </si>
  <si>
    <t xml:space="preserve">cwfif_national_activefires.fid--5b5096eb_19f85a2ef78_-598e</t>
  </si>
  <si>
    <t xml:space="preserve">2026_NL_639</t>
  </si>
  <si>
    <t xml:space="preserve">POINT (1774716.79383 832590.173868)</t>
  </si>
  <si>
    <t xml:space="preserve">cwfif_national_activefires.fid--5b5096eb_19f85a2ef78_-598d</t>
  </si>
  <si>
    <t xml:space="preserve">NS</t>
  </si>
  <si>
    <t xml:space="preserve">2026_NS_09-013-2026</t>
  </si>
  <si>
    <t xml:space="preserve">09-013-2026</t>
  </si>
  <si>
    <t xml:space="preserve">POINT (2485167.868106 184970.695114)</t>
  </si>
  <si>
    <t xml:space="preserve">cwfif_national_activefires.fid--5b5096eb_19f85a2ef78_-598c</t>
  </si>
  <si>
    <t xml:space="preserve">2026_NS_06-013-2026</t>
  </si>
  <si>
    <t xml:space="preserve">06-013-2026</t>
  </si>
  <si>
    <t xml:space="preserve">POINT (2302131.964595 60598.539594)</t>
  </si>
  <si>
    <t xml:space="preserve">cwfif_national_activefires.fid--5b5096eb_19f85a2ef78_-598b</t>
  </si>
  <si>
    <t xml:space="preserve">NT</t>
  </si>
  <si>
    <t xml:space="preserve">FS</t>
  </si>
  <si>
    <t xml:space="preserve">2026_NT_FS045-26</t>
  </si>
  <si>
    <t xml:space="preserve">FS045-26</t>
  </si>
  <si>
    <t xml:space="preserve">POINT (-1300816.548412 1745567.122881)</t>
  </si>
  <si>
    <t xml:space="preserve">cwfif_national_activefires.fid--5b5096eb_19f85a2ef78_-598a</t>
  </si>
  <si>
    <t xml:space="preserve">SS</t>
  </si>
  <si>
    <t xml:space="preserve">2026_NT_SS045-26</t>
  </si>
  <si>
    <t xml:space="preserve">SS045-26</t>
  </si>
  <si>
    <t xml:space="preserve">POINT (-808727.253603 1339831.233852)</t>
  </si>
  <si>
    <t xml:space="preserve">cwfif_national_activefires.fid--5b5096eb_19f85a2ef78_-5989</t>
  </si>
  <si>
    <t xml:space="preserve">2026_NT_SS043-26</t>
  </si>
  <si>
    <t xml:space="preserve">SS043-26</t>
  </si>
  <si>
    <t xml:space="preserve">POINT (-437750.717455 1357685.61514)</t>
  </si>
  <si>
    <t xml:space="preserve">cwfif_national_activefires.fid--5b5096eb_19f85a2ef78_-5988</t>
  </si>
  <si>
    <t xml:space="preserve">2026_NT_SS042-26</t>
  </si>
  <si>
    <t xml:space="preserve">SS042-26</t>
  </si>
  <si>
    <t xml:space="preserve">POINT (-772662.175163 1405441.986235)</t>
  </si>
  <si>
    <t xml:space="preserve">cwfif_national_activefires.fid--5b5096eb_19f85a2ef78_-5987</t>
  </si>
  <si>
    <t xml:space="preserve">2026_NT_SS044-26</t>
  </si>
  <si>
    <t xml:space="preserve">SS044-26</t>
  </si>
  <si>
    <t xml:space="preserve">POINT (-573347.110586 1427054.519582)</t>
  </si>
  <si>
    <t xml:space="preserve">cwfif_national_activefires.fid--5b5096eb_19f85a2ef78_-5986</t>
  </si>
  <si>
    <t xml:space="preserve">VQ</t>
  </si>
  <si>
    <t xml:space="preserve">2026_NT_VQ050-26</t>
  </si>
  <si>
    <t xml:space="preserve">VQ050-26</t>
  </si>
  <si>
    <t xml:space="preserve">POINT (-1266423.17107 2123550.924499)</t>
  </si>
  <si>
    <t xml:space="preserve">cwfif_national_activefires.fid--5b5096eb_19f85a2ef78_-5985</t>
  </si>
  <si>
    <t xml:space="preserve">2026_NT_VQ076-26</t>
  </si>
  <si>
    <t xml:space="preserve">VQ076-26</t>
  </si>
  <si>
    <t xml:space="preserve">POINT (-1330602.490458 2105643.652259)</t>
  </si>
  <si>
    <t xml:space="preserve">cwfif_national_activefires.fid--5b5096eb_19f85a2ef78_-5984</t>
  </si>
  <si>
    <t xml:space="preserve">2026_NT_SS050-26</t>
  </si>
  <si>
    <t xml:space="preserve">SS050-26</t>
  </si>
  <si>
    <t xml:space="preserve">POINT (-772392.084078 1406582.146897)</t>
  </si>
  <si>
    <t xml:space="preserve">cwfif_national_activefires.fid--5b5096eb_19f85a2ef78_-5983</t>
  </si>
  <si>
    <t xml:space="preserve">ZF</t>
  </si>
  <si>
    <t xml:space="preserve">2026_NT_ZF028-26</t>
  </si>
  <si>
    <t xml:space="preserve">ZF028-26</t>
  </si>
  <si>
    <t xml:space="preserve">POINT (-1027664.761932 1719383.456474)</t>
  </si>
  <si>
    <t xml:space="preserve">cwfif_national_activefires.fid--5b5096eb_19f85a2ef78_-5982</t>
  </si>
  <si>
    <t xml:space="preserve">2026_NT_ZF058-26</t>
  </si>
  <si>
    <t xml:space="preserve">ZF058-26</t>
  </si>
  <si>
    <t xml:space="preserve">POINT (-1052274.803294 1851822.172816)</t>
  </si>
  <si>
    <t xml:space="preserve">cwfif_national_activefires.fid--5b5096eb_19f85a2ef78_-5981</t>
  </si>
  <si>
    <t xml:space="preserve">EV</t>
  </si>
  <si>
    <t xml:space="preserve">2026_NT_EV010-26</t>
  </si>
  <si>
    <t xml:space="preserve">EV010-26</t>
  </si>
  <si>
    <t xml:space="preserve">POINT (-1554204.945199 2306489.32487)</t>
  </si>
  <si>
    <t xml:space="preserve">cwfif_national_activefires.fid--5b5096eb_19f85a2ef78_-5980</t>
  </si>
  <si>
    <t xml:space="preserve">2026_NT_VQ075-26</t>
  </si>
  <si>
    <t xml:space="preserve">VQ075-26</t>
  </si>
  <si>
    <t xml:space="preserve">POINT (-1124709.23426 1948085.984658)</t>
  </si>
  <si>
    <t xml:space="preserve">cwfif_national_activefires.fid--5b5096eb_19f85a2ef78_-597f</t>
  </si>
  <si>
    <t xml:space="preserve">2026_NT_VQ073-26</t>
  </si>
  <si>
    <t xml:space="preserve">VQ073-26</t>
  </si>
  <si>
    <t xml:space="preserve">POINT (-1385668.005557 2003472.523856)</t>
  </si>
  <si>
    <t xml:space="preserve">cwfif_national_activefires.fid--5b5096eb_19f85a2ef78_-597e</t>
  </si>
  <si>
    <t xml:space="preserve">2026_NT_SS025-26</t>
  </si>
  <si>
    <t xml:space="preserve">SS025-26</t>
  </si>
  <si>
    <t xml:space="preserve">POINT (-587992.023753 1403071.060339)</t>
  </si>
  <si>
    <t xml:space="preserve">cwfif_national_activefires.fid--5b5096eb_19f85a2ef78_-597d</t>
  </si>
  <si>
    <t xml:space="preserve">2026_NT_SS030-26</t>
  </si>
  <si>
    <t xml:space="preserve">SS030-26</t>
  </si>
  <si>
    <t xml:space="preserve">POINT (-457721.989363 1315067.751153)</t>
  </si>
  <si>
    <t xml:space="preserve">cwfif_national_activefires.fid--5b5096eb_19f85a2ef78_-597c</t>
  </si>
  <si>
    <t xml:space="preserve">2026_NT_SS022-26</t>
  </si>
  <si>
    <t xml:space="preserve">SS022-26</t>
  </si>
  <si>
    <t xml:space="preserve">POINT (-787012.05453 1375899.391067)</t>
  </si>
  <si>
    <t xml:space="preserve">cwfif_national_activefires.fid--5b5096eb_19f85a2ef78_-597b</t>
  </si>
  <si>
    <t xml:space="preserve">2026_NT_SS023-26</t>
  </si>
  <si>
    <t xml:space="preserve">SS023-26</t>
  </si>
  <si>
    <t xml:space="preserve">POINT (-717700.471121 1331437.973261)</t>
  </si>
  <si>
    <t xml:space="preserve">cwfif_national_activefires.fid--5b5096eb_19f85a2ef78_-597a</t>
  </si>
  <si>
    <t xml:space="preserve">2026_NT_SS011-26</t>
  </si>
  <si>
    <t xml:space="preserve">SS011-26</t>
  </si>
  <si>
    <t xml:space="preserve">POINT (-460591.868389 1376926.575263)</t>
  </si>
  <si>
    <t xml:space="preserve">cwfif_national_activefires.fid--5b5096eb_19f85a2ef78_-5979</t>
  </si>
  <si>
    <t xml:space="preserve">2026_NT_SS016-26</t>
  </si>
  <si>
    <t xml:space="preserve">SS016-26</t>
  </si>
  <si>
    <t xml:space="preserve">POINT (-806399.00883 1344182.943651)</t>
  </si>
  <si>
    <t xml:space="preserve">cwfif_national_activefires.fid--5b5096eb_19f85a2ef78_-5978</t>
  </si>
  <si>
    <t xml:space="preserve">2026_NT_SS027-26</t>
  </si>
  <si>
    <t xml:space="preserve">SS027-26</t>
  </si>
  <si>
    <t xml:space="preserve">POINT (-430634.484315 1253808.024485)</t>
  </si>
  <si>
    <t xml:space="preserve">cwfif_national_activefires.fid--5b5096eb_19f85a2ef78_-5977</t>
  </si>
  <si>
    <t xml:space="preserve">2026_NT_SS024-26</t>
  </si>
  <si>
    <t xml:space="preserve">SS024-26</t>
  </si>
  <si>
    <t xml:space="preserve">POINT (-572276.272974 1432311.247994)</t>
  </si>
  <si>
    <t xml:space="preserve">cwfif_national_activefires.fid--5b5096eb_19f85a2ef78_-5976</t>
  </si>
  <si>
    <t xml:space="preserve">2026_NT_SS034-26</t>
  </si>
  <si>
    <t xml:space="preserve">SS034-26</t>
  </si>
  <si>
    <t xml:space="preserve">POINT (-727822.43365 1486529.83267)</t>
  </si>
  <si>
    <t xml:space="preserve">cwfif_national_activefires.fid--5b5096eb_19f85a2ef78_-5975</t>
  </si>
  <si>
    <t xml:space="preserve">2026_NT_ZF065-26</t>
  </si>
  <si>
    <t xml:space="preserve">ZF065-26</t>
  </si>
  <si>
    <t xml:space="preserve">POINT (-588423.808734 1483641.076213)</t>
  </si>
  <si>
    <t xml:space="preserve">cwfif_national_activefires.fid--5b5096eb_19f85a2ef78_-5974</t>
  </si>
  <si>
    <t xml:space="preserve">2026_NT_SS021-26</t>
  </si>
  <si>
    <t xml:space="preserve">SS021-26</t>
  </si>
  <si>
    <t xml:space="preserve">POINT (-815424.550625 1359437.862154)</t>
  </si>
  <si>
    <t xml:space="preserve">cwfif_national_activefires.fid--5b5096eb_19f85a2ef78_-5973</t>
  </si>
  <si>
    <t xml:space="preserve">2026_NT_ZF062-26</t>
  </si>
  <si>
    <t xml:space="preserve">ZF062-26</t>
  </si>
  <si>
    <t xml:space="preserve">POINT (-665549.011996 1600515.63957)</t>
  </si>
  <si>
    <t xml:space="preserve">cwfif_national_activefires.fid--5b5096eb_19f85a2ef78_-5972</t>
  </si>
  <si>
    <t xml:space="preserve">2026_NT_ZF063-26</t>
  </si>
  <si>
    <t xml:space="preserve">ZF063-26</t>
  </si>
  <si>
    <t xml:space="preserve">POINT (-609842.758658 1549169.551621)</t>
  </si>
  <si>
    <t xml:space="preserve">cwfif_national_activefires.fid--5b5096eb_19f85a2ef78_-5971</t>
  </si>
  <si>
    <t xml:space="preserve">2026_NT_ZF064-26</t>
  </si>
  <si>
    <t xml:space="preserve">ZF064-26</t>
  </si>
  <si>
    <t xml:space="preserve">POINT (-563892.65965 1567171.4469)</t>
  </si>
  <si>
    <t xml:space="preserve">cwfif_national_activefires.fid--5b5096eb_19f85a2ef78_-5970</t>
  </si>
  <si>
    <t xml:space="preserve">2026_NT_SS035-26</t>
  </si>
  <si>
    <t xml:space="preserve">SS035-26</t>
  </si>
  <si>
    <t xml:space="preserve">POINT (-881677.446214 1522659.623651)</t>
  </si>
  <si>
    <t xml:space="preserve">cwfif_national_activefires.fid--5b5096eb_19f85a2ef78_-596f</t>
  </si>
  <si>
    <t xml:space="preserve">2026_NT_ZF067-26</t>
  </si>
  <si>
    <t xml:space="preserve">ZF067-26</t>
  </si>
  <si>
    <t xml:space="preserve">POINT (-1050703.530495 1914061.347658)</t>
  </si>
  <si>
    <t xml:space="preserve">cwfif_national_activefires.fid--5b5096eb_19f85a2ef78_-596e</t>
  </si>
  <si>
    <t xml:space="preserve">2026_NT_ZF066-26</t>
  </si>
  <si>
    <t xml:space="preserve">ZF066-26</t>
  </si>
  <si>
    <t xml:space="preserve">POINT (-460036.61032 1572332.560818)</t>
  </si>
  <si>
    <t xml:space="preserve">cwfif_national_activefires.fid--5b5096eb_19f85a2ef78_-596d</t>
  </si>
  <si>
    <t xml:space="preserve">2026_NT_ZF061-26</t>
  </si>
  <si>
    <t xml:space="preserve">ZF061-26</t>
  </si>
  <si>
    <t xml:space="preserve">POINT (-1016841.430443 1614850.698125)</t>
  </si>
  <si>
    <t xml:space="preserve">cwfif_national_activefires.fid--5b5096eb_19f85a2ef78_-596c</t>
  </si>
  <si>
    <t xml:space="preserve">2026_NT_VQ074-26</t>
  </si>
  <si>
    <t xml:space="preserve">VQ074-26</t>
  </si>
  <si>
    <t xml:space="preserve">POINT (-1382906.612312 1951578.427818)</t>
  </si>
  <si>
    <t xml:space="preserve">cwfif_national_activefires.fid--5b5096eb_19f85a2ef78_-596b</t>
  </si>
  <si>
    <t xml:space="preserve">2026_NT_ZF060-26</t>
  </si>
  <si>
    <t xml:space="preserve">ZF060-26</t>
  </si>
  <si>
    <t xml:space="preserve">POINT (-944145.970978 1621764.625758)</t>
  </si>
  <si>
    <t xml:space="preserve">cwfif_national_activefires.fid--5b5096eb_19f85a2ef78_-596a</t>
  </si>
  <si>
    <t xml:space="preserve">2026_NT_FS016-26</t>
  </si>
  <si>
    <t xml:space="preserve">FS016-26</t>
  </si>
  <si>
    <t xml:space="preserve">POINT (-1314933.031022 1673616.232002)</t>
  </si>
  <si>
    <t xml:space="preserve">cwfif_national_activefires.fid--5b5096eb_19f85a2ef78_-5969</t>
  </si>
  <si>
    <t xml:space="preserve">2026_NT_SS041-26</t>
  </si>
  <si>
    <t xml:space="preserve">SS041-26</t>
  </si>
  <si>
    <t xml:space="preserve">POINT (-793164.3679 1412085.129678)</t>
  </si>
  <si>
    <t xml:space="preserve">cwfif_national_activefires.fid--5b5096eb_19f85a2ef78_-5968</t>
  </si>
  <si>
    <t xml:space="preserve">2026_NT_ZF059-26</t>
  </si>
  <si>
    <t xml:space="preserve">ZF059-26</t>
  </si>
  <si>
    <t xml:space="preserve">POINT (-790175.438628 1702208.38188)</t>
  </si>
  <si>
    <t xml:space="preserve">cwfif_national_activefires.fid--5b5096eb_19f85a2ef78_-5967</t>
  </si>
  <si>
    <t xml:space="preserve">2026_NT_ZF057-26</t>
  </si>
  <si>
    <t xml:space="preserve">ZF057-26</t>
  </si>
  <si>
    <t xml:space="preserve">POINT (-775494.738933 1901460.21049)</t>
  </si>
  <si>
    <t xml:space="preserve">cwfif_national_activefires.fid--5b5096eb_19f85a2ef78_-5966</t>
  </si>
  <si>
    <t xml:space="preserve">2026_NT_FS014-26</t>
  </si>
  <si>
    <t xml:space="preserve">FS014-26</t>
  </si>
  <si>
    <t xml:space="preserve">POINT (-1325346.674379 1646251.422136)</t>
  </si>
  <si>
    <t xml:space="preserve">cwfif_national_activefires.fid--5b5096eb_19f85a2ef78_-5965</t>
  </si>
  <si>
    <t xml:space="preserve">2026_NT_FS015-26</t>
  </si>
  <si>
    <t xml:space="preserve">FS015-26</t>
  </si>
  <si>
    <t xml:space="preserve">POINT (-1338412.317677 1870547.552482)</t>
  </si>
  <si>
    <t xml:space="preserve">cwfif_national_activefires.fid--5b5096eb_19f85a2ef78_-5964</t>
  </si>
  <si>
    <t xml:space="preserve">2026_NT_ZF037-26</t>
  </si>
  <si>
    <t xml:space="preserve">ZF037-26</t>
  </si>
  <si>
    <t xml:space="preserve">POINT (-858662.545713 1661276.583539)</t>
  </si>
  <si>
    <t xml:space="preserve">cwfif_national_activefires.fid--5b5096eb_19f85a2ef78_-5963</t>
  </si>
  <si>
    <t xml:space="preserve">2026_NT_ZF055-26</t>
  </si>
  <si>
    <t xml:space="preserve">ZF055-26</t>
  </si>
  <si>
    <t xml:space="preserve">POINT (-834790.977871 1820572.229691)</t>
  </si>
  <si>
    <t xml:space="preserve">cwfif_national_activefires.fid--5b5096eb_19f85a2ef78_-5962</t>
  </si>
  <si>
    <t xml:space="preserve">2026_NT_ZF054-26</t>
  </si>
  <si>
    <t xml:space="preserve">ZF054-26</t>
  </si>
  <si>
    <t xml:space="preserve">POINT (-436918.021108 1626914.634792)</t>
  </si>
  <si>
    <t xml:space="preserve">cwfif_national_activefires.fid--5b5096eb_19f85a2ef78_-5961</t>
  </si>
  <si>
    <t xml:space="preserve">2026_NT_ZF056-26</t>
  </si>
  <si>
    <t xml:space="preserve">ZF056-26</t>
  </si>
  <si>
    <t xml:space="preserve">POINT (-583566.94739 1725556.149797)</t>
  </si>
  <si>
    <t xml:space="preserve">cwfif_national_activefires.fid--5b5096eb_19f85a2ef78_-5960</t>
  </si>
  <si>
    <t xml:space="preserve">2026_NT_SS001-26</t>
  </si>
  <si>
    <t xml:space="preserve">SS001-26</t>
  </si>
  <si>
    <t xml:space="preserve">POINT (-1148422.625521 1558713.322533)</t>
  </si>
  <si>
    <t xml:space="preserve">cwfif_national_activefires.fid--5b5096eb_19f85a2ef78_-595f</t>
  </si>
  <si>
    <t xml:space="preserve">2026_NT_ZF053-26</t>
  </si>
  <si>
    <t xml:space="preserve">ZF053-26</t>
  </si>
  <si>
    <t xml:space="preserve">POINT (-728382.344616 1663529.438621)</t>
  </si>
  <si>
    <t xml:space="preserve">cwfif_national_activefires.fid--5b5096eb_19f85a2ef78_-595e</t>
  </si>
  <si>
    <t xml:space="preserve">2026_NT_ZF018-26</t>
  </si>
  <si>
    <t xml:space="preserve">ZF018-26</t>
  </si>
  <si>
    <t xml:space="preserve">POINT (-1003680.817964 1957804.258793)</t>
  </si>
  <si>
    <t xml:space="preserve">cwfif_national_activefires.fid--5b5096eb_19f85a2ef78_-595d</t>
  </si>
  <si>
    <t xml:space="preserve">2026_NT_ZF039-26</t>
  </si>
  <si>
    <t xml:space="preserve">ZF039-26</t>
  </si>
  <si>
    <t xml:space="preserve">POINT (-950077.163951 1856355.545452)</t>
  </si>
  <si>
    <t xml:space="preserve">cwfif_national_activefires.fid--5b5096eb_19f85a2ef78_-595c</t>
  </si>
  <si>
    <t xml:space="preserve">2026_NT_ZF042-26</t>
  </si>
  <si>
    <t xml:space="preserve">ZF042-26</t>
  </si>
  <si>
    <t xml:space="preserve">POINT (-1104934.193884 1814483.094726)</t>
  </si>
  <si>
    <t xml:space="preserve">cwfif_national_activefires.fid--5b5096eb_19f85a2ef78_-595b</t>
  </si>
  <si>
    <t xml:space="preserve">2026_NT_ZF029-26</t>
  </si>
  <si>
    <t xml:space="preserve">ZF029-26</t>
  </si>
  <si>
    <t xml:space="preserve">POINT (-980841.156726 1846735.603856)</t>
  </si>
  <si>
    <t xml:space="preserve">cwfif_national_activefires.fid--5b5096eb_19f85a2ef78_-595a</t>
  </si>
  <si>
    <t xml:space="preserve">2026_NT_ZF017-26</t>
  </si>
  <si>
    <t xml:space="preserve">ZF017-26</t>
  </si>
  <si>
    <t xml:space="preserve">POINT (-1159376.716535 1839045.686073)</t>
  </si>
  <si>
    <t xml:space="preserve">cwfif_national_activefires.fid--5b5096eb_19f85a2ef78_-5959</t>
  </si>
  <si>
    <t xml:space="preserve">2026_NT_ZF015-26</t>
  </si>
  <si>
    <t xml:space="preserve">ZF015-26</t>
  </si>
  <si>
    <t xml:space="preserve">POINT (-931230.206769 1871472.817582)</t>
  </si>
  <si>
    <t xml:space="preserve">cwfif_national_activefires.fid--5b5096eb_19f85a2ef78_-5958</t>
  </si>
  <si>
    <t xml:space="preserve">2026_NT_ZF052-26</t>
  </si>
  <si>
    <t xml:space="preserve">ZF052-26</t>
  </si>
  <si>
    <t xml:space="preserve">POINT (-1087558.603296 1822334.009116)</t>
  </si>
  <si>
    <t xml:space="preserve">cwfif_national_activefires.fid--5b5096eb_19f85a2ef78_-5957</t>
  </si>
  <si>
    <t xml:space="preserve">2026_NT_ZF033-26</t>
  </si>
  <si>
    <t xml:space="preserve">ZF033-26</t>
  </si>
  <si>
    <t xml:space="preserve">POINT (-873937.476334 1677459.043028)</t>
  </si>
  <si>
    <t xml:space="preserve">cwfif_national_activefires.fid--5b5096eb_19f85a2ef78_-5956</t>
  </si>
  <si>
    <t xml:space="preserve">2026_NT_ZF051-26</t>
  </si>
  <si>
    <t xml:space="preserve">ZF051-26</t>
  </si>
  <si>
    <t xml:space="preserve">POINT (-725566.73472 1635931.175446)</t>
  </si>
  <si>
    <t xml:space="preserve">cwfif_national_activefires.fid--5b5096eb_19f85a2ef78_-5955</t>
  </si>
  <si>
    <t xml:space="preserve">2026_NT_ZF048-26</t>
  </si>
  <si>
    <t xml:space="preserve">ZF048-26</t>
  </si>
  <si>
    <t xml:space="preserve">POINT (-1133414.128608 1809872.80095)</t>
  </si>
  <si>
    <t xml:space="preserve">cwfif_national_activefires.fid--5b5096eb_19f85a2ef78_-5954</t>
  </si>
  <si>
    <t xml:space="preserve">2026_NT_ZF050-26</t>
  </si>
  <si>
    <t xml:space="preserve">ZF050-26</t>
  </si>
  <si>
    <t xml:space="preserve">POINT (-710632.700551 1699003.025985)</t>
  </si>
  <si>
    <t xml:space="preserve">cwfif_national_activefires.fid--5b5096eb_19f85a2ef78_-5953</t>
  </si>
  <si>
    <t xml:space="preserve">2026_NT_VQ026-26</t>
  </si>
  <si>
    <t xml:space="preserve">VQ026-26</t>
  </si>
  <si>
    <t xml:space="preserve">POINT (-1402984.575034 2010021.443101)</t>
  </si>
  <si>
    <t xml:space="preserve">cwfif_national_activefires.fid--5b5096eb_19f85a2ef78_-5952</t>
  </si>
  <si>
    <t xml:space="preserve">2026_NT_VQ067-26</t>
  </si>
  <si>
    <t xml:space="preserve">VQ067-26</t>
  </si>
  <si>
    <t xml:space="preserve">POINT (-1377563.731159 2016774.232533)</t>
  </si>
  <si>
    <t xml:space="preserve">cwfif_national_activefires.fid--5b5096eb_19f85a2ef78_-5951</t>
  </si>
  <si>
    <t xml:space="preserve">2026_NT_ZF049-26</t>
  </si>
  <si>
    <t xml:space="preserve">ZF049-26</t>
  </si>
  <si>
    <t xml:space="preserve">POINT (-1066849.360073 1845500.213246)</t>
  </si>
  <si>
    <t xml:space="preserve">cwfif_national_activefires.fid--5b5096eb_19f85a2ef78_-5950</t>
  </si>
  <si>
    <t xml:space="preserve">2026_NT_VQ037-26</t>
  </si>
  <si>
    <t xml:space="preserve">VQ037-26</t>
  </si>
  <si>
    <t xml:space="preserve">POINT (-1067719.991316 2005704.489612)</t>
  </si>
  <si>
    <t xml:space="preserve">cwfif_national_activefires.fid--5b5096eb_19f85a2ef78_-594f</t>
  </si>
  <si>
    <t xml:space="preserve">2026_NT_ZF045-26</t>
  </si>
  <si>
    <t xml:space="preserve">ZF045-26</t>
  </si>
  <si>
    <t xml:space="preserve">POINT (-789170.788519 1685162.62912)</t>
  </si>
  <si>
    <t xml:space="preserve">cwfif_national_activefires.fid--5b5096eb_19f85a2ef78_-594e</t>
  </si>
  <si>
    <t xml:space="preserve">2026_NT_ZF046-26</t>
  </si>
  <si>
    <t xml:space="preserve">ZF046-26</t>
  </si>
  <si>
    <t xml:space="preserve">POINT (-542567.03791 1540535.927401)</t>
  </si>
  <si>
    <t xml:space="preserve">cwfif_national_activefires.fid--5b5096eb_19f85a2ef78_-594d</t>
  </si>
  <si>
    <t xml:space="preserve">2026_NT_ZF047-26</t>
  </si>
  <si>
    <t xml:space="preserve">ZF047-26</t>
  </si>
  <si>
    <t xml:space="preserve">POINT (-1139176.616174 1812707.940343)</t>
  </si>
  <si>
    <t xml:space="preserve">cwfif_national_activefires.fid--5b5096eb_19f85a2ef78_-594c</t>
  </si>
  <si>
    <t xml:space="preserve">2026_NT_ZF012-26</t>
  </si>
  <si>
    <t xml:space="preserve">ZF012-26</t>
  </si>
  <si>
    <t xml:space="preserve">POINT (-972092.018831 1974805.626338)</t>
  </si>
  <si>
    <t xml:space="preserve">cwfif_national_activefires.fid--5b5096eb_19f85a2ef78_-594b</t>
  </si>
  <si>
    <t xml:space="preserve">2026_NT_ZF021-26</t>
  </si>
  <si>
    <t xml:space="preserve">ZF021-26</t>
  </si>
  <si>
    <t xml:space="preserve">POINT (-1117080.749551 1864899.779874)</t>
  </si>
  <si>
    <t xml:space="preserve">cwfif_national_activefires.fid--5b5096eb_19f85a2ef78_-594a</t>
  </si>
  <si>
    <t xml:space="preserve">2026_NT_ZF044-26</t>
  </si>
  <si>
    <t xml:space="preserve">ZF044-26</t>
  </si>
  <si>
    <t xml:space="preserve">POINT (-870422.876401 1577762.19888)</t>
  </si>
  <si>
    <t xml:space="preserve">cwfif_national_activefires.fid--5b5096eb_19f85a2ef78_-5949</t>
  </si>
  <si>
    <t xml:space="preserve">2026_NT_SS019-26</t>
  </si>
  <si>
    <t xml:space="preserve">SS019-26</t>
  </si>
  <si>
    <t xml:space="preserve">POINT (-1099216.316502 1471640.851121)</t>
  </si>
  <si>
    <t xml:space="preserve">cwfif_national_activefires.fid--5b5096eb_19f85a2ef78_-5948</t>
  </si>
  <si>
    <t xml:space="preserve">2026_NT_FS044-26</t>
  </si>
  <si>
    <t xml:space="preserve">FS044-26</t>
  </si>
  <si>
    <t xml:space="preserve">POINT (-1300329.894281 1751167.980074)</t>
  </si>
  <si>
    <t xml:space="preserve">cwfif_national_activefires.fid--5b5096eb_19f85a2ef78_-5947</t>
  </si>
  <si>
    <t xml:space="preserve">2026_NT_VQ069-26</t>
  </si>
  <si>
    <t xml:space="preserve">VQ069-26</t>
  </si>
  <si>
    <t xml:space="preserve">POINT (-1338314.540659 2093027.262951)</t>
  </si>
  <si>
    <t xml:space="preserve">cwfif_national_activefires.fid--5b5096eb_19f85a2ef78_-5946</t>
  </si>
  <si>
    <t xml:space="preserve">2026_NT_FS043-26</t>
  </si>
  <si>
    <t xml:space="preserve">FS043-26</t>
  </si>
  <si>
    <t xml:space="preserve">POINT (-1328572.864511 1911081.102508)</t>
  </si>
  <si>
    <t xml:space="preserve">cwfif_national_activefires.fid--5b5096eb_19f85a2ef78_-5945</t>
  </si>
  <si>
    <t xml:space="preserve">2026_NT_ZF043-26</t>
  </si>
  <si>
    <t xml:space="preserve">ZF043-26</t>
  </si>
  <si>
    <t xml:space="preserve">POINT (-868545.337324 1971144.953473)</t>
  </si>
  <si>
    <t xml:space="preserve">cwfif_national_activefires.fid--5b5096eb_19f85a2ef78_-5944</t>
  </si>
  <si>
    <t xml:space="preserve">2026_NT_ZF040-26</t>
  </si>
  <si>
    <t xml:space="preserve">ZF040-26</t>
  </si>
  <si>
    <t xml:space="preserve">POINT (-830126.752289 1956736.390674)</t>
  </si>
  <si>
    <t xml:space="preserve">cwfif_national_activefires.fid--5b5096eb_19f85a2ef78_-5943</t>
  </si>
  <si>
    <t xml:space="preserve">2026_NT_ZF041-26</t>
  </si>
  <si>
    <t xml:space="preserve">ZF041-26</t>
  </si>
  <si>
    <t xml:space="preserve">POINT (-850062.610256 1969698.594735)</t>
  </si>
  <si>
    <t xml:space="preserve">cwfif_national_activefires.fid--5b5096eb_19f85a2ef78_-5942</t>
  </si>
  <si>
    <t xml:space="preserve">2026_NT_VQ072-26</t>
  </si>
  <si>
    <t xml:space="preserve">VQ072-26</t>
  </si>
  <si>
    <t xml:space="preserve">POINT (-1253405.075074 2073938.731932)</t>
  </si>
  <si>
    <t xml:space="preserve">cwfif_national_activefires.fid--5b5096eb_19f85a2ef78_-5941</t>
  </si>
  <si>
    <t xml:space="preserve">2026_NT_VQ070-26</t>
  </si>
  <si>
    <t xml:space="preserve">VQ070-26</t>
  </si>
  <si>
    <t xml:space="preserve">POINT (-1265747.823308 1991910.474596)</t>
  </si>
  <si>
    <t xml:space="preserve">cwfif_national_activefires.fid--5b5096eb_19f85a2ef78_-5940</t>
  </si>
  <si>
    <t xml:space="preserve">2026_NT_VQ066-26</t>
  </si>
  <si>
    <t xml:space="preserve">VQ066-26</t>
  </si>
  <si>
    <t xml:space="preserve">POINT (-1256206.075336 2015296.05507)</t>
  </si>
  <si>
    <t xml:space="preserve">cwfif_national_activefires.fid--5b5096eb_19f85a2ef78_-593f</t>
  </si>
  <si>
    <t xml:space="preserve">2026_NT_VQ071-26</t>
  </si>
  <si>
    <t xml:space="preserve">VQ071-26</t>
  </si>
  <si>
    <t xml:space="preserve">POINT (-1237519.900233 2065221.90149)</t>
  </si>
  <si>
    <t xml:space="preserve">cwfif_national_activefires.fid--5b5096eb_19f85a2ef78_-593e</t>
  </si>
  <si>
    <t xml:space="preserve">2026_NT_VQ068-26</t>
  </si>
  <si>
    <t xml:space="preserve">VQ068-26</t>
  </si>
  <si>
    <t xml:space="preserve">POINT (-1242221.884441 2003573.183818)</t>
  </si>
  <si>
    <t xml:space="preserve">cwfif_national_activefires.fid--5b5096eb_19f85a2ef78_-593d</t>
  </si>
  <si>
    <t xml:space="preserve">2026_NT_VQ065-26</t>
  </si>
  <si>
    <t xml:space="preserve">VQ065-26</t>
  </si>
  <si>
    <t xml:space="preserve">POINT (-1237185.040895 2075634.336109)</t>
  </si>
  <si>
    <t xml:space="preserve">cwfif_national_activefires.fid--5b5096eb_19f85a2ef78_-593c</t>
  </si>
  <si>
    <t xml:space="preserve">2026_NT_ZF038-26</t>
  </si>
  <si>
    <t xml:space="preserve">ZF038-26</t>
  </si>
  <si>
    <t xml:space="preserve">POINT (-742538.210986 1722030.885458)</t>
  </si>
  <si>
    <t xml:space="preserve">cwfif_national_activefires.fid--5b5096eb_19f85a2ef78_-593b</t>
  </si>
  <si>
    <t xml:space="preserve">2026_NT_SS040-26</t>
  </si>
  <si>
    <t xml:space="preserve">SS040-26</t>
  </si>
  <si>
    <t xml:space="preserve">POINT (-1179007.642465 1425779.344606)</t>
  </si>
  <si>
    <t xml:space="preserve">cwfif_national_activefires.fid--5b5096eb_19f85a2ef78_-593a</t>
  </si>
  <si>
    <t xml:space="preserve">2026_NT_FS042-26</t>
  </si>
  <si>
    <t xml:space="preserve">FS042-26</t>
  </si>
  <si>
    <t xml:space="preserve">POINT (-1280137.66908 1700686.228697)</t>
  </si>
  <si>
    <t xml:space="preserve">cwfif_national_activefires.fid--5b5096eb_19f85a2ef78_-5939</t>
  </si>
  <si>
    <t xml:space="preserve">2026_NT_FS041-26</t>
  </si>
  <si>
    <t xml:space="preserve">FS041-26</t>
  </si>
  <si>
    <t xml:space="preserve">POINT (-1269077.244805 1762777.658467)</t>
  </si>
  <si>
    <t xml:space="preserve">cwfif_national_activefires.fid--5b5096eb_19f85a2ef78_-5938</t>
  </si>
  <si>
    <t xml:space="preserve">2026_NT_FS039-26</t>
  </si>
  <si>
    <t xml:space="preserve">FS039-26</t>
  </si>
  <si>
    <t xml:space="preserve">POINT (-1270485.154903 1706074.611352)</t>
  </si>
  <si>
    <t xml:space="preserve">cwfif_national_activefires.fid--5b5096eb_19f85a2ef78_-5937</t>
  </si>
  <si>
    <t xml:space="preserve">2026_NT_FS040-26</t>
  </si>
  <si>
    <t xml:space="preserve">FS040-26</t>
  </si>
  <si>
    <t xml:space="preserve">POINT (-1245306.059708 1741906.230869)</t>
  </si>
  <si>
    <t xml:space="preserve">cwfif_national_activefires.fid--5b5096eb_19f85a2ef78_-5936</t>
  </si>
  <si>
    <t xml:space="preserve">2026_NT_VQ064-26</t>
  </si>
  <si>
    <t xml:space="preserve">VQ064-26</t>
  </si>
  <si>
    <t xml:space="preserve">POINT (-1268672.873567 2066436.830484)</t>
  </si>
  <si>
    <t xml:space="preserve">cwfif_national_activefires.fid--5b5096eb_19f85a2ef78_-5935</t>
  </si>
  <si>
    <t xml:space="preserve">2026_NT_SS039-26</t>
  </si>
  <si>
    <t xml:space="preserve">SS039-26</t>
  </si>
  <si>
    <t xml:space="preserve">POINT (-573654.336671 1369622.111032)</t>
  </si>
  <si>
    <t xml:space="preserve">cwfif_national_activefires.fid--5b5096eb_19f85a2ef78_-5934</t>
  </si>
  <si>
    <t xml:space="preserve">2026_NT_EV009-26</t>
  </si>
  <si>
    <t xml:space="preserve">EV009-26</t>
  </si>
  <si>
    <t xml:space="preserve">POINT (-1432713.808048 2430823.753502)</t>
  </si>
  <si>
    <t xml:space="preserve">cwfif_national_activefires.fid--5b5096eb_19f85a2ef78_-5933</t>
  </si>
  <si>
    <t xml:space="preserve">2026_NT_SS038-26</t>
  </si>
  <si>
    <t xml:space="preserve">SS038-26</t>
  </si>
  <si>
    <t xml:space="preserve">POINT (-501823.590662 1262836.458356)</t>
  </si>
  <si>
    <t xml:space="preserve">cwfif_national_activefires.fid--5b5096eb_19f85a2ef78_-5932</t>
  </si>
  <si>
    <t xml:space="preserve">2026_NT_SS037-26</t>
  </si>
  <si>
    <t xml:space="preserve">SS037-26</t>
  </si>
  <si>
    <t xml:space="preserve">POINT (-406678.024827 1229153.873446)</t>
  </si>
  <si>
    <t xml:space="preserve">cwfif_national_activefires.fid--5b5096eb_19f85a2ef78_-5931</t>
  </si>
  <si>
    <t xml:space="preserve">2026_NT_VQ016-26</t>
  </si>
  <si>
    <t xml:space="preserve">VQ016-26</t>
  </si>
  <si>
    <t xml:space="preserve">POINT (-1410797.066847 2264203.49557)</t>
  </si>
  <si>
    <t xml:space="preserve">cwfif_national_activefires.fid--5b5096eb_19f85a2ef78_-5930</t>
  </si>
  <si>
    <t xml:space="preserve">2026_NT_VQ063-26</t>
  </si>
  <si>
    <t xml:space="preserve">VQ063-26</t>
  </si>
  <si>
    <t xml:space="preserve">POINT (-1431297.606663 2284582.914696)</t>
  </si>
  <si>
    <t xml:space="preserve">cwfif_national_activefires.fid--5b5096eb_19f85a2ef78_-592f</t>
  </si>
  <si>
    <t xml:space="preserve">2026_NT_VQ061-26</t>
  </si>
  <si>
    <t xml:space="preserve">VQ061-26</t>
  </si>
  <si>
    <t xml:space="preserve">POINT (-983896.510651 2093155.836077)</t>
  </si>
  <si>
    <t xml:space="preserve">cwfif_national_activefires.fid--5b5096eb_19f85a2ef78_-592e</t>
  </si>
  <si>
    <t xml:space="preserve">2026_NT_VQ059-26</t>
  </si>
  <si>
    <t xml:space="preserve">VQ059-26</t>
  </si>
  <si>
    <t xml:space="preserve">POINT (-1132319.584667 2167422.207434)</t>
  </si>
  <si>
    <t xml:space="preserve">cwfif_national_activefires.fid--5b5096eb_19f85a2ef78_-592d</t>
  </si>
  <si>
    <t xml:space="preserve">2026_NT_VQ054-26</t>
  </si>
  <si>
    <t xml:space="preserve">VQ054-26</t>
  </si>
  <si>
    <t xml:space="preserve">POINT (-1146066.814335 2210710.684694)</t>
  </si>
  <si>
    <t xml:space="preserve">cwfif_national_activefires.fid--5b5096eb_19f85a2ef78_-592c</t>
  </si>
  <si>
    <t xml:space="preserve">2026_NT_VQ046-26</t>
  </si>
  <si>
    <t xml:space="preserve">VQ046-26</t>
  </si>
  <si>
    <t xml:space="preserve">POINT (-1434676.698603 1965037.884064)</t>
  </si>
  <si>
    <t xml:space="preserve">cwfif_national_activefires.fid--5b5096eb_19f85a2ef78_-592b</t>
  </si>
  <si>
    <t xml:space="preserve">2026_NT_VQ045-26</t>
  </si>
  <si>
    <t xml:space="preserve">VQ045-26</t>
  </si>
  <si>
    <t xml:space="preserve">POINT (-1427315.610487 1944742.059704)</t>
  </si>
  <si>
    <t xml:space="preserve">cwfif_national_activefires.fid--5b5096eb_19f85a2ef78_-592a</t>
  </si>
  <si>
    <t xml:space="preserve">2026_NT_VQ044-26</t>
  </si>
  <si>
    <t xml:space="preserve">VQ044-26</t>
  </si>
  <si>
    <t xml:space="preserve">POINT (-1322285.515377 2012454.568697)</t>
  </si>
  <si>
    <t xml:space="preserve">cwfif_national_activefires.fid--5b5096eb_19f85a2ef78_-5929</t>
  </si>
  <si>
    <t xml:space="preserve">2026_NT_VQ043-26</t>
  </si>
  <si>
    <t xml:space="preserve">VQ043-26</t>
  </si>
  <si>
    <t xml:space="preserve">POINT (-1105727.840233 1965456.298493)</t>
  </si>
  <si>
    <t xml:space="preserve">cwfif_national_activefires.fid--5b5096eb_19f85a2ef78_-5928</t>
  </si>
  <si>
    <t xml:space="preserve">2026_NT_VQ042-26</t>
  </si>
  <si>
    <t xml:space="preserve">VQ042-26</t>
  </si>
  <si>
    <t xml:space="preserve">POINT (-1107898.695825 1973119.850853)</t>
  </si>
  <si>
    <t xml:space="preserve">cwfif_national_activefires.fid--5b5096eb_19f85a2ef78_-5927</t>
  </si>
  <si>
    <t xml:space="preserve">2026_NT_VQ041-26</t>
  </si>
  <si>
    <t xml:space="preserve">VQ041-26</t>
  </si>
  <si>
    <t xml:space="preserve">POINT (-1116736.101877 1958556.280759)</t>
  </si>
  <si>
    <t xml:space="preserve">cwfif_national_activefires.fid--5b5096eb_19f85a2ef78_-5926</t>
  </si>
  <si>
    <t xml:space="preserve">2026_NT_VQ040-26</t>
  </si>
  <si>
    <t xml:space="preserve">VQ040-26</t>
  </si>
  <si>
    <t xml:space="preserve">POINT (-1174213.098958 1935345.872595)</t>
  </si>
  <si>
    <t xml:space="preserve">cwfif_national_activefires.fid--5b5096eb_19f85a2ef78_-5925</t>
  </si>
  <si>
    <t xml:space="preserve">2026_NT_VQ039-26</t>
  </si>
  <si>
    <t xml:space="preserve">VQ039-26</t>
  </si>
  <si>
    <t xml:space="preserve">POINT (-1186677.431957 1975195.761521)</t>
  </si>
  <si>
    <t xml:space="preserve">cwfif_national_activefires.fid--5b5096eb_19f85a2ef78_-5924</t>
  </si>
  <si>
    <t xml:space="preserve">2026_NT_VQ038-26</t>
  </si>
  <si>
    <t xml:space="preserve">VQ038-26</t>
  </si>
  <si>
    <t xml:space="preserve">POINT (-1068924.422996 1992715.865634)</t>
  </si>
  <si>
    <t xml:space="preserve">cwfif_national_activefires.fid--5b5096eb_19f85a2ef78_-5923</t>
  </si>
  <si>
    <t xml:space="preserve">2026_NT_VQ060-26</t>
  </si>
  <si>
    <t xml:space="preserve">VQ060-26</t>
  </si>
  <si>
    <t xml:space="preserve">POINT (-954753.880834 2063311.260887)</t>
  </si>
  <si>
    <t xml:space="preserve">cwfif_national_activefires.fid--5b5096eb_19f85a2ef78_-5922</t>
  </si>
  <si>
    <t xml:space="preserve">2026_NT_VQ011-26</t>
  </si>
  <si>
    <t xml:space="preserve">VQ011-26</t>
  </si>
  <si>
    <t xml:space="preserve">POINT (-1462567.658972 2293139.681)</t>
  </si>
  <si>
    <t xml:space="preserve">cwfif_national_activefires.fid--5b5096eb_19f85a2ef78_-5921</t>
  </si>
  <si>
    <t xml:space="preserve">2026_NT_VQ015-26</t>
  </si>
  <si>
    <t xml:space="preserve">VQ015-26</t>
  </si>
  <si>
    <t xml:space="preserve">POINT (-1323172.177996 2096617.195836)</t>
  </si>
  <si>
    <t xml:space="preserve">cwfif_national_activefires.fid--5b5096eb_19f85a2ef78_-5920</t>
  </si>
  <si>
    <t xml:space="preserve">2026_NT_VQ032-26</t>
  </si>
  <si>
    <t xml:space="preserve">VQ032-26</t>
  </si>
  <si>
    <t xml:space="preserve">POINT (-1042707.629337 2012303.310042)</t>
  </si>
  <si>
    <t xml:space="preserve">cwfif_national_activefires.fid--5b5096eb_19f85a2ef78_-591f</t>
  </si>
  <si>
    <t xml:space="preserve">2026_NT_VQ025-26</t>
  </si>
  <si>
    <t xml:space="preserve">VQ025-26</t>
  </si>
  <si>
    <t xml:space="preserve">POINT (-1405175.105611 2009609.71226)</t>
  </si>
  <si>
    <t xml:space="preserve">cwfif_national_activefires.fid--5b5096eb_19f85a2ef78_-591e</t>
  </si>
  <si>
    <t xml:space="preserve">2026_NT_VQ009-26</t>
  </si>
  <si>
    <t xml:space="preserve">VQ009-26</t>
  </si>
  <si>
    <t xml:space="preserve">POINT (-1359242.576166 2383150.175737)</t>
  </si>
  <si>
    <t xml:space="preserve">cwfif_national_activefires.fid--5b5096eb_19f85a2ef78_-591d</t>
  </si>
  <si>
    <t xml:space="preserve">2026_NT_VQ014-26</t>
  </si>
  <si>
    <t xml:space="preserve">VQ014-26</t>
  </si>
  <si>
    <t xml:space="preserve">POINT (-1297511.017137 1966086.094568)</t>
  </si>
  <si>
    <t xml:space="preserve">cwfif_national_activefires.fid--5b5096eb_19f85a2ef78_-591c</t>
  </si>
  <si>
    <t xml:space="preserve">2026_NT_VQ029-26</t>
  </si>
  <si>
    <t xml:space="preserve">VQ029-26</t>
  </si>
  <si>
    <t xml:space="preserve">POINT (-1378398.917265 1983073.70445)</t>
  </si>
  <si>
    <t xml:space="preserve">cwfif_national_activefires.fid--5b5096eb_19f85a2ef78_-591b</t>
  </si>
  <si>
    <t xml:space="preserve">2026_NT_VQ004-26</t>
  </si>
  <si>
    <t xml:space="preserve">VQ004-26</t>
  </si>
  <si>
    <t xml:space="preserve">POINT (-1307565.704165 2229065.638547)</t>
  </si>
  <si>
    <t xml:space="preserve">cwfif_national_activefires.fid--5b5096eb_19f85a2ef78_-591a</t>
  </si>
  <si>
    <t xml:space="preserve">2026_NT_VQ018-26</t>
  </si>
  <si>
    <t xml:space="preserve">VQ018-26</t>
  </si>
  <si>
    <t xml:space="preserve">POINT (-1357947.742897 2210788.033976)</t>
  </si>
  <si>
    <t xml:space="preserve">cwfif_national_activefires.fid--5b5096eb_19f85a2ef78_-5919</t>
  </si>
  <si>
    <t xml:space="preserve">2026_NT_VQ019-26</t>
  </si>
  <si>
    <t xml:space="preserve">VQ019-26</t>
  </si>
  <si>
    <t xml:space="preserve">POINT (-1396069.977701 2202837.633381)</t>
  </si>
  <si>
    <t xml:space="preserve">cwfif_national_activefires.fid--5b5096eb_19f85a2ef78_-5918</t>
  </si>
  <si>
    <t xml:space="preserve">2026_NT_VQ031-26</t>
  </si>
  <si>
    <t xml:space="preserve">VQ031-26</t>
  </si>
  <si>
    <t xml:space="preserve">POINT (-1010234.071168 1984958.076526)</t>
  </si>
  <si>
    <t xml:space="preserve">cwfif_national_activefires.fid--5b5096eb_19f85a2ef78_-5917</t>
  </si>
  <si>
    <t xml:space="preserve">2026_NT_VQ010-26</t>
  </si>
  <si>
    <t xml:space="preserve">VQ010-26</t>
  </si>
  <si>
    <t xml:space="preserve">POINT (-1459825.805805 2381485.597674)</t>
  </si>
  <si>
    <t xml:space="preserve">cwfif_national_activefires.fid--5b5096eb_19f85a2ef78_-5916</t>
  </si>
  <si>
    <t xml:space="preserve">2026_NT_VQ030-26</t>
  </si>
  <si>
    <t xml:space="preserve">VQ030-26</t>
  </si>
  <si>
    <t xml:space="preserve">POINT (-1432463.795177 1958686.56931)</t>
  </si>
  <si>
    <t xml:space="preserve">cwfif_national_activefires.fid--5b5096eb_19f85a2ef78_-5915</t>
  </si>
  <si>
    <t xml:space="preserve">2026_NT_VQ007-26</t>
  </si>
  <si>
    <t xml:space="preserve">VQ007-26</t>
  </si>
  <si>
    <t xml:space="preserve">POINT (-1303221.655657 2171753.737082)</t>
  </si>
  <si>
    <t xml:space="preserve">cwfif_national_activefires.fid--5b5096eb_19f85a2ef78_-5914</t>
  </si>
  <si>
    <t xml:space="preserve">2026_NT_VQ020-26</t>
  </si>
  <si>
    <t xml:space="preserve">VQ020-26</t>
  </si>
  <si>
    <t xml:space="preserve">POINT (-1402386.972952 2202159.744257)</t>
  </si>
  <si>
    <t xml:space="preserve">cwfif_national_activefires.fid--5b5096eb_19f85a2ef78_-5913</t>
  </si>
  <si>
    <t xml:space="preserve">2026_NT_VQ028-26</t>
  </si>
  <si>
    <t xml:space="preserve">VQ028-26</t>
  </si>
  <si>
    <t xml:space="preserve">POINT (-1320630.005502 2094111.412969)</t>
  </si>
  <si>
    <t xml:space="preserve">cwfif_national_activefires.fid--5b5096eb_19f85a2ef78_-5912</t>
  </si>
  <si>
    <t xml:space="preserve">2026_NT_VQ012-26</t>
  </si>
  <si>
    <t xml:space="preserve">VQ012-26</t>
  </si>
  <si>
    <t xml:space="preserve">POINT (-1408676.771866 2027288.730104)</t>
  </si>
  <si>
    <t xml:space="preserve">cwfif_national_activefires.fid--5b5096eb_19f85a2ef78_-5911</t>
  </si>
  <si>
    <t xml:space="preserve">2026_NT_SS036-26</t>
  </si>
  <si>
    <t xml:space="preserve">SS036-26</t>
  </si>
  <si>
    <t xml:space="preserve">POINT (-415950.598388 1319588.798676)</t>
  </si>
  <si>
    <t xml:space="preserve">cwfif_national_activefires.fid--5b5096eb_19f85a2ef78_-5910</t>
  </si>
  <si>
    <t xml:space="preserve">2026_NT_ZF032-26</t>
  </si>
  <si>
    <t xml:space="preserve">ZF032-26</t>
  </si>
  <si>
    <t xml:space="preserve">POINT (-1066434.865744 1979242.641099)</t>
  </si>
  <si>
    <t xml:space="preserve">cwfif_national_activefires.fid--5b5096eb_19f85a2ef78_-590f</t>
  </si>
  <si>
    <t xml:space="preserve">2026_NT_FS038-26</t>
  </si>
  <si>
    <t xml:space="preserve">FS038-26</t>
  </si>
  <si>
    <t xml:space="preserve">POINT (-1226258.470884 1847579.866687)</t>
  </si>
  <si>
    <t xml:space="preserve">cwfif_national_activefires.fid--5b5096eb_19f85a2ef78_-590e</t>
  </si>
  <si>
    <t xml:space="preserve">2026_NT_FS037-26</t>
  </si>
  <si>
    <t xml:space="preserve">FS037-26</t>
  </si>
  <si>
    <t xml:space="preserve">POINT (-1336031.971768 1752756.058395)</t>
  </si>
  <si>
    <t xml:space="preserve">cwfif_national_activefires.fid--5b5096eb_19f85a2ef78_-590d</t>
  </si>
  <si>
    <t xml:space="preserve">2026_NT_FS036-26</t>
  </si>
  <si>
    <t xml:space="preserve">FS036-26</t>
  </si>
  <si>
    <t xml:space="preserve">POINT (-1295359.962141 1698844.729858)</t>
  </si>
  <si>
    <t xml:space="preserve">cwfif_national_activefires.fid--5b5096eb_19f85a2ef78_-590c</t>
  </si>
  <si>
    <t xml:space="preserve">2026_NT_VQ062-26</t>
  </si>
  <si>
    <t xml:space="preserve">VQ062-26</t>
  </si>
  <si>
    <t xml:space="preserve">POINT (-1406513.415674 2204730.149612)</t>
  </si>
  <si>
    <t xml:space="preserve">cwfif_national_activefires.fid--5b5096eb_19f85a2ef78_-590b</t>
  </si>
  <si>
    <t xml:space="preserve">2026_NT_FS035-26</t>
  </si>
  <si>
    <t xml:space="preserve">FS035-26</t>
  </si>
  <si>
    <t xml:space="preserve">POINT (-1303638.565537 1708326.904107)</t>
  </si>
  <si>
    <t xml:space="preserve">cwfif_national_activefires.fid--5b5096eb_19f85a2ef78_-590a</t>
  </si>
  <si>
    <t xml:space="preserve">2026_NT_VQ057-26</t>
  </si>
  <si>
    <t xml:space="preserve">VQ057-26</t>
  </si>
  <si>
    <t xml:space="preserve">POINT (-1163565.354654 2248045.066816)</t>
  </si>
  <si>
    <t xml:space="preserve">cwfif_national_activefires.fid--5b5096eb_19f85a2ef78_-5909</t>
  </si>
  <si>
    <t xml:space="preserve">2026_NT_SS032-26</t>
  </si>
  <si>
    <t xml:space="preserve">SS032-26</t>
  </si>
  <si>
    <t xml:space="preserve">POINT (-1225755.674015 1493598.673238)</t>
  </si>
  <si>
    <t xml:space="preserve">cwfif_national_activefires.fid--5b5096eb_19f85a2ef78_-5908</t>
  </si>
  <si>
    <t xml:space="preserve">2026_NT_VQ058-26</t>
  </si>
  <si>
    <t xml:space="preserve">VQ058-26</t>
  </si>
  <si>
    <t xml:space="preserve">POINT (-1328757.885155 2414070.88878)</t>
  </si>
  <si>
    <t xml:space="preserve">cwfif_national_activefires.fid--5b5096eb_19f85a2ef78_-5907</t>
  </si>
  <si>
    <t xml:space="preserve">2026_NT_VQ056-26</t>
  </si>
  <si>
    <t xml:space="preserve">VQ056-26</t>
  </si>
  <si>
    <t xml:space="preserve">POINT (-1183275.59699 2269797.316545)</t>
  </si>
  <si>
    <t xml:space="preserve">cwfif_national_activefires.fid--5b5096eb_19f85a2ef78_-5906</t>
  </si>
  <si>
    <t xml:space="preserve">2026_NT_VQ055-26</t>
  </si>
  <si>
    <t xml:space="preserve">VQ055-26</t>
  </si>
  <si>
    <t xml:space="preserve">POINT (-1143274.36165 2223928.03594)</t>
  </si>
  <si>
    <t xml:space="preserve">cwfif_national_activefires.fid--5b5096eb_19f85a2ef78_-5905</t>
  </si>
  <si>
    <t xml:space="preserve">2026_NT_VQ053-26</t>
  </si>
  <si>
    <t xml:space="preserve">VQ053-26</t>
  </si>
  <si>
    <t xml:space="preserve">POINT (-1289639.845559 2162937.739208)</t>
  </si>
  <si>
    <t xml:space="preserve">cwfif_national_activefires.fid--5b5096eb_19f85a2ef78_-5904</t>
  </si>
  <si>
    <t xml:space="preserve">2026_NT_VQ051-26</t>
  </si>
  <si>
    <t xml:space="preserve">VQ051-26</t>
  </si>
  <si>
    <t xml:space="preserve">POINT (-1269619.162685 2122470.696773)</t>
  </si>
  <si>
    <t xml:space="preserve">cwfif_national_activefires.fid--5b5096eb_19f85a2ef78_-5903</t>
  </si>
  <si>
    <t xml:space="preserve">2026_NT_VQ052-26</t>
  </si>
  <si>
    <t xml:space="preserve">VQ052-26</t>
  </si>
  <si>
    <t xml:space="preserve">POINT (-1298060.942856 2155823.13525)</t>
  </si>
  <si>
    <t xml:space="preserve">cwfif_national_activefires.fid--5b5096eb_19f85a2ef78_-5902</t>
  </si>
  <si>
    <t xml:space="preserve">2026_NT_VQ049-26</t>
  </si>
  <si>
    <t xml:space="preserve">VQ049-26</t>
  </si>
  <si>
    <t xml:space="preserve">POINT (-1286609.107085 1961449.953744)</t>
  </si>
  <si>
    <t xml:space="preserve">cwfif_national_activefires.fid--5b5096eb_19f85a2ef78_-5901</t>
  </si>
  <si>
    <t xml:space="preserve">2026_NT_VQ048-26</t>
  </si>
  <si>
    <t xml:space="preserve">VQ048-26</t>
  </si>
  <si>
    <t xml:space="preserve">POINT (-1419234.187931 2037013.15171)</t>
  </si>
  <si>
    <t xml:space="preserve">cwfif_national_activefires.fid--5b5096eb_19f85a2ef78_-5900</t>
  </si>
  <si>
    <t xml:space="preserve">2026_NT_VQ047-26</t>
  </si>
  <si>
    <t xml:space="preserve">VQ047-26</t>
  </si>
  <si>
    <t xml:space="preserve">POINT (-1426761.673457 2002704.375093)</t>
  </si>
  <si>
    <t xml:space="preserve">cwfif_national_activefires.fid--5b5096eb_19f85a2ef78_-58ff</t>
  </si>
  <si>
    <t xml:space="preserve">2026_NT_FS034-26</t>
  </si>
  <si>
    <t xml:space="preserve">FS034-26</t>
  </si>
  <si>
    <t xml:space="preserve">POINT (-1342421.688244 1815824.807603)</t>
  </si>
  <si>
    <t xml:space="preserve">cwfif_national_activefires.fid--5b5096eb_19f85a2ef78_-58fe</t>
  </si>
  <si>
    <t xml:space="preserve">2026_NT_FS033-26</t>
  </si>
  <si>
    <t xml:space="preserve">FS033-26</t>
  </si>
  <si>
    <t xml:space="preserve">POINT (-1354974.669773 1788976.885591)</t>
  </si>
  <si>
    <t xml:space="preserve">cwfif_national_activefires.fid--5b5096eb_19f85a2ef78_-58fd</t>
  </si>
  <si>
    <t xml:space="preserve">2026_NT_FS032-26</t>
  </si>
  <si>
    <t xml:space="preserve">FS032-26</t>
  </si>
  <si>
    <t xml:space="preserve">POINT (-1342170.202855 1653711.0212)</t>
  </si>
  <si>
    <t xml:space="preserve">cwfif_national_activefires.fid--5b5096eb_19f85a2ef78_-58fc</t>
  </si>
  <si>
    <t xml:space="preserve">2026_NT_FS030-26</t>
  </si>
  <si>
    <t xml:space="preserve">FS030-26</t>
  </si>
  <si>
    <t xml:space="preserve">POINT (-1324434.543315 1867886.504143)</t>
  </si>
  <si>
    <t xml:space="preserve">cwfif_national_activefires.fid--5b5096eb_19f85a2ef78_-58fb</t>
  </si>
  <si>
    <t xml:space="preserve">2026_NT_SS031-26</t>
  </si>
  <si>
    <t xml:space="preserve">SS031-26</t>
  </si>
  <si>
    <t xml:space="preserve">POINT (-542238.105182 1350750.554842)</t>
  </si>
  <si>
    <t xml:space="preserve">cwfif_national_activefires.fid--5b5096eb_19f85a2ef78_-58fa</t>
  </si>
  <si>
    <t xml:space="preserve">2026_NT_SS029-26</t>
  </si>
  <si>
    <t xml:space="preserve">SS029-26</t>
  </si>
  <si>
    <t xml:space="preserve">POINT (-450002.802609 1262703.870172)</t>
  </si>
  <si>
    <t xml:space="preserve">cwfif_national_activefires.fid--5b5096eb_19f85a2ef78_-58f9</t>
  </si>
  <si>
    <t xml:space="preserve">2026_NT_SS028-26</t>
  </si>
  <si>
    <t xml:space="preserve">SS028-26</t>
  </si>
  <si>
    <t xml:space="preserve">POINT (-425225.077694 1271169.666698)</t>
  </si>
  <si>
    <t xml:space="preserve">cwfif_national_activefires.fid--5b5096eb_19f85a2ef78_-58f8</t>
  </si>
  <si>
    <t xml:space="preserve">2026_NT_VQ036-26</t>
  </si>
  <si>
    <t xml:space="preserve">VQ036-26</t>
  </si>
  <si>
    <t xml:space="preserve">POINT (-1036881.629703 2015370.97171)</t>
  </si>
  <si>
    <t xml:space="preserve">cwfif_national_activefires.fid--5b5096eb_19f85a2ef78_-58f7</t>
  </si>
  <si>
    <t xml:space="preserve">2026_NT_VQ035-26</t>
  </si>
  <si>
    <t xml:space="preserve">VQ035-26</t>
  </si>
  <si>
    <t xml:space="preserve">POINT (-1043662.276767 2002607.912567)</t>
  </si>
  <si>
    <t xml:space="preserve">cwfif_national_activefires.fid--5b5096eb_19f85a2ef78_-58f6</t>
  </si>
  <si>
    <t xml:space="preserve">2026_NT_ZF019-26</t>
  </si>
  <si>
    <t xml:space="preserve">ZF019-26</t>
  </si>
  <si>
    <t xml:space="preserve">POINT (-712325.912788 1621999.893149)</t>
  </si>
  <si>
    <t xml:space="preserve">cwfif_national_activefires.fid--5b5096eb_19f85a2ef78_-58f5</t>
  </si>
  <si>
    <t xml:space="preserve">2026_NT_ZF022-26</t>
  </si>
  <si>
    <t xml:space="preserve">ZF022-26</t>
  </si>
  <si>
    <t xml:space="preserve">POINT (-1154476.313467 1907085.471968)</t>
  </si>
  <si>
    <t xml:space="preserve">cwfif_national_activefires.fid--5b5096eb_19f85a2ef78_-58f4</t>
  </si>
  <si>
    <t xml:space="preserve">2026_NT_ZF007-26</t>
  </si>
  <si>
    <t xml:space="preserve">ZF007-26</t>
  </si>
  <si>
    <t xml:space="preserve">POINT (-496128.010323 1481730.889998)</t>
  </si>
  <si>
    <t xml:space="preserve">cwfif_national_activefires.fid--5b5096eb_19f85a2ef78_-58f3</t>
  </si>
  <si>
    <t xml:space="preserve">2026_NT_FS009-26</t>
  </si>
  <si>
    <t xml:space="preserve">FS009-26</t>
  </si>
  <si>
    <t xml:space="preserve">POINT (-1350009.913993 1690466.59443)</t>
  </si>
  <si>
    <t xml:space="preserve">cwfif_national_activefires.fid--5b5096eb_19f85a2ef78_-58f2</t>
  </si>
  <si>
    <t xml:space="preserve">2026_NT_ZF025-26</t>
  </si>
  <si>
    <t xml:space="preserve">ZF025-26</t>
  </si>
  <si>
    <t xml:space="preserve">POINT (-435868.706445 1547452.587474)</t>
  </si>
  <si>
    <t xml:space="preserve">cwfif_national_activefires.fid--5b5096eb_19f85a2ef78_-58f1</t>
  </si>
  <si>
    <t xml:space="preserve">2026_NT_SS007-26</t>
  </si>
  <si>
    <t xml:space="preserve">SS007-26</t>
  </si>
  <si>
    <t xml:space="preserve">POINT (-561024.061156 1385836.08359)</t>
  </si>
  <si>
    <t xml:space="preserve">cwfif_national_activefires.fid--5b5096eb_19f85a2ef78_-58f0</t>
  </si>
  <si>
    <t xml:space="preserve">2026_NT_SS008-26</t>
  </si>
  <si>
    <t xml:space="preserve">SS008-26</t>
  </si>
  <si>
    <t xml:space="preserve">POINT (-1180063.522995 1430375.748968)</t>
  </si>
  <si>
    <t xml:space="preserve">cwfif_national_activefires.fid--5b5096eb_19f85a2ef78_-58ef</t>
  </si>
  <si>
    <t xml:space="preserve">2026_NT_EV008-26</t>
  </si>
  <si>
    <t xml:space="preserve">EV008-26</t>
  </si>
  <si>
    <t xml:space="preserve">POINT (-1545188.293798 2233063.982096)</t>
  </si>
  <si>
    <t xml:space="preserve">cwfif_national_activefires.fid--5b5096eb_19f85a2ef78_-58ee</t>
  </si>
  <si>
    <t xml:space="preserve">2026_NT_VQ027-26</t>
  </si>
  <si>
    <t xml:space="preserve">VQ027-26</t>
  </si>
  <si>
    <t xml:space="preserve">POINT (-1413096.259921 2004264.219872)</t>
  </si>
  <si>
    <t xml:space="preserve">cwfif_national_activefires.fid--5b5096eb_19f85a2ef78_-58ed</t>
  </si>
  <si>
    <t xml:space="preserve">2026_NT_VQ024-26</t>
  </si>
  <si>
    <t xml:space="preserve">VQ024-26</t>
  </si>
  <si>
    <t xml:space="preserve">POINT (-1422569.878445 1953446.999296)</t>
  </si>
  <si>
    <t xml:space="preserve">cwfif_national_activefires.fid--5b5096eb_19f85a2ef78_-58ec</t>
  </si>
  <si>
    <t xml:space="preserve">2026_NT_VQ023-26</t>
  </si>
  <si>
    <t xml:space="preserve">VQ023-26</t>
  </si>
  <si>
    <t xml:space="preserve">POINT (-1357928.020807 2192178.529251)</t>
  </si>
  <si>
    <t xml:space="preserve">cwfif_national_activefires.fid--5b5096eb_19f85a2ef78_-58eb</t>
  </si>
  <si>
    <t xml:space="preserve">2026_NT_FS029-26</t>
  </si>
  <si>
    <t xml:space="preserve">FS029-26</t>
  </si>
  <si>
    <t xml:space="preserve">POINT (-1404474.656405 1736002.921424)</t>
  </si>
  <si>
    <t xml:space="preserve">cwfif_national_activefires.fid--5b5096eb_19f85a2ef78_-58ea</t>
  </si>
  <si>
    <t xml:space="preserve">2026_NT_FS028-26</t>
  </si>
  <si>
    <t xml:space="preserve">FS028-26</t>
  </si>
  <si>
    <t xml:space="preserve">POINT (-1310497.131998 1910807.572788)</t>
  </si>
  <si>
    <t xml:space="preserve">cwfif_national_activefires.fid--5b5096eb_19f85a2ef78_-58e9</t>
  </si>
  <si>
    <t xml:space="preserve">2026_NT_FS026-26</t>
  </si>
  <si>
    <t xml:space="preserve">FS026-26</t>
  </si>
  <si>
    <t xml:space="preserve">POINT (-1266128.547728 1705248.045342)</t>
  </si>
  <si>
    <t xml:space="preserve">cwfif_national_activefires.fid--5b5096eb_19f85a2ef78_-58e8</t>
  </si>
  <si>
    <t xml:space="preserve">2026_NT_FS025-26</t>
  </si>
  <si>
    <t xml:space="preserve">FS025-26</t>
  </si>
  <si>
    <t xml:space="preserve">POINT (-1409409.82843 1566969.917802)</t>
  </si>
  <si>
    <t xml:space="preserve">cwfif_national_activefires.fid--5b5096eb_19f85a2ef78_-58e7</t>
  </si>
  <si>
    <t xml:space="preserve">2026_NT_FS027-26</t>
  </si>
  <si>
    <t xml:space="preserve">FS027-26</t>
  </si>
  <si>
    <t xml:space="preserve">POINT (-1270436.911079 1827356.488721)</t>
  </si>
  <si>
    <t xml:space="preserve">cwfif_national_activefires.fid--5b5096eb_19f85a2ef78_-58e6</t>
  </si>
  <si>
    <t xml:space="preserve">2026_NT_FS024-26</t>
  </si>
  <si>
    <t xml:space="preserve">FS024-26</t>
  </si>
  <si>
    <t xml:space="preserve">POINT (-1364611.661226 1631675.22546)</t>
  </si>
  <si>
    <t xml:space="preserve">cwfif_national_activefires.fid--5b5096eb_19f85a2ef78_-58e5</t>
  </si>
  <si>
    <t xml:space="preserve">2026_NT_FS023-26</t>
  </si>
  <si>
    <t xml:space="preserve">FS023-26</t>
  </si>
  <si>
    <t xml:space="preserve">POINT (-1349500.407216 1633696.455442)</t>
  </si>
  <si>
    <t xml:space="preserve">cwfif_national_activefires.fid--5b5096eb_19f85a2ef78_-58e4</t>
  </si>
  <si>
    <t xml:space="preserve">2026_NT_ZF024-26</t>
  </si>
  <si>
    <t xml:space="preserve">ZF024-26</t>
  </si>
  <si>
    <t xml:space="preserve">POINT (-445587.061504 1572025.191238)</t>
  </si>
  <si>
    <t xml:space="preserve">cwfif_national_activefires.fid--5b5096eb_19f85a2ef78_-58e3</t>
  </si>
  <si>
    <t xml:space="preserve">2026_NT_ZF023-26</t>
  </si>
  <si>
    <t xml:space="preserve">ZF023-26</t>
  </si>
  <si>
    <t xml:space="preserve">POINT (-446780.613795 1454354.216791)</t>
  </si>
  <si>
    <t xml:space="preserve">cwfif_national_activefires.fid--5b5096eb_19f85a2ef78_-58e2</t>
  </si>
  <si>
    <t xml:space="preserve">2026_NT_FS022-26</t>
  </si>
  <si>
    <t xml:space="preserve">FS022-26</t>
  </si>
  <si>
    <t xml:space="preserve">POINT (-1318691.606298 1625541.788256)</t>
  </si>
  <si>
    <t xml:space="preserve">cwfif_national_activefires.fid--5b5096eb_19f85a2ef78_-58e1</t>
  </si>
  <si>
    <t xml:space="preserve">2026_NT_SS013-26</t>
  </si>
  <si>
    <t xml:space="preserve">SS013-26</t>
  </si>
  <si>
    <t xml:space="preserve">POINT (-1202458.831098 1534443.353437)</t>
  </si>
  <si>
    <t xml:space="preserve">cwfif_national_activefires.fid--5b5096eb_19f85a2ef78_-58e0</t>
  </si>
  <si>
    <t xml:space="preserve">2026_NT_VQ002-26</t>
  </si>
  <si>
    <t xml:space="preserve">VQ002-26</t>
  </si>
  <si>
    <t xml:space="preserve">POINT (-1405119.184974 2125723.181262)</t>
  </si>
  <si>
    <t xml:space="preserve">cwfif_national_activefires.fid--5b5096eb_19f85a2ef78_-58df</t>
  </si>
  <si>
    <t xml:space="preserve">2026_NT_VQ001-26</t>
  </si>
  <si>
    <t xml:space="preserve">VQ001-26</t>
  </si>
  <si>
    <t xml:space="preserve">POINT (-1408941.00169 2108633.674253)</t>
  </si>
  <si>
    <t xml:space="preserve">cwfif_national_activefires.fid--5b5096eb_19f85a2ef78_-58de</t>
  </si>
  <si>
    <t xml:space="preserve">2026_NT_FS021-26</t>
  </si>
  <si>
    <t xml:space="preserve">FS021-26</t>
  </si>
  <si>
    <t xml:space="preserve">POINT (-1348846.931223 1789314.966891)</t>
  </si>
  <si>
    <t xml:space="preserve">cwfif_national_activefires.fid--5b5096eb_19f85a2ef78_-58dd</t>
  </si>
  <si>
    <t xml:space="preserve">2026_NT_FS020-26</t>
  </si>
  <si>
    <t xml:space="preserve">FS020-26</t>
  </si>
  <si>
    <t xml:space="preserve">POINT (-1383369.893044 1718805.032668)</t>
  </si>
  <si>
    <t xml:space="preserve">cwfif_national_activefires.fid--5b5096eb_19f85a2ef78_-58dc</t>
  </si>
  <si>
    <t xml:space="preserve">2026_NT_FS019-26</t>
  </si>
  <si>
    <t xml:space="preserve">FS019-26</t>
  </si>
  <si>
    <t xml:space="preserve">POINT (-1430588.86694 1634105.024201)</t>
  </si>
  <si>
    <t xml:space="preserve">cwfif_national_activefires.fid--5b5096eb_19f85a2ef78_-58db</t>
  </si>
  <si>
    <t xml:space="preserve">2026_NT_VQ021-26</t>
  </si>
  <si>
    <t xml:space="preserve">VQ021-26</t>
  </si>
  <si>
    <t xml:space="preserve">POINT (-1398327.972172 2180329.171907)</t>
  </si>
  <si>
    <t xml:space="preserve">cwfif_national_activefires.fid--5b5096eb_19f85a2ef78_-58da</t>
  </si>
  <si>
    <t xml:space="preserve">2026_NT_VQ022-26</t>
  </si>
  <si>
    <t xml:space="preserve">VQ022-26</t>
  </si>
  <si>
    <t xml:space="preserve">POINT (-1320371.183943 2094104.418061)</t>
  </si>
  <si>
    <t xml:space="preserve">cwfif_national_activefires.fid--5b5096eb_19f85a2ef78_-58d9</t>
  </si>
  <si>
    <t xml:space="preserve">2026_NT_FS018-26</t>
  </si>
  <si>
    <t xml:space="preserve">FS018-26</t>
  </si>
  <si>
    <t xml:space="preserve">POINT (-1323881.18443 1819788.933263)</t>
  </si>
  <si>
    <t xml:space="preserve">cwfif_national_activefires.fid--5b5096eb_19f85a2ef78_-58d8</t>
  </si>
  <si>
    <t xml:space="preserve">2026_NT_SS009-26</t>
  </si>
  <si>
    <t xml:space="preserve">SS009-26</t>
  </si>
  <si>
    <t xml:space="preserve">POINT (-1167503.122865 1410826.82848)</t>
  </si>
  <si>
    <t xml:space="preserve">cwfif_national_activefires.fid--5b5096eb_19f85a2ef78_-58d7</t>
  </si>
  <si>
    <t xml:space="preserve">2026_NT_FS017-26</t>
  </si>
  <si>
    <t xml:space="preserve">FS017-26</t>
  </si>
  <si>
    <t xml:space="preserve">POINT (-1337223.286023 1842409.648818)</t>
  </si>
  <si>
    <t xml:space="preserve">cwfif_national_activefires.fid--5b5096eb_19f85a2ef78_-58d6</t>
  </si>
  <si>
    <t xml:space="preserve">2026_NT_VQ017-26</t>
  </si>
  <si>
    <t xml:space="preserve">VQ017-26</t>
  </si>
  <si>
    <t xml:space="preserve">POINT (-1409174.839613 2262989.244539)</t>
  </si>
  <si>
    <t xml:space="preserve">cwfif_national_activefires.fid--5b5096eb_19f85a2ef78_-58d5</t>
  </si>
  <si>
    <t xml:space="preserve">2026_NT_SS017-26</t>
  </si>
  <si>
    <t xml:space="preserve">SS017-26</t>
  </si>
  <si>
    <t xml:space="preserve">POINT (-908806.194544 1447136.234695)</t>
  </si>
  <si>
    <t xml:space="preserve">cwfif_national_activefires.fid--5b5096eb_19f85a2ef78_-58d4</t>
  </si>
  <si>
    <t xml:space="preserve">2026_NT_ZF010-26</t>
  </si>
  <si>
    <t xml:space="preserve">ZF010-26</t>
  </si>
  <si>
    <t xml:space="preserve">POINT (-425815.543984 1630000.806573)</t>
  </si>
  <si>
    <t xml:space="preserve">cwfif_national_activefires.fid--5b5096eb_19f85a2ef78_-58d3</t>
  </si>
  <si>
    <t xml:space="preserve">2026_NT_ZF009-26</t>
  </si>
  <si>
    <t xml:space="preserve">ZF009-26</t>
  </si>
  <si>
    <t xml:space="preserve">POINT (-369818.759692 1479130.552766)</t>
  </si>
  <si>
    <t xml:space="preserve">cwfif_national_activefires.fid--5b5096eb_19f85a2ef78_-58d2</t>
  </si>
  <si>
    <t xml:space="preserve">2026_NT_ZF008-26</t>
  </si>
  <si>
    <t xml:space="preserve">ZF008-26</t>
  </si>
  <si>
    <t xml:space="preserve">POINT (-488042.651163 1497902.187877)</t>
  </si>
  <si>
    <t xml:space="preserve">cwfif_national_activefires.fid--5b5096eb_19f85a2ef78_-58d1</t>
  </si>
  <si>
    <t xml:space="preserve">2026_NT_ZF006-26</t>
  </si>
  <si>
    <t xml:space="preserve">ZF006-26</t>
  </si>
  <si>
    <t xml:space="preserve">POINT (-374858.655405 1533615.88561)</t>
  </si>
  <si>
    <t xml:space="preserve">cwfif_national_activefires.fid--5b5096eb_19f85a2ef78_-58d0</t>
  </si>
  <si>
    <t xml:space="preserve">2026_NT_VQ013-26</t>
  </si>
  <si>
    <t xml:space="preserve">VQ013-26</t>
  </si>
  <si>
    <t xml:space="preserve">POINT (-1316770.930448 2004749.684494)</t>
  </si>
  <si>
    <t xml:space="preserve">cwfif_national_activefires.fid--5b5096eb_19f85a2ef78_-58cf</t>
  </si>
  <si>
    <t xml:space="preserve">2026_NT_VQ006-26</t>
  </si>
  <si>
    <t xml:space="preserve">VQ006-26</t>
  </si>
  <si>
    <t xml:space="preserve">POINT (-1306327.836878 2166842.359159)</t>
  </si>
  <si>
    <t xml:space="preserve">cwfif_national_activefires.fid--5b5096eb_19f85a2ef78_-58ce</t>
  </si>
  <si>
    <t xml:space="preserve">2026_NT_VQ008-26</t>
  </si>
  <si>
    <t xml:space="preserve">VQ008-26</t>
  </si>
  <si>
    <t xml:space="preserve">POINT (-1309955.945274 2348963.924349)</t>
  </si>
  <si>
    <t xml:space="preserve">cwfif_national_activefires.fid--5b5096eb_19f85a2ef78_-58cd</t>
  </si>
  <si>
    <t xml:space="preserve">2026_NT_FS012-26</t>
  </si>
  <si>
    <t xml:space="preserve">FS012-26</t>
  </si>
  <si>
    <t xml:space="preserve">POINT (-1343369.790693 1643715.758217)</t>
  </si>
  <si>
    <t xml:space="preserve">cwfif_national_activefires.fid--5b5096eb_19f85a2ef78_-58cc</t>
  </si>
  <si>
    <t xml:space="preserve">2026_NT_FS013-26</t>
  </si>
  <si>
    <t xml:space="preserve">FS013-26</t>
  </si>
  <si>
    <t xml:space="preserve">POINT (-1410222.53721 1656324.715604)</t>
  </si>
  <si>
    <t xml:space="preserve">cwfif_national_activefires.fid--5b5096eb_19f85a2ef78_-58cb</t>
  </si>
  <si>
    <t xml:space="preserve">2026_NT_FS010-26</t>
  </si>
  <si>
    <t xml:space="preserve">FS010-26</t>
  </si>
  <si>
    <t xml:space="preserve">POINT (-1404940.848898 1670503.893417)</t>
  </si>
  <si>
    <t xml:space="preserve">cwfif_national_activefires.fid--5b5096eb_19f85a2ef78_-58ca</t>
  </si>
  <si>
    <t xml:space="preserve">2026_NT_FS011-26</t>
  </si>
  <si>
    <t xml:space="preserve">FS011-26</t>
  </si>
  <si>
    <t xml:space="preserve">POINT (-1344495.558116 1641536.594588)</t>
  </si>
  <si>
    <t xml:space="preserve">cwfif_national_activefires.fid--5b5096eb_19f85a2ef78_-58c9</t>
  </si>
  <si>
    <t xml:space="preserve">2026_NT_FS007-26</t>
  </si>
  <si>
    <t xml:space="preserve">FS007-26</t>
  </si>
  <si>
    <t xml:space="preserve">POINT (-1376101.968471 1857133.032993)</t>
  </si>
  <si>
    <t xml:space="preserve">cwfif_national_activefires.fid--5b5096eb_19f85a2ef78_-58c8</t>
  </si>
  <si>
    <t xml:space="preserve">2026_NT_FS008-26</t>
  </si>
  <si>
    <t xml:space="preserve">FS008-26</t>
  </si>
  <si>
    <t xml:space="preserve">POINT (-1311242.841707 1888553.6023)</t>
  </si>
  <si>
    <t xml:space="preserve">cwfif_national_activefires.fid--5b5096eb_19f85a2ef78_-58c7</t>
  </si>
  <si>
    <t xml:space="preserve">2026_NT_EV002-26</t>
  </si>
  <si>
    <t xml:space="preserve">EV002-26</t>
  </si>
  <si>
    <t xml:space="preserve">POINT (-1364538.16588 2517785.568128)</t>
  </si>
  <si>
    <t xml:space="preserve">cwfif_national_activefires.fid--5b5096eb_19f85a2ef78_-58c6</t>
  </si>
  <si>
    <t xml:space="preserve">2026_NT_EV007-26</t>
  </si>
  <si>
    <t xml:space="preserve">EV007-26</t>
  </si>
  <si>
    <t xml:space="preserve">POINT (-1362980.949392 2516562.825102)</t>
  </si>
  <si>
    <t xml:space="preserve">cwfif_national_activefires.fid--5b5096eb_19f85a2ef78_-58c5</t>
  </si>
  <si>
    <t xml:space="preserve">2026_NT_EV003-26</t>
  </si>
  <si>
    <t xml:space="preserve">EV003-26</t>
  </si>
  <si>
    <t xml:space="preserve">POINT (-1362052.109102 2520273.016055)</t>
  </si>
  <si>
    <t xml:space="preserve">cwfif_national_activefires.fid--5b5096eb_19f85a2ef78_-58c4</t>
  </si>
  <si>
    <t xml:space="preserve">2026_NT_EV004-26</t>
  </si>
  <si>
    <t xml:space="preserve">EV004-26</t>
  </si>
  <si>
    <t xml:space="preserve">POINT (-1358599.430223 2524180.69666)</t>
  </si>
  <si>
    <t xml:space="preserve">cwfif_national_activefires.fid--5b5096eb_19f85a2ef78_-58c3</t>
  </si>
  <si>
    <t xml:space="preserve">2026_NT_FS001-26</t>
  </si>
  <si>
    <t xml:space="preserve">FS001-26</t>
  </si>
  <si>
    <t xml:space="preserve">POINT (-1403898.846863 1723114.132464)</t>
  </si>
  <si>
    <t xml:space="preserve">cwfif_national_activefires.fid--5b5096eb_19f85a2ef78_-58c2</t>
  </si>
  <si>
    <t xml:space="preserve">2026_NT_EV005-26</t>
  </si>
  <si>
    <t xml:space="preserve">EV005-26</t>
  </si>
  <si>
    <t xml:space="preserve">POINT (-1360892.671993 2527168.170286)</t>
  </si>
  <si>
    <t xml:space="preserve">cwfif_national_activefires.fid--5b5096eb_19f85a2ef78_-58c1</t>
  </si>
  <si>
    <t xml:space="preserve">2026_NT_EV006-26</t>
  </si>
  <si>
    <t xml:space="preserve">EV006-26</t>
  </si>
  <si>
    <t xml:space="preserve">POINT (-1540571.554741 2279260.728458)</t>
  </si>
  <si>
    <t xml:space="preserve">cwfif_national_activefires.fid--5b5096eb_19f85a2ef78_-58c0</t>
  </si>
  <si>
    <t xml:space="preserve">2026_NT_EV001-26</t>
  </si>
  <si>
    <t xml:space="preserve">EV001-26</t>
  </si>
  <si>
    <t xml:space="preserve">POINT (-1366823.448871 2516175.373487)</t>
  </si>
  <si>
    <t xml:space="preserve">cwfif_national_activefires.fid--5b5096eb_19f85a2ef78_-58bf</t>
  </si>
  <si>
    <t xml:space="preserve">2026_NT_VQ003-26</t>
  </si>
  <si>
    <t xml:space="preserve">VQ003-26</t>
  </si>
  <si>
    <t xml:space="preserve">POINT (-1288027.348089 2173519.039146)</t>
  </si>
  <si>
    <t xml:space="preserve">cwfif_national_activefires.fid--5b5096eb_19f85a2ef78_-58be</t>
  </si>
  <si>
    <t xml:space="preserve">2026_NT_FS002-26</t>
  </si>
  <si>
    <t xml:space="preserve">FS002-26</t>
  </si>
  <si>
    <t xml:space="preserve">POINT (-1257443.313 1817118.961708)</t>
  </si>
  <si>
    <t xml:space="preserve">cwfif_national_activefires.fid--5b5096eb_19f85a2ef78_-58bd</t>
  </si>
  <si>
    <t xml:space="preserve">2026_NT_SS004-26</t>
  </si>
  <si>
    <t xml:space="preserve">SS004-26</t>
  </si>
  <si>
    <t xml:space="preserve">POINT (-950299.125442 1398505.752929)</t>
  </si>
  <si>
    <t xml:space="preserve">cwfif_national_activefires.fid--5b5096eb_19f85a2ef78_-58bc</t>
  </si>
  <si>
    <t xml:space="preserve">2026_NT_VQ005-26</t>
  </si>
  <si>
    <t xml:space="preserve">VQ005-26</t>
  </si>
  <si>
    <t xml:space="preserve">POINT (-1255223.080075 2240280.945177)</t>
  </si>
  <si>
    <t xml:space="preserve">cwfif_national_activefires.fid--5b5096eb_19f85a2ef78_-58bb</t>
  </si>
  <si>
    <t xml:space="preserve">ON</t>
  </si>
  <si>
    <t xml:space="preserve">SLK</t>
  </si>
  <si>
    <t xml:space="preserve">2026_ON_SLK_FIRE_102</t>
  </si>
  <si>
    <t xml:space="preserve">SLK_FIRE_102</t>
  </si>
  <si>
    <t xml:space="preserve">POINT (342354.617747 283490.229385)</t>
  </si>
  <si>
    <t xml:space="preserve">cwfif_national_activefires.fid--5b5096eb_19f85a2ef78_-58ba</t>
  </si>
  <si>
    <t xml:space="preserve">DRY</t>
  </si>
  <si>
    <t xml:space="preserve">2026_ON_DRY_FIRE_039</t>
  </si>
  <si>
    <t xml:space="preserve">DRY_FIRE_039</t>
  </si>
  <si>
    <t xml:space="preserve">POINT (340288.426146 130303.718908)</t>
  </si>
  <si>
    <t xml:space="preserve">cwfif_national_activefires.fid--5b5096eb_19f85a2ef78_-58b9</t>
  </si>
  <si>
    <t xml:space="preserve">FOR</t>
  </si>
  <si>
    <t xml:space="preserve">2026_ON_FOR_FIRE_045</t>
  </si>
  <si>
    <t xml:space="preserve">FOR_FIRE_045</t>
  </si>
  <si>
    <t xml:space="preserve">POINT (108785.591879 20754.536666)</t>
  </si>
  <si>
    <t xml:space="preserve">cwfif_national_activefires.fid--5b5096eb_19f85a2ef78_-58b8</t>
  </si>
  <si>
    <t xml:space="preserve">NIP</t>
  </si>
  <si>
    <t xml:space="preserve">2026_ON_NIP_FIRE_044</t>
  </si>
  <si>
    <t xml:space="preserve">NIP_FIRE_044</t>
  </si>
  <si>
    <t xml:space="preserve">POINT (506487.52628 231426.90221)</t>
  </si>
  <si>
    <t xml:space="preserve">cwfif_national_activefires.fid--5b5096eb_19f85a2ef78_-58b7</t>
  </si>
  <si>
    <t xml:space="preserve">2026_ON_DRY_FIRE_036</t>
  </si>
  <si>
    <t xml:space="preserve">DRY_FIRE_036</t>
  </si>
  <si>
    <t xml:space="preserve">POINT (229034.085436 32027.324948)</t>
  </si>
  <si>
    <t xml:space="preserve">cwfif_national_activefires.fid--5b5096eb_19f85a2ef78_-58b6</t>
  </si>
  <si>
    <t xml:space="preserve">2026_ON_SLK_FIRE_072</t>
  </si>
  <si>
    <t xml:space="preserve">SLK_FIRE_072</t>
  </si>
  <si>
    <t xml:space="preserve">POINT (192831.041658 317658.857246)</t>
  </si>
  <si>
    <t xml:space="preserve">cwfif_national_activefires.fid--5b5096eb_19f85a2ef78_-58b5</t>
  </si>
  <si>
    <t xml:space="preserve">RED</t>
  </si>
  <si>
    <t xml:space="preserve">2026_ON_RED_FIRE_023</t>
  </si>
  <si>
    <t xml:space="preserve">RED_FIRE_023</t>
  </si>
  <si>
    <t xml:space="preserve">POINT (151186.32614 355818.239558)</t>
  </si>
  <si>
    <t xml:space="preserve">cwfif_national_activefires.fid--5b5096eb_19f85a2ef78_-58b4</t>
  </si>
  <si>
    <t xml:space="preserve">2026_ON_DRY_FIRE_040</t>
  </si>
  <si>
    <t xml:space="preserve">DRY_FIRE_040</t>
  </si>
  <si>
    <t xml:space="preserve">POINT (348458.302978 135492.283156)</t>
  </si>
  <si>
    <t xml:space="preserve">cwfif_national_activefires.fid--5b5096eb_19f85a2ef78_-58b3</t>
  </si>
  <si>
    <t xml:space="preserve">2026_ON_SLK_FIRE_088</t>
  </si>
  <si>
    <t xml:space="preserve">SLK_FIRE_088</t>
  </si>
  <si>
    <t xml:space="preserve">POINT (326632.094528 252835.699657)</t>
  </si>
  <si>
    <t xml:space="preserve">cwfif_national_activefires.fid--5b5096eb_19f85a2ef78_-58b2</t>
  </si>
  <si>
    <t xml:space="preserve">2026_ON_SLK_FIRE_003</t>
  </si>
  <si>
    <t xml:space="preserve">SLK_FIRE_003</t>
  </si>
  <si>
    <t xml:space="preserve">POINT (231158.807539 612033.419888)</t>
  </si>
  <si>
    <t xml:space="preserve">cwfif_national_activefires.fid--5b5096eb_19f85a2ef78_-58b1</t>
  </si>
  <si>
    <t xml:space="preserve">2026_ON_NIP_FIRE_059</t>
  </si>
  <si>
    <t xml:space="preserve">NIP_FIRE_059</t>
  </si>
  <si>
    <t xml:space="preserve">POINT (579196.000254 173097.088927)</t>
  </si>
  <si>
    <t xml:space="preserve">cwfif_national_activefires.fid--5b5096eb_19f85a2ef78_-58b0</t>
  </si>
  <si>
    <t xml:space="preserve">2026_ON_DRY_FIRE_042</t>
  </si>
  <si>
    <t xml:space="preserve">DRY_FIRE_042</t>
  </si>
  <si>
    <t xml:space="preserve">POINT (363278.455638 146382.128151)</t>
  </si>
  <si>
    <t xml:space="preserve">cwfif_national_activefires.fid--5b5096eb_19f85a2ef78_-58af</t>
  </si>
  <si>
    <t xml:space="preserve">2026_ON_NIP_FIRE_052</t>
  </si>
  <si>
    <t xml:space="preserve">NIP_FIRE_052</t>
  </si>
  <si>
    <t xml:space="preserve">POINT (606028.69019 206624.96629)</t>
  </si>
  <si>
    <t xml:space="preserve">cwfif_national_activefires.fid--5b5096eb_19f85a2ef78_-58ae</t>
  </si>
  <si>
    <t xml:space="preserve">2026_ON_NIP_FIRE_075</t>
  </si>
  <si>
    <t xml:space="preserve">NIP_FIRE_075</t>
  </si>
  <si>
    <t xml:space="preserve">POINT (608489.107986 367012.647874)</t>
  </si>
  <si>
    <t xml:space="preserve">cwfif_national_activefires.fid--5b5096eb_19f85a2ef78_-58ad</t>
  </si>
  <si>
    <t xml:space="preserve">2026_ON_NIP_FIRE_058</t>
  </si>
  <si>
    <t xml:space="preserve">NIP_FIRE_058</t>
  </si>
  <si>
    <t xml:space="preserve">POINT (481439.892916 303218.76462)</t>
  </si>
  <si>
    <t xml:space="preserve">cwfif_national_activefires.fid--5b5096eb_19f85a2ef78_-58ac</t>
  </si>
  <si>
    <t xml:space="preserve">2026_ON_NIP_FIRE_036</t>
  </si>
  <si>
    <t xml:space="preserve">NIP_FIRE_036</t>
  </si>
  <si>
    <t xml:space="preserve">POINT (431113.708244 308790.391092)</t>
  </si>
  <si>
    <t xml:space="preserve">cwfif_national_activefires.fid--5b5096eb_19f85a2ef78_-58ab</t>
  </si>
  <si>
    <t xml:space="preserve">2026_ON_NIP_FIRE_032</t>
  </si>
  <si>
    <t xml:space="preserve">NIP_FIRE_032</t>
  </si>
  <si>
    <t xml:space="preserve">POINT (470489.228817 280377.141814)</t>
  </si>
  <si>
    <t xml:space="preserve">cwfif_national_activefires.fid--5b5096eb_19f85a2ef78_-58aa</t>
  </si>
  <si>
    <t xml:space="preserve">2026_ON_NIP_FIRE_061</t>
  </si>
  <si>
    <t xml:space="preserve">NIP_FIRE_061</t>
  </si>
  <si>
    <t xml:space="preserve">POINT (497146.846257 266989.027513)</t>
  </si>
  <si>
    <t xml:space="preserve">cwfif_national_activefires.fid--5b5096eb_19f85a2ef78_-58a9</t>
  </si>
  <si>
    <t xml:space="preserve">2026_ON_FOR_FIRE_037</t>
  </si>
  <si>
    <t xml:space="preserve">FOR_FIRE_037</t>
  </si>
  <si>
    <t xml:space="preserve">POINT (230713.224015 -78015.688195)</t>
  </si>
  <si>
    <t xml:space="preserve">cwfif_national_activefires.fid--5b5096eb_19f85a2ef78_-58a8</t>
  </si>
  <si>
    <t xml:space="preserve">2026_ON_NIP_FIRE_042</t>
  </si>
  <si>
    <t xml:space="preserve">NIP_FIRE_042</t>
  </si>
  <si>
    <t xml:space="preserve">POINT (522384.511464 155505.728307)</t>
  </si>
  <si>
    <t xml:space="preserve">cwfif_national_activefires.fid--5b5096eb_19f85a2ef78_-58a7</t>
  </si>
  <si>
    <t xml:space="preserve">2026_ON_NIP_FIRE_045</t>
  </si>
  <si>
    <t xml:space="preserve">NIP_FIRE_045</t>
  </si>
  <si>
    <t xml:space="preserve">POINT (491965.814863 301333.559136)</t>
  </si>
  <si>
    <t xml:space="preserve">cwfif_national_activefires.fid--5b5096eb_19f85a2ef78_-58a6</t>
  </si>
  <si>
    <t xml:space="preserve">2026_ON_NIP_FIRE_047</t>
  </si>
  <si>
    <t xml:space="preserve">NIP_FIRE_047</t>
  </si>
  <si>
    <t xml:space="preserve">POINT (531849.158663 292537.248205)</t>
  </si>
  <si>
    <t xml:space="preserve">cwfif_national_activefires.fid--5b5096eb_19f85a2ef78_-58a5</t>
  </si>
  <si>
    <t xml:space="preserve">2026_ON_NIP_FIRE_040</t>
  </si>
  <si>
    <t xml:space="preserve">NIP_FIRE_040</t>
  </si>
  <si>
    <t xml:space="preserve">POINT (498603.709775 272175.498731)</t>
  </si>
  <si>
    <t xml:space="preserve">cwfif_national_activefires.fid--5b5096eb_19f85a2ef78_-58a4</t>
  </si>
  <si>
    <t xml:space="preserve">2026_ON_NIP_FIRE_048</t>
  </si>
  <si>
    <t xml:space="preserve">NIP_FIRE_048</t>
  </si>
  <si>
    <t xml:space="preserve">POINT (524185.256179 292276.209036)</t>
  </si>
  <si>
    <t xml:space="preserve">cwfif_national_activefires.fid--5b5096eb_19f85a2ef78_-58a3</t>
  </si>
  <si>
    <t xml:space="preserve">2026_ON_NIP_FIRE_018</t>
  </si>
  <si>
    <t xml:space="preserve">NIP_FIRE_018</t>
  </si>
  <si>
    <t xml:space="preserve">POINT (424264.841834 323917.755512)</t>
  </si>
  <si>
    <t xml:space="preserve">cwfif_national_activefires.fid--5b5096eb_19f85a2ef78_-58a2</t>
  </si>
  <si>
    <t xml:space="preserve">2026_ON_NIP_FIRE_071</t>
  </si>
  <si>
    <t xml:space="preserve">NIP_FIRE_071</t>
  </si>
  <si>
    <t xml:space="preserve">POINT (497255.785076 354919.965532)</t>
  </si>
  <si>
    <t xml:space="preserve">cwfif_national_activefires.fid--5b5096eb_19f85a2ef78_-58a1</t>
  </si>
  <si>
    <t xml:space="preserve">THU</t>
  </si>
  <si>
    <t xml:space="preserve">2026_ON_THU_FIRE_051</t>
  </si>
  <si>
    <t xml:space="preserve">THU_FIRE_051</t>
  </si>
  <si>
    <t xml:space="preserve">POINT (364150.019758 -65572.404688)</t>
  </si>
  <si>
    <t xml:space="preserve">cwfif_national_activefires.fid--5b5096eb_19f85a2ef78_-58a0</t>
  </si>
  <si>
    <t xml:space="preserve">2026_ON_NIP_FIRE_072</t>
  </si>
  <si>
    <t xml:space="preserve">NIP_FIRE_072</t>
  </si>
  <si>
    <t xml:space="preserve">POINT (483635.00529 392096.831037)</t>
  </si>
  <si>
    <t xml:space="preserve">cwfif_national_activefires.fid--5b5096eb_19f85a2ef78_-589f</t>
  </si>
  <si>
    <t xml:space="preserve">2026_ON_NIP_FIRE_073</t>
  </si>
  <si>
    <t xml:space="preserve">NIP_FIRE_073</t>
  </si>
  <si>
    <t xml:space="preserve">POINT (497002.62592 396757.755894)</t>
  </si>
  <si>
    <t xml:space="preserve">cwfif_national_activefires.fid--5b5096eb_19f85a2ef78_-589e</t>
  </si>
  <si>
    <t xml:space="preserve">2026_ON_NIP_FIRE_056</t>
  </si>
  <si>
    <t xml:space="preserve">NIP_FIRE_056</t>
  </si>
  <si>
    <t xml:space="preserve">POINT (496914.804182 239947.320689)</t>
  </si>
  <si>
    <t xml:space="preserve">cwfif_national_activefires.fid--5b5096eb_19f85a2ef78_-589d</t>
  </si>
  <si>
    <t xml:space="preserve">2026_ON_NIP_FIRE_055</t>
  </si>
  <si>
    <t xml:space="preserve">NIP_FIRE_055</t>
  </si>
  <si>
    <t xml:space="preserve">POINT (462430.044222 273581.623898)</t>
  </si>
  <si>
    <t xml:space="preserve">cwfif_national_activefires.fid--5b5096eb_19f85a2ef78_-589c</t>
  </si>
  <si>
    <t xml:space="preserve">2026_ON_NIP_FIRE_053</t>
  </si>
  <si>
    <t xml:space="preserve">NIP_FIRE_053</t>
  </si>
  <si>
    <t xml:space="preserve">POINT (596792.429111 200420.118871)</t>
  </si>
  <si>
    <t xml:space="preserve">cwfif_national_activefires.fid--5b5096eb_19f85a2ef78_-589b</t>
  </si>
  <si>
    <t xml:space="preserve">2026_ON_NIP_FIRE_051</t>
  </si>
  <si>
    <t xml:space="preserve">NIP_FIRE_051</t>
  </si>
  <si>
    <t xml:space="preserve">POINT (596040.962195 206346.919093)</t>
  </si>
  <si>
    <t xml:space="preserve">cwfif_national_activefires.fid--5b5096eb_19f85a2ef78_-589a</t>
  </si>
  <si>
    <t xml:space="preserve">2026_ON_NIP_FIRE_074</t>
  </si>
  <si>
    <t xml:space="preserve">NIP_FIRE_074</t>
  </si>
  <si>
    <t xml:space="preserve">POINT (586287.450228 446920.820281)</t>
  </si>
  <si>
    <t xml:space="preserve">cwfif_national_activefires.fid--5b5096eb_19f85a2ef78_-5899</t>
  </si>
  <si>
    <t xml:space="preserve">2026_ON_FOR_FIRE_038</t>
  </si>
  <si>
    <t xml:space="preserve">FOR_FIRE_038</t>
  </si>
  <si>
    <t xml:space="preserve">POINT (274338.864931 -23172.175296)</t>
  </si>
  <si>
    <t xml:space="preserve">cwfif_national_activefires.fid--5b5096eb_19f85a2ef78_-5898</t>
  </si>
  <si>
    <t xml:space="preserve">2026_ON_DRY_FIRE_041</t>
  </si>
  <si>
    <t xml:space="preserve">DRY_FIRE_041</t>
  </si>
  <si>
    <t xml:space="preserve">POINT (348357.84806 138184.202204)</t>
  </si>
  <si>
    <t xml:space="preserve">cwfif_national_activefires.fid--5b5096eb_19f85a2ef78_-5897</t>
  </si>
  <si>
    <t xml:space="preserve">2026_ON_FOR_FIRE_015</t>
  </si>
  <si>
    <t xml:space="preserve">FOR_FIRE_015</t>
  </si>
  <si>
    <t xml:space="preserve">POINT (265018.530477 -43407.693993)</t>
  </si>
  <si>
    <t xml:space="preserve">cwfif_national_activefires.fid--5b5096eb_19f85a2ef78_-5896</t>
  </si>
  <si>
    <t xml:space="preserve">2026_ON_FOR_FIRE_013</t>
  </si>
  <si>
    <t xml:space="preserve">FOR_FIRE_013</t>
  </si>
  <si>
    <t xml:space="preserve">POINT (274685.526149 -72561.489161)</t>
  </si>
  <si>
    <t xml:space="preserve">cwfif_national_activefires.fid--5b5096eb_19f85a2ef78_-5895</t>
  </si>
  <si>
    <t xml:space="preserve">2026_ON_THU_FIRE_048</t>
  </si>
  <si>
    <t xml:space="preserve">THU_FIRE_048</t>
  </si>
  <si>
    <t xml:space="preserve">POINT (353469.748694 232412.699556)</t>
  </si>
  <si>
    <t xml:space="preserve">cwfif_national_activefires.fid--5b5096eb_19f85a2ef78_-5894</t>
  </si>
  <si>
    <t xml:space="preserve">NOR</t>
  </si>
  <si>
    <t xml:space="preserve">2026_ON_NOR_FIRE_027</t>
  </si>
  <si>
    <t xml:space="preserve">NOR_FIRE_027</t>
  </si>
  <si>
    <t xml:space="preserve">POINT (1138672.434902 -124781.371157)</t>
  </si>
  <si>
    <t xml:space="preserve">cwfif_national_activefires.fid--5b5096eb_19f85a2ef78_-5893</t>
  </si>
  <si>
    <t xml:space="preserve">2026_ON_SLK_FIRE_074</t>
  </si>
  <si>
    <t xml:space="preserve">SLK_FIRE_074</t>
  </si>
  <si>
    <t xml:space="preserve">POINT (344524.357886 257477.13625)</t>
  </si>
  <si>
    <t xml:space="preserve">cwfif_national_activefires.fid--5b5096eb_19f85a2ef78_-5892</t>
  </si>
  <si>
    <t xml:space="preserve">WAW</t>
  </si>
  <si>
    <t xml:space="preserve">2026_ON_WAW_FIRE_025</t>
  </si>
  <si>
    <t xml:space="preserve">WAW_FIRE_025</t>
  </si>
  <si>
    <t xml:space="preserve">POINT (668448.806688 119483.370613)</t>
  </si>
  <si>
    <t xml:space="preserve">cwfif_national_activefires.fid--5b5096eb_19f85a2ef78_-5891</t>
  </si>
  <si>
    <t xml:space="preserve">2026_ON_WAW_FIRE_028</t>
  </si>
  <si>
    <t xml:space="preserve">WAW_FIRE_028</t>
  </si>
  <si>
    <t xml:space="preserve">POINT (823012.301537 1755.262438)</t>
  </si>
  <si>
    <t xml:space="preserve">cwfif_national_activefires.fid--5b5096eb_19f85a2ef78_-5890</t>
  </si>
  <si>
    <t xml:space="preserve">2026_ON_SLK_FIRE_087</t>
  </si>
  <si>
    <t xml:space="preserve">SLK_FIRE_087</t>
  </si>
  <si>
    <t xml:space="preserve">POINT (261115.892086 113489.865743)</t>
  </si>
  <si>
    <t xml:space="preserve">cwfif_national_activefires.fid--5b5096eb_19f85a2ef78_-588f</t>
  </si>
  <si>
    <t xml:space="preserve">2026_ON_SLK_FIRE_092</t>
  </si>
  <si>
    <t xml:space="preserve">SLK_FIRE_092</t>
  </si>
  <si>
    <t xml:space="preserve">POINT (364470.938377 255630.2404)</t>
  </si>
  <si>
    <t xml:space="preserve">cwfif_national_activefires.fid--5b5096eb_19f85a2ef78_-588e</t>
  </si>
  <si>
    <t xml:space="preserve">2026_ON_DRY_FIRE_035</t>
  </si>
  <si>
    <t xml:space="preserve">DRY_FIRE_035</t>
  </si>
  <si>
    <t xml:space="preserve">POINT (352944.307753 83599.757714)</t>
  </si>
  <si>
    <t xml:space="preserve">cwfif_national_activefires.fid--5b5096eb_19f85a2ef78_-588d</t>
  </si>
  <si>
    <t xml:space="preserve">2026_ON_DRY_FIRE_034</t>
  </si>
  <si>
    <t xml:space="preserve">DRY_FIRE_034</t>
  </si>
  <si>
    <t xml:space="preserve">POINT (344682.236287 122190.944469)</t>
  </si>
  <si>
    <t xml:space="preserve">cwfif_national_activefires.fid--5b5096eb_19f85a2ef78_-588c</t>
  </si>
  <si>
    <t xml:space="preserve">2026_ON_SLK_FIRE_085</t>
  </si>
  <si>
    <t xml:space="preserve">SLK_FIRE_085</t>
  </si>
  <si>
    <t xml:space="preserve">POINT (320854.999074 229273.127462)</t>
  </si>
  <si>
    <t xml:space="preserve">cwfif_national_activefires.fid--5b5096eb_19f85a2ef78_-588b</t>
  </si>
  <si>
    <t xml:space="preserve">2026_ON_SLK_FIRE_089</t>
  </si>
  <si>
    <t xml:space="preserve">SLK_FIRE_089</t>
  </si>
  <si>
    <t xml:space="preserve">POINT (304240.417872 186413.553351)</t>
  </si>
  <si>
    <t xml:space="preserve">cwfif_national_activefires.fid--5b5096eb_19f85a2ef78_-588a</t>
  </si>
  <si>
    <t xml:space="preserve">2026_ON_SLK_FIRE_093</t>
  </si>
  <si>
    <t xml:space="preserve">SLK_FIRE_093</t>
  </si>
  <si>
    <t xml:space="preserve">POINT (263023.623353 370160.378886)</t>
  </si>
  <si>
    <t xml:space="preserve">cwfif_national_activefires.fid--5b5096eb_19f85a2ef78_-5889</t>
  </si>
  <si>
    <t xml:space="preserve">2026_ON_SLK_FIRE_094</t>
  </si>
  <si>
    <t xml:space="preserve">SLK_FIRE_094</t>
  </si>
  <si>
    <t xml:space="preserve">POINT (267023.617137 391464.660161)</t>
  </si>
  <si>
    <t xml:space="preserve">cwfif_national_activefires.fid--5b5096eb_19f85a2ef78_-5888</t>
  </si>
  <si>
    <t xml:space="preserve">2026_ON_SLK_FIRE_099</t>
  </si>
  <si>
    <t xml:space="preserve">SLK_FIRE_099</t>
  </si>
  <si>
    <t xml:space="preserve">POINT (248798.384754 466795.375218)</t>
  </si>
  <si>
    <t xml:space="preserve">cwfif_national_activefires.fid--5b5096eb_19f85a2ef78_-5887</t>
  </si>
  <si>
    <t xml:space="preserve">2026_ON_SLK_FIRE_098</t>
  </si>
  <si>
    <t xml:space="preserve">SLK_FIRE_098</t>
  </si>
  <si>
    <t xml:space="preserve">POINT (377989.375693 408940.19122)</t>
  </si>
  <si>
    <t xml:space="preserve">cwfif_national_activefires.fid--5b5096eb_19f85a2ef78_-5886</t>
  </si>
  <si>
    <t xml:space="preserve">2026_ON_SLK_FIRE_097</t>
  </si>
  <si>
    <t xml:space="preserve">SLK_FIRE_097</t>
  </si>
  <si>
    <t xml:space="preserve">POINT (326016.436783 229273.857489)</t>
  </si>
  <si>
    <t xml:space="preserve">cwfif_national_activefires.fid--5b5096eb_19f85a2ef78_-5885</t>
  </si>
  <si>
    <t xml:space="preserve">2026_ON_SLK_FIRE_091</t>
  </si>
  <si>
    <t xml:space="preserve">SLK_FIRE_091</t>
  </si>
  <si>
    <t xml:space="preserve">POINT (345218.010821 202345.927171)</t>
  </si>
  <si>
    <t xml:space="preserve">cwfif_national_activefires.fid--5b5096eb_19f85a2ef78_-5884</t>
  </si>
  <si>
    <t xml:space="preserve">2026_ON_SLK_FIRE_086</t>
  </si>
  <si>
    <t xml:space="preserve">SLK_FIRE_086</t>
  </si>
  <si>
    <t xml:space="preserve">POINT (318075.935852 226392.544284)</t>
  </si>
  <si>
    <t xml:space="preserve">cwfif_national_activefires.fid--5b5096eb_19f85a2ef78_-5883</t>
  </si>
  <si>
    <t xml:space="preserve">COC</t>
  </si>
  <si>
    <t xml:space="preserve">2026_ON_COC_FIRE_045</t>
  </si>
  <si>
    <t xml:space="preserve">COC_FIRE_045</t>
  </si>
  <si>
    <t xml:space="preserve">POINT (776255.921119 405687.015315)</t>
  </si>
  <si>
    <t xml:space="preserve">cwfif_national_activefires.fid--5b5096eb_19f85a2ef78_-5882</t>
  </si>
  <si>
    <t xml:space="preserve">2026_ON_THU_FIRE_056</t>
  </si>
  <si>
    <t xml:space="preserve">THU_FIRE_056</t>
  </si>
  <si>
    <t xml:space="preserve">POINT (327842.877386 58384.001809)</t>
  </si>
  <si>
    <t xml:space="preserve">cwfif_national_activefires.fid--5b5096eb_19f85a2ef78_-5881</t>
  </si>
  <si>
    <t xml:space="preserve">2026_ON_THU_FIRE_060</t>
  </si>
  <si>
    <t xml:space="preserve">THU_FIRE_060</t>
  </si>
  <si>
    <t xml:space="preserve">POINT (439288.163481 86384.713613)</t>
  </si>
  <si>
    <t xml:space="preserve">cwfif_national_activefires.fid--5b5096eb_19f85a2ef78_-5880</t>
  </si>
  <si>
    <t xml:space="preserve">2026_ON_FOR_FIRE_039</t>
  </si>
  <si>
    <t xml:space="preserve">FOR_FIRE_039</t>
  </si>
  <si>
    <t xml:space="preserve">POINT (221144.882166 -69229.492368)</t>
  </si>
  <si>
    <t xml:space="preserve">cwfif_national_activefires.fid--5b5096eb_19f85a2ef78_-587f</t>
  </si>
  <si>
    <t xml:space="preserve">2026_ON_WAW_FIRE_021</t>
  </si>
  <si>
    <t xml:space="preserve">WAW_FIRE_021</t>
  </si>
  <si>
    <t xml:space="preserve">POINT (697116.68428 124464.23969)</t>
  </si>
  <si>
    <t xml:space="preserve">cwfif_national_activefires.fid--5b5096eb_19f85a2ef78_-587e</t>
  </si>
  <si>
    <t xml:space="preserve">2026_ON_FOR_FIRE_014</t>
  </si>
  <si>
    <t xml:space="preserve">FOR_FIRE_014</t>
  </si>
  <si>
    <t xml:space="preserve">POINT (294198.55843 -2573.291966)</t>
  </si>
  <si>
    <t xml:space="preserve">cwfif_national_activefires.fid--5b5096eb_19f85a2ef78_-587d</t>
  </si>
  <si>
    <t xml:space="preserve">2026_ON_FOR_FIRE_035</t>
  </si>
  <si>
    <t xml:space="preserve">FOR_FIRE_035</t>
  </si>
  <si>
    <t xml:space="preserve">POINT (284521.277321 18586.094549)</t>
  </si>
  <si>
    <t xml:space="preserve">cwfif_national_activefires.fid--5b5096eb_19f85a2ef78_-587c</t>
  </si>
  <si>
    <t xml:space="preserve">2026_ON_THU_FIRE_054</t>
  </si>
  <si>
    <t xml:space="preserve">THU_FIRE_054</t>
  </si>
  <si>
    <t xml:space="preserve">POINT (362508.89363 98236.237481)</t>
  </si>
  <si>
    <t xml:space="preserve">cwfif_national_activefires.fid--5b5096eb_19f85a2ef78_-587b</t>
  </si>
  <si>
    <t xml:space="preserve">2026_ON_NIP_FIRE_070</t>
  </si>
  <si>
    <t xml:space="preserve">NIP_FIRE_070</t>
  </si>
  <si>
    <t xml:space="preserve">POINT (427204.538983 250254.437148)</t>
  </si>
  <si>
    <t xml:space="preserve">cwfif_national_activefires.fid--5b5096eb_19f85a2ef78_-587a</t>
  </si>
  <si>
    <t xml:space="preserve">2026_ON_SLK_FIRE_095</t>
  </si>
  <si>
    <t xml:space="preserve">SLK_FIRE_095</t>
  </si>
  <si>
    <t xml:space="preserve">POINT (324857.627919 197676.974956)</t>
  </si>
  <si>
    <t xml:space="preserve">cwfif_national_activefires.fid--5b5096eb_19f85a2ef78_-5879</t>
  </si>
  <si>
    <t xml:space="preserve">2026_ON_NIP_FIRE_069</t>
  </si>
  <si>
    <t xml:space="preserve">NIP_FIRE_069</t>
  </si>
  <si>
    <t xml:space="preserve">POINT (440838.987689 283310.110432)</t>
  </si>
  <si>
    <t xml:space="preserve">cwfif_national_activefires.fid--5b5096eb_19f85a2ef78_-5878</t>
  </si>
  <si>
    <t xml:space="preserve">2026_ON_NIP_FIRE_043</t>
  </si>
  <si>
    <t xml:space="preserve">NIP_FIRE_043</t>
  </si>
  <si>
    <t xml:space="preserve">POINT (494632.494902 152659.576672)</t>
  </si>
  <si>
    <t xml:space="preserve">cwfif_national_activefires.fid--5b5096eb_19f85a2ef78_-5877</t>
  </si>
  <si>
    <t xml:space="preserve">2026_ON_NOR_FIRE_031</t>
  </si>
  <si>
    <t xml:space="preserve">NOR_FIRE_031</t>
  </si>
  <si>
    <t xml:space="preserve">POINT (1075032.445278 -68951.925792)</t>
  </si>
  <si>
    <t xml:space="preserve">cwfif_national_activefires.fid--5b5096eb_19f85a2ef78_-5876</t>
  </si>
  <si>
    <t xml:space="preserve">2026_ON_SLK_FIRE_005</t>
  </si>
  <si>
    <t xml:space="preserve">SLK_FIRE_005</t>
  </si>
  <si>
    <t xml:space="preserve">POINT (363751.536004 278523.057943)</t>
  </si>
  <si>
    <t xml:space="preserve">cwfif_national_activefires.fid--5b5096eb_19f85a2ef78_-5875</t>
  </si>
  <si>
    <t xml:space="preserve">2026_ON_NOR_FIRE_034</t>
  </si>
  <si>
    <t xml:space="preserve">NOR_FIRE_034</t>
  </si>
  <si>
    <t xml:space="preserve">POINT (1188269.90729 -178536.716073)</t>
  </si>
  <si>
    <t xml:space="preserve">cwfif_national_activefires.fid--5b5096eb_19f85a2ef78_-5874</t>
  </si>
  <si>
    <t xml:space="preserve">2026_ON_SLK_FIRE_071</t>
  </si>
  <si>
    <t xml:space="preserve">SLK_FIRE_071</t>
  </si>
  <si>
    <t xml:space="preserve">POINT (193661.675601 295582.026413)</t>
  </si>
  <si>
    <t xml:space="preserve">cwfif_national_activefires.fid--5b5096eb_19f85a2ef78_-5873</t>
  </si>
  <si>
    <t xml:space="preserve">2026_ON_WAW_FIRE_017</t>
  </si>
  <si>
    <t xml:space="preserve">WAW_FIRE_017</t>
  </si>
  <si>
    <t xml:space="preserve">POINT (697827.865226 31020.372571)</t>
  </si>
  <si>
    <t xml:space="preserve">cwfif_national_activefires.fid--5b5096eb_19f85a2ef78_-5872</t>
  </si>
  <si>
    <t xml:space="preserve">2026_ON_NIP_FIRE_039</t>
  </si>
  <si>
    <t xml:space="preserve">NIP_FIRE_039</t>
  </si>
  <si>
    <t xml:space="preserve">POINT (533360.80915 185681.891233)</t>
  </si>
  <si>
    <t xml:space="preserve">cwfif_national_activefires.fid--5b5096eb_19f85a2ef78_-5871</t>
  </si>
  <si>
    <t xml:space="preserve">2026_ON_NIP_FIRE_038</t>
  </si>
  <si>
    <t xml:space="preserve">NIP_FIRE_038</t>
  </si>
  <si>
    <t xml:space="preserve">POINT (533811.424998 190850.939676)</t>
  </si>
  <si>
    <t xml:space="preserve">cwfif_national_activefires.fid--5b5096eb_19f85a2ef78_-5870</t>
  </si>
  <si>
    <t xml:space="preserve">2026_ON_NIP_FIRE_037</t>
  </si>
  <si>
    <t xml:space="preserve">NIP_FIRE_037</t>
  </si>
  <si>
    <t xml:space="preserve">POINT (508292.344515 175932.945777)</t>
  </si>
  <si>
    <t xml:space="preserve">cwfif_national_activefires.fid--5b5096eb_19f85a2ef78_-586f</t>
  </si>
  <si>
    <t xml:space="preserve">2026_ON_NIP_FIRE_068</t>
  </si>
  <si>
    <t xml:space="preserve">NIP_FIRE_068</t>
  </si>
  <si>
    <t xml:space="preserve">POINT (589378.989627 224747.951052)</t>
  </si>
  <si>
    <t xml:space="preserve">cwfif_national_activefires.fid--5b5096eb_19f85a2ef78_-586e</t>
  </si>
  <si>
    <t xml:space="preserve">2026_ON_DRY_FIRE_033</t>
  </si>
  <si>
    <t xml:space="preserve">DRY_FIRE_033</t>
  </si>
  <si>
    <t xml:space="preserve">POINT (130258.303159 76671.811311)</t>
  </si>
  <si>
    <t xml:space="preserve">cwfif_national_activefires.fid--5b5096eb_19f85a2ef78_-586d</t>
  </si>
  <si>
    <t xml:space="preserve">2026_ON_THU_FIRE_036</t>
  </si>
  <si>
    <t xml:space="preserve">THU_FIRE_036</t>
  </si>
  <si>
    <t xml:space="preserve">POINT (388069.135669 203468.40243)</t>
  </si>
  <si>
    <t xml:space="preserve">cwfif_national_activefires.fid--5b5096eb_19f85a2ef78_-586c</t>
  </si>
  <si>
    <t xml:space="preserve">2026_ON_NIP_FIRE_066</t>
  </si>
  <si>
    <t xml:space="preserve">NIP_FIRE_066</t>
  </si>
  <si>
    <t xml:space="preserve">POINT (664636.336495 128184.547289)</t>
  </si>
  <si>
    <t xml:space="preserve">cwfif_national_activefires.fid--5b5096eb_19f85a2ef78_-586b</t>
  </si>
  <si>
    <t xml:space="preserve">2026_ON_NIP_FIRE_065</t>
  </si>
  <si>
    <t xml:space="preserve">NIP_FIRE_065</t>
  </si>
  <si>
    <t xml:space="preserve">POINT (505863.781261 254071.419152)</t>
  </si>
  <si>
    <t xml:space="preserve">cwfif_national_activefires.fid--5b5096eb_19f85a2ef78_-586a</t>
  </si>
  <si>
    <t xml:space="preserve">2026_ON_NIP_FIRE_064</t>
  </si>
  <si>
    <t xml:space="preserve">NIP_FIRE_064</t>
  </si>
  <si>
    <t xml:space="preserve">POINT (634745.874119 169755.856751)</t>
  </si>
  <si>
    <t xml:space="preserve">cwfif_national_activefires.fid--5b5096eb_19f85a2ef78_-5869</t>
  </si>
  <si>
    <t xml:space="preserve">2026_ON_NIP_FIRE_063</t>
  </si>
  <si>
    <t xml:space="preserve">NIP_FIRE_063</t>
  </si>
  <si>
    <t xml:space="preserve">POINT (533382.055743 146243.31457)</t>
  </si>
  <si>
    <t xml:space="preserve">cwfif_national_activefires.fid--5b5096eb_19f85a2ef78_-5868</t>
  </si>
  <si>
    <t xml:space="preserve">2026_ON_RED_FIRE_019</t>
  </si>
  <si>
    <t xml:space="preserve">RED_FIRE_019</t>
  </si>
  <si>
    <t xml:space="preserve">POINT (168272.126205 298917.679741)</t>
  </si>
  <si>
    <t xml:space="preserve">cwfif_national_activefires.fid--5b5096eb_19f85a2ef78_-5867</t>
  </si>
  <si>
    <t xml:space="preserve">2026_ON_RED_FIRE_022</t>
  </si>
  <si>
    <t xml:space="preserve">RED_FIRE_022</t>
  </si>
  <si>
    <t xml:space="preserve">POINT (164999.091178 318792.413464)</t>
  </si>
  <si>
    <t xml:space="preserve">cwfif_national_activefires.fid--5b5096eb_19f85a2ef78_-5866</t>
  </si>
  <si>
    <t xml:space="preserve">2026_ON_RED_FIRE_024</t>
  </si>
  <si>
    <t xml:space="preserve">RED_FIRE_024</t>
  </si>
  <si>
    <t xml:space="preserve">POINT (135150.188764 362339.909352)</t>
  </si>
  <si>
    <t xml:space="preserve">cwfif_national_activefires.fid--5b5096eb_19f85a2ef78_-5865</t>
  </si>
  <si>
    <t xml:space="preserve">2026_ON_COC_FIRE_044</t>
  </si>
  <si>
    <t xml:space="preserve">COC_FIRE_044</t>
  </si>
  <si>
    <t xml:space="preserve">POINT (728297.158008 287537.969291)</t>
  </si>
  <si>
    <t xml:space="preserve">cwfif_national_activefires.fid--5b5096eb_19f85a2ef78_-5864</t>
  </si>
  <si>
    <t xml:space="preserve">2026_ON_COC_FIRE_043</t>
  </si>
  <si>
    <t xml:space="preserve">COC_FIRE_043</t>
  </si>
  <si>
    <t xml:space="preserve">POINT (854436.867247 447147.810639)</t>
  </si>
  <si>
    <t xml:space="preserve">cwfif_national_activefires.fid--5b5096eb_19f85a2ef78_-5863</t>
  </si>
  <si>
    <t xml:space="preserve">2026_ON_WAW_FIRE_015</t>
  </si>
  <si>
    <t xml:space="preserve">WAW_FIRE_015</t>
  </si>
  <si>
    <t xml:space="preserve">POINT (789667.021517 -127425.003323)</t>
  </si>
  <si>
    <t xml:space="preserve">cwfif_national_activefires.fid--5b5096eb_19f85a2ef78_-5862</t>
  </si>
  <si>
    <t xml:space="preserve">2026_ON_SLK_FIRE_070</t>
  </si>
  <si>
    <t xml:space="preserve">SLK_FIRE_070</t>
  </si>
  <si>
    <t xml:space="preserve">POINT (262834.7529 315246.317014)</t>
  </si>
  <si>
    <t xml:space="preserve">cwfif_national_activefires.fid--5b5096eb_19f85a2ef78_-5861</t>
  </si>
  <si>
    <t xml:space="preserve">2026_ON_SLK_FIRE_066</t>
  </si>
  <si>
    <t xml:space="preserve">SLK_FIRE_066</t>
  </si>
  <si>
    <t xml:space="preserve">POINT (256346.972833 263979.511547)</t>
  </si>
  <si>
    <t xml:space="preserve">cwfif_national_activefires.fid--5b5096eb_19f85a2ef78_-5860</t>
  </si>
  <si>
    <t xml:space="preserve">2026_ON_SLK_FIRE_064</t>
  </si>
  <si>
    <t xml:space="preserve">SLK_FIRE_064</t>
  </si>
  <si>
    <t xml:space="preserve">POINT (242600.600692 276621.160106)</t>
  </si>
  <si>
    <t xml:space="preserve">cwfif_national_activefires.fid--5b5096eb_19f85a2ef78_-585f</t>
  </si>
  <si>
    <t xml:space="preserve">2026_ON_NIP_FIRE_062</t>
  </si>
  <si>
    <t xml:space="preserve">NIP_FIRE_062</t>
  </si>
  <si>
    <t xml:space="preserve">POINT (548042.287923 166257.650624)</t>
  </si>
  <si>
    <t xml:space="preserve">cwfif_national_activefires.fid--5b5096eb_19f85a2ef78_-585e</t>
  </si>
  <si>
    <t xml:space="preserve">2026_ON_WAW_FIRE_014</t>
  </si>
  <si>
    <t xml:space="preserve">WAW_FIRE_014</t>
  </si>
  <si>
    <t xml:space="preserve">POINT (725983.75775 3687.692039)</t>
  </si>
  <si>
    <t xml:space="preserve">cwfif_national_activefires.fid--5b5096eb_19f85a2ef78_-585d</t>
  </si>
  <si>
    <t xml:space="preserve">2026_ON_COC_FIRE_038</t>
  </si>
  <si>
    <t xml:space="preserve">COC_FIRE_038</t>
  </si>
  <si>
    <t xml:space="preserve">POINT (848120.272189 482082.864438)</t>
  </si>
  <si>
    <t xml:space="preserve">cwfif_national_activefires.fid--5b5096eb_19f85a2ef78_-585c</t>
  </si>
  <si>
    <t xml:space="preserve">2026_ON_SLK_FIRE_084</t>
  </si>
  <si>
    <t xml:space="preserve">SLK_FIRE_084</t>
  </si>
  <si>
    <t xml:space="preserve">POINT (295823.9356 198935.118997)</t>
  </si>
  <si>
    <t xml:space="preserve">cwfif_national_activefires.fid--5b5096eb_19f85a2ef78_-585b</t>
  </si>
  <si>
    <t xml:space="preserve">2026_ON_NIP_FIRE_057</t>
  </si>
  <si>
    <t xml:space="preserve">NIP_FIRE_057</t>
  </si>
  <si>
    <t xml:space="preserve">POINT (603708.042911 171406.060799)</t>
  </si>
  <si>
    <t xml:space="preserve">cwfif_national_activefires.fid--5b5096eb_19f85a2ef78_-585a</t>
  </si>
  <si>
    <t xml:space="preserve">2026_ON_NIP_FIRE_054</t>
  </si>
  <si>
    <t xml:space="preserve">NIP_FIRE_054</t>
  </si>
  <si>
    <t xml:space="preserve">POINT (630009.813381 160508.155227)</t>
  </si>
  <si>
    <t xml:space="preserve">cwfif_national_activefires.fid--5b5096eb_19f85a2ef78_-5859</t>
  </si>
  <si>
    <t xml:space="preserve">2026_ON_COC_FIRE_040</t>
  </si>
  <si>
    <t xml:space="preserve">COC_FIRE_040</t>
  </si>
  <si>
    <t xml:space="preserve">POINT (916142.618554 416245.944437)</t>
  </si>
  <si>
    <t xml:space="preserve">cwfif_national_activefires.fid--5b5096eb_19f85a2ef78_-5858</t>
  </si>
  <si>
    <t xml:space="preserve">2026_ON_COC_FIRE_039</t>
  </si>
  <si>
    <t xml:space="preserve">COC_FIRE_039</t>
  </si>
  <si>
    <t xml:space="preserve">POINT (762888.215896 469100.05562)</t>
  </si>
  <si>
    <t xml:space="preserve">cwfif_national_activefires.fid--5b5096eb_19f85a2ef78_-5857</t>
  </si>
  <si>
    <t xml:space="preserve">2026_ON_SLK_FIRE_090</t>
  </si>
  <si>
    <t xml:space="preserve">SLK_FIRE_090</t>
  </si>
  <si>
    <t xml:space="preserve">POINT (341474.425392 248825.051709)</t>
  </si>
  <si>
    <t xml:space="preserve">cwfif_national_activefires.fid--5b5096eb_19f85a2ef78_-5856</t>
  </si>
  <si>
    <t xml:space="preserve">2026_ON_NIP_FIRE_035</t>
  </si>
  <si>
    <t xml:space="preserve">NIP_FIRE_035</t>
  </si>
  <si>
    <t xml:space="preserve">POINT (437444.74757 258903.993028)</t>
  </si>
  <si>
    <t xml:space="preserve">cwfif_national_activefires.fid--5b5096eb_19f85a2ef78_-5855</t>
  </si>
  <si>
    <t xml:space="preserve">2026_ON_THU_FIRE_059</t>
  </si>
  <si>
    <t xml:space="preserve">THU_FIRE_059</t>
  </si>
  <si>
    <t xml:space="preserve">POINT (457480.160067 162033.729028)</t>
  </si>
  <si>
    <t xml:space="preserve">cwfif_national_activefires.fid--5b5096eb_19f85a2ef78_-5854</t>
  </si>
  <si>
    <t xml:space="preserve">2026_ON_DRY_FIRE_025</t>
  </si>
  <si>
    <t xml:space="preserve">DRY_FIRE_025</t>
  </si>
  <si>
    <t xml:space="preserve">POINT (169900.492132 139392.703106)</t>
  </si>
  <si>
    <t xml:space="preserve">cwfif_national_activefires.fid--5b5096eb_19f85a2ef78_-5853</t>
  </si>
  <si>
    <t xml:space="preserve">2026_ON_SLK_FIRE_057</t>
  </si>
  <si>
    <t xml:space="preserve">SLK_FIRE_057</t>
  </si>
  <si>
    <t xml:space="preserve">POINT (370293.168943 297576.234657)</t>
  </si>
  <si>
    <t xml:space="preserve">cwfif_national_activefires.fid--5b5096eb_19f85a2ef78_-5852</t>
  </si>
  <si>
    <t xml:space="preserve">2026_ON_SLK_FIRE_083</t>
  </si>
  <si>
    <t xml:space="preserve">SLK_FIRE_083</t>
  </si>
  <si>
    <t xml:space="preserve">POINT (386771.823051 293385.212681)</t>
  </si>
  <si>
    <t xml:space="preserve">cwfif_national_activefires.fid--5b5096eb_19f85a2ef78_-5851</t>
  </si>
  <si>
    <t xml:space="preserve">2026_ON_NIP_FIRE_029</t>
  </si>
  <si>
    <t xml:space="preserve">NIP_FIRE_029</t>
  </si>
  <si>
    <t xml:space="preserve">POINT (423407.666708 352042.947981)</t>
  </si>
  <si>
    <t xml:space="preserve">cwfif_national_activefires.fid--5b5096eb_19f85a2ef78_-5850</t>
  </si>
  <si>
    <t xml:space="preserve">2026_ON_NIP_FIRE_026</t>
  </si>
  <si>
    <t xml:space="preserve">NIP_FIRE_026</t>
  </si>
  <si>
    <t xml:space="preserve">POINT (405059.877095 374807.37741)</t>
  </si>
  <si>
    <t xml:space="preserve">cwfif_national_activefires.fid--5b5096eb_19f85a2ef78_-584f</t>
  </si>
  <si>
    <t xml:space="preserve">2026_ON_NIP_FIRE_031</t>
  </si>
  <si>
    <t xml:space="preserve">NIP_FIRE_031</t>
  </si>
  <si>
    <t xml:space="preserve">POINT (588088.906213 439083.756426)</t>
  </si>
  <si>
    <t xml:space="preserve">cwfif_national_activefires.fid--5b5096eb_19f85a2ef78_-584e</t>
  </si>
  <si>
    <t xml:space="preserve">2026_ON_NIP_FIRE_025</t>
  </si>
  <si>
    <t xml:space="preserve">NIP_FIRE_025</t>
  </si>
  <si>
    <t xml:space="preserve">POINT (449956.237074 88549.475848)</t>
  </si>
  <si>
    <t xml:space="preserve">cwfif_national_activefires.fid--5b5096eb_19f85a2ef78_-584d</t>
  </si>
  <si>
    <t xml:space="preserve">2026_ON_NIP_FIRE_013</t>
  </si>
  <si>
    <t xml:space="preserve">NIP_FIRE_013</t>
  </si>
  <si>
    <t xml:space="preserve">POINT (411835.890421 533042.947064)</t>
  </si>
  <si>
    <t xml:space="preserve">cwfif_national_activefires.fid--5b5096eb_19f85a2ef78_-584c</t>
  </si>
  <si>
    <t xml:space="preserve">2026_ON_SLK_FIRE_024</t>
  </si>
  <si>
    <t xml:space="preserve">SLK_FIRE_024</t>
  </si>
  <si>
    <t xml:space="preserve">POINT (304146.631565 297642.013372)</t>
  </si>
  <si>
    <t xml:space="preserve">cwfif_national_activefires.fid--5b5096eb_19f85a2ef78_-584b</t>
  </si>
  <si>
    <t xml:space="preserve">2026_ON_COC_FIRE_033</t>
  </si>
  <si>
    <t xml:space="preserve">COC_FIRE_033</t>
  </si>
  <si>
    <t xml:space="preserve">POINT (382780.214518 606184.657087)</t>
  </si>
  <si>
    <t xml:space="preserve">cwfif_national_activefires.fid--5b5096eb_19f85a2ef78_-584a</t>
  </si>
  <si>
    <t xml:space="preserve">2026_ON_COC_FIRE_034</t>
  </si>
  <si>
    <t xml:space="preserve">COC_FIRE_034</t>
  </si>
  <si>
    <t xml:space="preserve">POINT (495226.905154 670612.738864)</t>
  </si>
  <si>
    <t xml:space="preserve">cwfif_national_activefires.fid--5b5096eb_19f85a2ef78_-5849</t>
  </si>
  <si>
    <t xml:space="preserve">2026_ON_NIP_FIRE_012</t>
  </si>
  <si>
    <t xml:space="preserve">NIP_FIRE_012</t>
  </si>
  <si>
    <t xml:space="preserve">POINT (394935.174526 524409.081626)</t>
  </si>
  <si>
    <t xml:space="preserve">cwfif_national_activefires.fid--5b5096eb_19f85a2ef78_-5848</t>
  </si>
  <si>
    <t xml:space="preserve">2026_ON_FOR_FIRE_011</t>
  </si>
  <si>
    <t xml:space="preserve">FOR_FIRE_011</t>
  </si>
  <si>
    <t xml:space="preserve">POINT (249832.693842 -59192.324532)</t>
  </si>
  <si>
    <t xml:space="preserve">cwfif_national_activefires.fid--5b5096eb_19f85a2ef78_-5847</t>
  </si>
  <si>
    <t xml:space="preserve">2026_ON_SLK_FIRE_063</t>
  </si>
  <si>
    <t xml:space="preserve">SLK_FIRE_063</t>
  </si>
  <si>
    <t xml:space="preserve">POINT (371044.12278 376030.681943)</t>
  </si>
  <si>
    <t xml:space="preserve">cwfif_national_activefires.fid--5b5096eb_19f85a2ef78_-5846</t>
  </si>
  <si>
    <t xml:space="preserve">2026_ON_NIP_FIRE_016</t>
  </si>
  <si>
    <t xml:space="preserve">NIP_FIRE_016</t>
  </si>
  <si>
    <t xml:space="preserve">POINT (420051.727198 511528.176501)</t>
  </si>
  <si>
    <t xml:space="preserve">cwfif_national_activefires.fid--5b5096eb_19f85a2ef78_-5845</t>
  </si>
  <si>
    <t xml:space="preserve">2026_ON_SLK_FIRE_021</t>
  </si>
  <si>
    <t xml:space="preserve">SLK_FIRE_021</t>
  </si>
  <si>
    <t xml:space="preserve">POINT (382355.350061 438323.929025)</t>
  </si>
  <si>
    <t xml:space="preserve">cwfif_national_activefires.fid--5b5096eb_19f85a2ef78_-5844</t>
  </si>
  <si>
    <t xml:space="preserve">2026_ON_COC_FIRE_025</t>
  </si>
  <si>
    <t xml:space="preserve">COC_FIRE_025</t>
  </si>
  <si>
    <t xml:space="preserve">POINT (417105.993148 778017.8537)</t>
  </si>
  <si>
    <t xml:space="preserve">cwfif_national_activefires.fid--5b5096eb_19f85a2ef78_-5843</t>
  </si>
  <si>
    <t xml:space="preserve">2026_ON_SLK_FIRE_029</t>
  </si>
  <si>
    <t xml:space="preserve">SLK_FIRE_029</t>
  </si>
  <si>
    <t xml:space="preserve">POINT (341751.900308 435367.304554)</t>
  </si>
  <si>
    <t xml:space="preserve">cwfif_national_activefires.fid--5b5096eb_19f85a2ef78_-5842</t>
  </si>
  <si>
    <t xml:space="preserve">2026_ON_SLK_FIRE_034</t>
  </si>
  <si>
    <t xml:space="preserve">SLK_FIRE_034</t>
  </si>
  <si>
    <t xml:space="preserve">POINT (228697.082747 491849.852096)</t>
  </si>
  <si>
    <t xml:space="preserve">cwfif_national_activefires.fid--5b5096eb_19f85a2ef78_-5841</t>
  </si>
  <si>
    <t xml:space="preserve">2026_ON_SLK_FIRE_028</t>
  </si>
  <si>
    <t xml:space="preserve">SLK_FIRE_028</t>
  </si>
  <si>
    <t xml:space="preserve">POINT (252092.311764 454074.181622)</t>
  </si>
  <si>
    <t xml:space="preserve">cwfif_national_activefires.fid--5b5096eb_19f85a2ef78_-5840</t>
  </si>
  <si>
    <t xml:space="preserve">2026_ON_SLK_FIRE_038</t>
  </si>
  <si>
    <t xml:space="preserve">SLK_FIRE_038</t>
  </si>
  <si>
    <t xml:space="preserve">POINT (226182.500867 522318.335507)</t>
  </si>
  <si>
    <t xml:space="preserve">cwfif_national_activefires.fid--5b5096eb_19f85a2ef78_-583f</t>
  </si>
  <si>
    <t xml:space="preserve">2026_ON_SLK_FIRE_027</t>
  </si>
  <si>
    <t xml:space="preserve">SLK_FIRE_027</t>
  </si>
  <si>
    <t xml:space="preserve">POINT (297172.23926 323259.763187)</t>
  </si>
  <si>
    <t xml:space="preserve">cwfif_national_activefires.fid--5b5096eb_19f85a2ef78_-583e</t>
  </si>
  <si>
    <t xml:space="preserve">2026_ON_COC_FIRE_029</t>
  </si>
  <si>
    <t xml:space="preserve">COC_FIRE_029</t>
  </si>
  <si>
    <t xml:space="preserve">POINT (410615.874698 754904.217491)</t>
  </si>
  <si>
    <t xml:space="preserve">cwfif_national_activefires.fid--5b5096eb_19f85a2ef78_-583d</t>
  </si>
  <si>
    <t xml:space="preserve">2026_ON_COC_FIRE_031</t>
  </si>
  <si>
    <t xml:space="preserve">COC_FIRE_031</t>
  </si>
  <si>
    <t xml:space="preserve">POINT (459883.490549 700750.031824)</t>
  </si>
  <si>
    <t xml:space="preserve">cwfif_national_activefires.fid--5b5096eb_19f85a2ef78_-583c</t>
  </si>
  <si>
    <t xml:space="preserve">2026_ON_COC_FIRE_027</t>
  </si>
  <si>
    <t xml:space="preserve">COC_FIRE_027</t>
  </si>
  <si>
    <t xml:space="preserve">POINT (396229.017309 575043.774242)</t>
  </si>
  <si>
    <t xml:space="preserve">cwfif_national_activefires.fid--5b5096eb_19f85a2ef78_-583b</t>
  </si>
  <si>
    <t xml:space="preserve">2026_ON_COC_FIRE_030</t>
  </si>
  <si>
    <t xml:space="preserve">COC_FIRE_030</t>
  </si>
  <si>
    <t xml:space="preserve">POINT (453938.305787 700964.183308)</t>
  </si>
  <si>
    <t xml:space="preserve">cwfif_national_activefires.fid--5b5096eb_19f85a2ef78_-583a</t>
  </si>
  <si>
    <t xml:space="preserve">2026_ON_COC_FIRE_028</t>
  </si>
  <si>
    <t xml:space="preserve">COC_FIRE_028</t>
  </si>
  <si>
    <t xml:space="preserve">POINT (407502.662256 653589.699966)</t>
  </si>
  <si>
    <t xml:space="preserve">cwfif_national_activefires.fid--5b5096eb_19f85a2ef78_-5839</t>
  </si>
  <si>
    <t xml:space="preserve">2026_ON_SLK_FIRE_025</t>
  </si>
  <si>
    <t xml:space="preserve">SLK_FIRE_025</t>
  </si>
  <si>
    <t xml:space="preserve">POINT (298969.790302 470826.259275)</t>
  </si>
  <si>
    <t xml:space="preserve">cwfif_national_activefires.fid--5b5096eb_19f85a2ef78_-5838</t>
  </si>
  <si>
    <t xml:space="preserve">2026_ON_RED_FIRE_016</t>
  </si>
  <si>
    <t xml:space="preserve">RED_FIRE_016</t>
  </si>
  <si>
    <t xml:space="preserve">POINT (113971.246835 515619.292884)</t>
  </si>
  <si>
    <t xml:space="preserve">cwfif_national_activefires.fid--5b5096eb_19f85a2ef78_-5837</t>
  </si>
  <si>
    <t xml:space="preserve">2026_ON_SLK_FIRE_039</t>
  </si>
  <si>
    <t xml:space="preserve">SLK_FIRE_039</t>
  </si>
  <si>
    <t xml:space="preserve">POINT (219473.474343 513813.928414)</t>
  </si>
  <si>
    <t xml:space="preserve">cwfif_national_activefires.fid--5b5096eb_19f85a2ef78_-5836</t>
  </si>
  <si>
    <t xml:space="preserve">2026_ON_SLK_FIRE_043</t>
  </si>
  <si>
    <t xml:space="preserve">SLK_FIRE_043</t>
  </si>
  <si>
    <t xml:space="preserve">POINT (230980.519351 520410.774522)</t>
  </si>
  <si>
    <t xml:space="preserve">cwfif_national_activefires.fid--5b5096eb_19f85a2ef78_-5835</t>
  </si>
  <si>
    <t xml:space="preserve">2026_ON_NIP_FIRE_021</t>
  </si>
  <si>
    <t xml:space="preserve">NIP_FIRE_021</t>
  </si>
  <si>
    <t xml:space="preserve">POINT (561154.965409 456650.67978)</t>
  </si>
  <si>
    <t xml:space="preserve">cwfif_national_activefires.fid--5b5096eb_19f85a2ef78_-5834</t>
  </si>
  <si>
    <t xml:space="preserve">2026_ON_SLK_FIRE_056</t>
  </si>
  <si>
    <t xml:space="preserve">SLK_FIRE_056</t>
  </si>
  <si>
    <t xml:space="preserve">POINT (372167.860985 357738.171849)</t>
  </si>
  <si>
    <t xml:space="preserve">cwfif_national_activefires.fid--5b5096eb_19f85a2ef78_-5833</t>
  </si>
  <si>
    <t xml:space="preserve">2026_ON_SLK_FIRE_042</t>
  </si>
  <si>
    <t xml:space="preserve">SLK_FIRE_042</t>
  </si>
  <si>
    <t xml:space="preserve">POINT (356624.04934 399667.962392)</t>
  </si>
  <si>
    <t xml:space="preserve">cwfif_national_activefires.fid--5b5096eb_19f85a2ef78_-5832</t>
  </si>
  <si>
    <t xml:space="preserve">2026_ON_SLK_FIRE_049</t>
  </si>
  <si>
    <t xml:space="preserve">SLK_FIRE_049</t>
  </si>
  <si>
    <t xml:space="preserve">POINT (215702.620051 590872.782724)</t>
  </si>
  <si>
    <t xml:space="preserve">cwfif_national_activefires.fid--5b5096eb_19f85a2ef78_-5831</t>
  </si>
  <si>
    <t xml:space="preserve">2026_ON_RED_FIRE_018</t>
  </si>
  <si>
    <t xml:space="preserve">RED_FIRE_018</t>
  </si>
  <si>
    <t xml:space="preserve">POINT (145042.227513 560909.779995)</t>
  </si>
  <si>
    <t xml:space="preserve">cwfif_national_activefires.fid--5b5096eb_19f85a2ef78_-5830</t>
  </si>
  <si>
    <t xml:space="preserve">2026_ON_RED_FIRE_017</t>
  </si>
  <si>
    <t xml:space="preserve">RED_FIRE_017</t>
  </si>
  <si>
    <t xml:space="preserve">POINT (133526.285197 551689.485289)</t>
  </si>
  <si>
    <t xml:space="preserve">cwfif_national_activefires.fid--5b5096eb_19f85a2ef78_-582f</t>
  </si>
  <si>
    <t xml:space="preserve">2026_ON_RED_FIRE_020</t>
  </si>
  <si>
    <t xml:space="preserve">RED_FIRE_020</t>
  </si>
  <si>
    <t xml:space="preserve">POINT (151313.844193 518768.083124)</t>
  </si>
  <si>
    <t xml:space="preserve">cwfif_national_activefires.fid--5b5096eb_19f85a2ef78_-582e</t>
  </si>
  <si>
    <t xml:space="preserve">2026_ON_SLK_FIRE_048</t>
  </si>
  <si>
    <t xml:space="preserve">SLK_FIRE_048</t>
  </si>
  <si>
    <t xml:space="preserve">POINT (215379.741395 606212.15774)</t>
  </si>
  <si>
    <t xml:space="preserve">cwfif_national_activefires.fid--5b5096eb_19f85a2ef78_-582d</t>
  </si>
  <si>
    <t xml:space="preserve">2026_ON_SLK_FIRE_047</t>
  </si>
  <si>
    <t xml:space="preserve">SLK_FIRE_047</t>
  </si>
  <si>
    <t xml:space="preserve">POINT (199481.253557 638014.872912)</t>
  </si>
  <si>
    <t xml:space="preserve">cwfif_national_activefires.fid--5b5096eb_19f85a2ef78_-582c</t>
  </si>
  <si>
    <t xml:space="preserve">2026_ON_SLK_FIRE_046</t>
  </si>
  <si>
    <t xml:space="preserve">SLK_FIRE_046</t>
  </si>
  <si>
    <t xml:space="preserve">POINT (186602.257673 653212.369338)</t>
  </si>
  <si>
    <t xml:space="preserve">cwfif_national_activefires.fid--5b5096eb_19f85a2ef78_-582b</t>
  </si>
  <si>
    <t xml:space="preserve">2026_ON_SLK_FIRE_052</t>
  </si>
  <si>
    <t xml:space="preserve">SLK_FIRE_052</t>
  </si>
  <si>
    <t xml:space="preserve">POINT (292675.353616 622730.620581)</t>
  </si>
  <si>
    <t xml:space="preserve">cwfif_national_activefires.fid--5b5096eb_19f85a2ef78_-582a</t>
  </si>
  <si>
    <t xml:space="preserve">2026_ON_SLK_FIRE_051</t>
  </si>
  <si>
    <t xml:space="preserve">SLK_FIRE_051</t>
  </si>
  <si>
    <t xml:space="preserve">POINT (315055.257183 598760.319313)</t>
  </si>
  <si>
    <t xml:space="preserve">cwfif_national_activefires.fid--5b5096eb_19f85a2ef78_-5829</t>
  </si>
  <si>
    <t xml:space="preserve">2026_ON_SLK_FIRE_053</t>
  </si>
  <si>
    <t xml:space="preserve">SLK_FIRE_053</t>
  </si>
  <si>
    <t xml:space="preserve">POINT (304243.916975 571127.163784)</t>
  </si>
  <si>
    <t xml:space="preserve">cwfif_national_activefires.fid--5b5096eb_19f85a2ef78_-5828</t>
  </si>
  <si>
    <t xml:space="preserve">2026_ON_SLK_FIRE_045</t>
  </si>
  <si>
    <t xml:space="preserve">SLK_FIRE_045</t>
  </si>
  <si>
    <t xml:space="preserve">POINT (195630.892356 602800.893655)</t>
  </si>
  <si>
    <t xml:space="preserve">cwfif_national_activefires.fid--5b5096eb_19f85a2ef78_-5827</t>
  </si>
  <si>
    <t xml:space="preserve">2026_ON_SLK_FIRE_044</t>
  </si>
  <si>
    <t xml:space="preserve">SLK_FIRE_044</t>
  </si>
  <si>
    <t xml:space="preserve">POINT (195257.959264 563534.680176)</t>
  </si>
  <si>
    <t xml:space="preserve">cwfif_national_activefires.fid--5b5096eb_19f85a2ef78_-5826</t>
  </si>
  <si>
    <t xml:space="preserve">2026_ON_SLK_FIRE_055</t>
  </si>
  <si>
    <t xml:space="preserve">SLK_FIRE_055</t>
  </si>
  <si>
    <t xml:space="preserve">POINT (297145.989371 496989.32057)</t>
  </si>
  <si>
    <t xml:space="preserve">cwfif_national_activefires.fid--5b5096eb_19f85a2ef78_-5825</t>
  </si>
  <si>
    <t xml:space="preserve">2026_ON_SLK_FIRE_050</t>
  </si>
  <si>
    <t xml:space="preserve">SLK_FIRE_050</t>
  </si>
  <si>
    <t xml:space="preserve">POINT (326810.647757 591799.105687)</t>
  </si>
  <si>
    <t xml:space="preserve">cwfif_national_activefires.fid--5b5096eb_19f85a2ef78_-5824</t>
  </si>
  <si>
    <t xml:space="preserve">2026_ON_SLK_FIRE_054</t>
  </si>
  <si>
    <t xml:space="preserve">SLK_FIRE_054</t>
  </si>
  <si>
    <t xml:space="preserve">POINT (303326.452097 569313.642712)</t>
  </si>
  <si>
    <t xml:space="preserve">cwfif_national_activefires.fid--5b5096eb_19f85a2ef78_-5823</t>
  </si>
  <si>
    <t xml:space="preserve">2026_ON_COC_FIRE_023</t>
  </si>
  <si>
    <t xml:space="preserve">COC_FIRE_023</t>
  </si>
  <si>
    <t xml:space="preserve">POINT (452152.871085 763849.657009)</t>
  </si>
  <si>
    <t xml:space="preserve">cwfif_national_activefires.fid--5b5096eb_19f85a2ef78_-5822</t>
  </si>
  <si>
    <t xml:space="preserve">2026_ON_COC_FIRE_024</t>
  </si>
  <si>
    <t xml:space="preserve">COC_FIRE_024</t>
  </si>
  <si>
    <t xml:space="preserve">POINT (438101.663593 779062.159888)</t>
  </si>
  <si>
    <t xml:space="preserve">cwfif_national_activefires.fid--5b5096eb_19f85a2ef78_-5821</t>
  </si>
  <si>
    <t xml:space="preserve">2026_ON_COC_FIRE_021</t>
  </si>
  <si>
    <t xml:space="preserve">COC_FIRE_021</t>
  </si>
  <si>
    <t xml:space="preserve">POINT (491897.135746 715002.39394)</t>
  </si>
  <si>
    <t xml:space="preserve">cwfif_national_activefires.fid--5b5096eb_19f85a2ef78_-5820</t>
  </si>
  <si>
    <t xml:space="preserve">2026_ON_COC_FIRE_020</t>
  </si>
  <si>
    <t xml:space="preserve">COC_FIRE_020</t>
  </si>
  <si>
    <t xml:space="preserve">POINT (581552.19968 672191.800783)</t>
  </si>
  <si>
    <t xml:space="preserve">cwfif_national_activefires.fid--5b5096eb_19f85a2ef78_-581f</t>
  </si>
  <si>
    <t xml:space="preserve">2026_ON_COC_FIRE_022</t>
  </si>
  <si>
    <t xml:space="preserve">COC_FIRE_022</t>
  </si>
  <si>
    <t xml:space="preserve">POINT (492171.371142 719095.922051)</t>
  </si>
  <si>
    <t xml:space="preserve">cwfif_national_activefires.fid--5b5096eb_19f85a2ef78_-581e</t>
  </si>
  <si>
    <t xml:space="preserve">2026_ON_COC_FIRE_018</t>
  </si>
  <si>
    <t xml:space="preserve">COC_FIRE_018</t>
  </si>
  <si>
    <t xml:space="preserve">POINT (577328.33098 694321.823705)</t>
  </si>
  <si>
    <t xml:space="preserve">cwfif_national_activefires.fid--5b5096eb_19f85a2ef78_-581d</t>
  </si>
  <si>
    <t xml:space="preserve">2026_ON_SLK_FIRE_040</t>
  </si>
  <si>
    <t xml:space="preserve">SLK_FIRE_040</t>
  </si>
  <si>
    <t xml:space="preserve">POINT (392826.587909 377290.833562)</t>
  </si>
  <si>
    <t xml:space="preserve">cwfif_national_activefires.fid--5b5096eb_19f85a2ef78_-581c</t>
  </si>
  <si>
    <t xml:space="preserve">2026_ON_COC_FIRE_019</t>
  </si>
  <si>
    <t xml:space="preserve">COC_FIRE_019</t>
  </si>
  <si>
    <t xml:space="preserve">POINT (578206.902204 689780.167779)</t>
  </si>
  <si>
    <t xml:space="preserve">cwfif_national_activefires.fid--5b5096eb_19f85a2ef78_-581b</t>
  </si>
  <si>
    <t xml:space="preserve">2026_ON_SLK_FIRE_031</t>
  </si>
  <si>
    <t xml:space="preserve">SLK_FIRE_031</t>
  </si>
  <si>
    <t xml:space="preserve">POINT (222413.30064 468189.840898)</t>
  </si>
  <si>
    <t xml:space="preserve">cwfif_national_activefires.fid--5b5096eb_19f85a2ef78_-581a</t>
  </si>
  <si>
    <t xml:space="preserve">2026_ON_RED_FIRE_009</t>
  </si>
  <si>
    <t xml:space="preserve">RED_FIRE_009</t>
  </si>
  <si>
    <t xml:space="preserve">POINT (22487.59265 371732.752682)</t>
  </si>
  <si>
    <t xml:space="preserve">cwfif_national_activefires.fid--5b5096eb_19f85a2ef78_-5819</t>
  </si>
  <si>
    <t xml:space="preserve">2026_ON_RED_FIRE_012</t>
  </si>
  <si>
    <t xml:space="preserve">RED_FIRE_012</t>
  </si>
  <si>
    <t xml:space="preserve">POINT (34957.109353 409355.683987)</t>
  </si>
  <si>
    <t xml:space="preserve">cwfif_national_activefires.fid--5b5096eb_19f85a2ef78_-5818</t>
  </si>
  <si>
    <t xml:space="preserve">2026_ON_COC_FIRE_016</t>
  </si>
  <si>
    <t xml:space="preserve">COC_FIRE_016</t>
  </si>
  <si>
    <t xml:space="preserve">POINT (413175.120141 781872.075118)</t>
  </si>
  <si>
    <t xml:space="preserve">cwfif_national_activefires.fid--5b5096eb_19f85a2ef78_-5817</t>
  </si>
  <si>
    <t xml:space="preserve">2026_ON_COC_FIRE_009</t>
  </si>
  <si>
    <t xml:space="preserve">COC_FIRE_009</t>
  </si>
  <si>
    <t xml:space="preserve">POINT (354740.888763 695621.317733)</t>
  </si>
  <si>
    <t xml:space="preserve">cwfif_national_activefires.fid--5b5096eb_19f85a2ef78_-5816</t>
  </si>
  <si>
    <t xml:space="preserve">2026_ON_COC_FIRE_014</t>
  </si>
  <si>
    <t xml:space="preserve">COC_FIRE_014</t>
  </si>
  <si>
    <t xml:space="preserve">POINT (369827.164862 797197.424845)</t>
  </si>
  <si>
    <t xml:space="preserve">cwfif_national_activefires.fid--5b5096eb_19f85a2ef78_-5815</t>
  </si>
  <si>
    <t xml:space="preserve">2026_ON_COC_FIRE_013</t>
  </si>
  <si>
    <t xml:space="preserve">COC_FIRE_013</t>
  </si>
  <si>
    <t xml:space="preserve">POINT (405018.289064 744329.688599)</t>
  </si>
  <si>
    <t xml:space="preserve">cwfif_national_activefires.fid--5b5096eb_19f85a2ef78_-5814</t>
  </si>
  <si>
    <t xml:space="preserve">2026_ON_COC_FIRE_015</t>
  </si>
  <si>
    <t xml:space="preserve">COC_FIRE_015</t>
  </si>
  <si>
    <t xml:space="preserve">POINT (461078.737065 722683.473315)</t>
  </si>
  <si>
    <t xml:space="preserve">cwfif_national_activefires.fid--5b5096eb_19f85a2ef78_-5813</t>
  </si>
  <si>
    <t xml:space="preserve">2026_ON_COC_FIRE_008</t>
  </si>
  <si>
    <t xml:space="preserve">COC_FIRE_008</t>
  </si>
  <si>
    <t xml:space="preserve">POINT (410686.352995 659034.323197)</t>
  </si>
  <si>
    <t xml:space="preserve">cwfif_national_activefires.fid--5b5096eb_19f85a2ef78_-5812</t>
  </si>
  <si>
    <t xml:space="preserve">2026_ON_COC_FIRE_012</t>
  </si>
  <si>
    <t xml:space="preserve">COC_FIRE_012</t>
  </si>
  <si>
    <t xml:space="preserve">POINT (333241.099981 709768.530869)</t>
  </si>
  <si>
    <t xml:space="preserve">cwfif_national_activefires.fid--5b5096eb_19f85a2ef78_-5811</t>
  </si>
  <si>
    <t xml:space="preserve">2026_ON_COC_FIRE_011</t>
  </si>
  <si>
    <t xml:space="preserve">COC_FIRE_011</t>
  </si>
  <si>
    <t xml:space="preserve">POINT (349408.939796 706817.956464)</t>
  </si>
  <si>
    <t xml:space="preserve">cwfif_national_activefires.fid--5b5096eb_19f85a2ef78_-5810</t>
  </si>
  <si>
    <t xml:space="preserve">2026_ON_COC_FIRE_010</t>
  </si>
  <si>
    <t xml:space="preserve">COC_FIRE_010</t>
  </si>
  <si>
    <t xml:space="preserve">POINT (350026.79199 709864.008521)</t>
  </si>
  <si>
    <t xml:space="preserve">cwfif_national_activefires.fid--5b5096eb_19f85a2ef78_-580f</t>
  </si>
  <si>
    <t xml:space="preserve">2026_ON_SLK_FIRE_032</t>
  </si>
  <si>
    <t xml:space="preserve">SLK_FIRE_032</t>
  </si>
  <si>
    <t xml:space="preserve">POINT (216168.239523 465676.330979)</t>
  </si>
  <si>
    <t xml:space="preserve">cwfif_national_activefires.fid--5b5096eb_19f85a2ef78_-580e</t>
  </si>
  <si>
    <t xml:space="preserve">2026_ON_SLK_FIRE_033</t>
  </si>
  <si>
    <t xml:space="preserve">SLK_FIRE_033</t>
  </si>
  <si>
    <t xml:space="preserve">POINT (214695.412162 450820.599552)</t>
  </si>
  <si>
    <t xml:space="preserve">cwfif_national_activefires.fid--5b5096eb_19f85a2ef78_-580d</t>
  </si>
  <si>
    <t xml:space="preserve">2026_ON_SLK_FIRE_023</t>
  </si>
  <si>
    <t xml:space="preserve">SLK_FIRE_023</t>
  </si>
  <si>
    <t xml:space="preserve">POINT (221633.73935 333381.98028)</t>
  </si>
  <si>
    <t xml:space="preserve">cwfif_national_activefires.fid--5b5096eb_19f85a2ef78_-580c</t>
  </si>
  <si>
    <t xml:space="preserve">2026_ON_SLK_FIRE_026</t>
  </si>
  <si>
    <t xml:space="preserve">SLK_FIRE_026</t>
  </si>
  <si>
    <t xml:space="preserve">POINT (281943.302234 419565.161978)</t>
  </si>
  <si>
    <t xml:space="preserve">cwfif_national_activefires.fid--5b5096eb_19f85a2ef78_-580b</t>
  </si>
  <si>
    <t xml:space="preserve">2026_ON_RED_FIRE_010</t>
  </si>
  <si>
    <t xml:space="preserve">RED_FIRE_010</t>
  </si>
  <si>
    <t xml:space="preserve">POINT (19416.405853 371948.677317)</t>
  </si>
  <si>
    <t xml:space="preserve">cwfif_national_activefires.fid--5b5096eb_19f85a2ef78_-580a</t>
  </si>
  <si>
    <t xml:space="preserve">2026_ON_SLK_FIRE_001</t>
  </si>
  <si>
    <t xml:space="preserve">SLK_FIRE_001</t>
  </si>
  <si>
    <t xml:space="preserve">POINT (241467.223875 306721.635787)</t>
  </si>
  <si>
    <t xml:space="preserve">cwfif_national_activefires.fid--5b5096eb_19f85a2ef78_-5809</t>
  </si>
  <si>
    <t xml:space="preserve">TIM</t>
  </si>
  <si>
    <t xml:space="preserve">2026_ON_TIM_FIRE_009</t>
  </si>
  <si>
    <t xml:space="preserve">TIM_FIRE_009</t>
  </si>
  <si>
    <t xml:space="preserve">POINT (992268.022477 -31622.512585)</t>
  </si>
  <si>
    <t xml:space="preserve">cwfif_national_activefires.fid--5b5096eb_19f85a2ef78_-5808</t>
  </si>
  <si>
    <t xml:space="preserve">2026_ON_COC_FIRE_007</t>
  </si>
  <si>
    <t xml:space="preserve">COC_FIRE_007</t>
  </si>
  <si>
    <t xml:space="preserve">POINT (422159.318986 741524.32186)</t>
  </si>
  <si>
    <t xml:space="preserve">cwfif_national_activefires.fid--5b5096eb_19f85a2ef78_-5807</t>
  </si>
  <si>
    <t xml:space="preserve">PC</t>
  </si>
  <si>
    <t xml:space="preserve">TH</t>
  </si>
  <si>
    <t xml:space="preserve">2026_PC_2026TH1</t>
  </si>
  <si>
    <t xml:space="preserve">2026TH1</t>
  </si>
  <si>
    <t xml:space="preserve">POINT (-665667.727228 1600367.841833)</t>
  </si>
  <si>
    <t xml:space="preserve">cwfif_national_activefires.fid--5b5096eb_19f85a2ef78_-5806</t>
  </si>
  <si>
    <t xml:space="preserve">LM</t>
  </si>
  <si>
    <t xml:space="preserve">2026_PC_2026LM3</t>
  </si>
  <si>
    <t xml:space="preserve">2026LM3</t>
  </si>
  <si>
    <t xml:space="preserve">POINT (1659415.324921 41398.918967)</t>
  </si>
  <si>
    <t xml:space="preserve">cwfif_national_activefires.fid--5b5096eb_19f85a2ef78_-5805</t>
  </si>
  <si>
    <t xml:space="preserve">2026_PC_2026LM5</t>
  </si>
  <si>
    <t xml:space="preserve">2026LM5</t>
  </si>
  <si>
    <t xml:space="preserve">POINT (1662216.666714 43695.577993)</t>
  </si>
  <si>
    <t xml:space="preserve">cwfif_national_activefires.fid--5b5096eb_19f85a2ef78_-5804</t>
  </si>
  <si>
    <t xml:space="preserve">2026_PC_2026LM2</t>
  </si>
  <si>
    <t xml:space="preserve">2026LM2</t>
  </si>
  <si>
    <t xml:space="preserve">POINT (1662782.528544 42194.228074)</t>
  </si>
  <si>
    <t xml:space="preserve">cwfif_national_activefires.fid--5b5096eb_19f85a2ef78_-5803</t>
  </si>
  <si>
    <t xml:space="preserve">2026_PC_2026LM4</t>
  </si>
  <si>
    <t xml:space="preserve">2026LM4</t>
  </si>
  <si>
    <t xml:space="preserve">POINT (1661454.470658 45650.715811)</t>
  </si>
  <si>
    <t xml:space="preserve">cwfif_national_activefires.fid--5b5096eb_19f85a2ef78_-5802</t>
  </si>
  <si>
    <t xml:space="preserve">NA</t>
  </si>
  <si>
    <t xml:space="preserve">2026_PC_2026NA1</t>
  </si>
  <si>
    <t xml:space="preserve">2026NA1</t>
  </si>
  <si>
    <t xml:space="preserve">POINT (-1513851.574944 1693749.842138)</t>
  </si>
  <si>
    <t xml:space="preserve">cwfif_national_activefires.fid--5b5096eb_19f85a2ef78_-5801</t>
  </si>
  <si>
    <t xml:space="preserve">2026_PC_2026NA3</t>
  </si>
  <si>
    <t xml:space="preserve">2026NA3</t>
  </si>
  <si>
    <t xml:space="preserve">POINT (-1465871.145667 1758540.417064)</t>
  </si>
  <si>
    <t xml:space="preserve">cwfif_national_activefires.fid--5b5096eb_19f85a2ef78_-5800</t>
  </si>
  <si>
    <t xml:space="preserve">2026_PC_2026NA2</t>
  </si>
  <si>
    <t xml:space="preserve">2026NA2</t>
  </si>
  <si>
    <t xml:space="preserve">POINT (-1440102.187046 1718549.799124)</t>
  </si>
  <si>
    <t xml:space="preserve">cwfif_national_activefires.fid--5b5096eb_19f85a2ef78_-57ff</t>
  </si>
  <si>
    <t xml:space="preserve">SE</t>
  </si>
  <si>
    <t xml:space="preserve">2026_PC_2026SE3</t>
  </si>
  <si>
    <t xml:space="preserve">2026SE3</t>
  </si>
  <si>
    <t xml:space="preserve">POINT (-1166507.16659 2126086.135705)</t>
  </si>
  <si>
    <t xml:space="preserve">cwfif_national_activefires.fid--5b5096eb_19f85a2ef78_-57fe</t>
  </si>
  <si>
    <t xml:space="preserve">WB</t>
  </si>
  <si>
    <t xml:space="preserve">2026_PC_2026WB23</t>
  </si>
  <si>
    <t xml:space="preserve">2026WB23</t>
  </si>
  <si>
    <t xml:space="preserve">POINT (-1048733.092956 1240912.669476)</t>
  </si>
  <si>
    <t xml:space="preserve">cwfif_national_activefires.fid--5b5096eb_19f85a2ef78_-57fd</t>
  </si>
  <si>
    <t xml:space="preserve">2026_PC_2026WB4</t>
  </si>
  <si>
    <t xml:space="preserve">2026WB4</t>
  </si>
  <si>
    <t xml:space="preserve">POINT (-958105.809475 1379920.759628)</t>
  </si>
  <si>
    <t xml:space="preserve">cwfif_national_activefires.fid--5b5096eb_19f85a2ef78_-57fc</t>
  </si>
  <si>
    <t xml:space="preserve">2026_PC_2026WB16</t>
  </si>
  <si>
    <t xml:space="preserve">2026WB16</t>
  </si>
  <si>
    <t xml:space="preserve">POINT (-1029620.975563 1243151.357728)</t>
  </si>
  <si>
    <t xml:space="preserve">cwfif_national_activefires.fid--5b5096eb_19f85a2ef78_-57fb</t>
  </si>
  <si>
    <t xml:space="preserve">2026_PC_2026WB3</t>
  </si>
  <si>
    <t xml:space="preserve">2026WB3</t>
  </si>
  <si>
    <t xml:space="preserve">POINT (-960947.27942 1379952.522507)</t>
  </si>
  <si>
    <t xml:space="preserve">cwfif_national_activefires.fid--5b5096eb_19f85a2ef78_-57fa</t>
  </si>
  <si>
    <t xml:space="preserve">2026_PC_2026WB9</t>
  </si>
  <si>
    <t xml:space="preserve">2026WB9</t>
  </si>
  <si>
    <t xml:space="preserve">POINT (-951173.869533 1400877.786091)</t>
  </si>
  <si>
    <t xml:space="preserve">cwfif_national_activefires.fid--5b5096eb_19f85a2ef78_-57f9</t>
  </si>
  <si>
    <t xml:space="preserve">2026_PC_2026WB22</t>
  </si>
  <si>
    <t xml:space="preserve">2026WB22</t>
  </si>
  <si>
    <t xml:space="preserve">POINT (-988788.79664 1351073.929258)</t>
  </si>
  <si>
    <t xml:space="preserve">cwfif_national_activefires.fid--5b5096eb_19f85a2ef78_-57f8</t>
  </si>
  <si>
    <t xml:space="preserve">WP</t>
  </si>
  <si>
    <t xml:space="preserve">2026_PC_2026WP3</t>
  </si>
  <si>
    <t xml:space="preserve">2026WP3</t>
  </si>
  <si>
    <t xml:space="preserve">POINT (73916.234055 1038120.187884)</t>
  </si>
  <si>
    <t xml:space="preserve">cwfif_national_activefires.fid--5b5096eb_19f85a2ef78_-57f7</t>
  </si>
  <si>
    <t xml:space="preserve">2026_PC_2026WB17</t>
  </si>
  <si>
    <t xml:space="preserve">2026WB17</t>
  </si>
  <si>
    <t xml:space="preserve">POINT (-1009231.647993 1365111.477412)</t>
  </si>
  <si>
    <t xml:space="preserve">cwfif_national_activefires.fid--5b5096eb_19f85a2ef78_-57f6</t>
  </si>
  <si>
    <t xml:space="preserve">2026_PC_2026WB19</t>
  </si>
  <si>
    <t xml:space="preserve">2026WB19</t>
  </si>
  <si>
    <t xml:space="preserve">POINT (-974655.491581 1368431.451881)</t>
  </si>
  <si>
    <t xml:space="preserve">cwfif_national_activefires.fid--5b5096eb_19f85a2ef78_-57f5</t>
  </si>
  <si>
    <t xml:space="preserve">2026_PC_2026WB20</t>
  </si>
  <si>
    <t xml:space="preserve">2026WB20</t>
  </si>
  <si>
    <t xml:space="preserve">POINT (-952368.582301 1351421.313583)</t>
  </si>
  <si>
    <t xml:space="preserve">cwfif_national_activefires.fid--5b5096eb_19f85a2ef78_-57f4</t>
  </si>
  <si>
    <t xml:space="preserve">2026_PC_2026SE4</t>
  </si>
  <si>
    <t xml:space="preserve">2026SE4</t>
  </si>
  <si>
    <t xml:space="preserve">POINT (-1190204.939524 1988111.363235)</t>
  </si>
  <si>
    <t xml:space="preserve">cwfif_national_activefires.fid--5b5096eb_19f85a2ef78_-57f3</t>
  </si>
  <si>
    <t xml:space="preserve">2026_PC_2026SE2</t>
  </si>
  <si>
    <t xml:space="preserve">2026SE2</t>
  </si>
  <si>
    <t xml:space="preserve">POINT (-1172401.072307 2010537.203636)</t>
  </si>
  <si>
    <t xml:space="preserve">cwfif_national_activefires.fid--5b5096eb_19f85a2ef78_-57f2</t>
  </si>
  <si>
    <t xml:space="preserve">MM</t>
  </si>
  <si>
    <t xml:space="preserve">2026_PC_2026MM1</t>
  </si>
  <si>
    <t xml:space="preserve">2026MM1</t>
  </si>
  <si>
    <t xml:space="preserve">POINT (2285905.478194 1236286.455816)</t>
  </si>
  <si>
    <t xml:space="preserve">cwfif_national_activefires.fid--5b5096eb_19f85a2ef78_-57f1</t>
  </si>
  <si>
    <t xml:space="preserve">2026_PC_2026WB14</t>
  </si>
  <si>
    <t xml:space="preserve">2026WB14</t>
  </si>
  <si>
    <t xml:space="preserve">POINT (-989425.646332 1387993.00435)</t>
  </si>
  <si>
    <t xml:space="preserve">cwfif_national_activefires.fid--5b5096eb_19f85a2ef78_-57f0</t>
  </si>
  <si>
    <t xml:space="preserve">2026_PC_2026WB7</t>
  </si>
  <si>
    <t xml:space="preserve">2026WB7</t>
  </si>
  <si>
    <t xml:space="preserve">POINT (-1018629.447244 1277473.529064)</t>
  </si>
  <si>
    <t xml:space="preserve">cwfif_national_activefires.fid--5b5096eb_19f85a2ef78_-57ef</t>
  </si>
  <si>
    <t xml:space="preserve">2026_PC_2026SE1</t>
  </si>
  <si>
    <t xml:space="preserve">2026SE1</t>
  </si>
  <si>
    <t xml:space="preserve">POINT (-1148968.922389 2014552.936558)</t>
  </si>
  <si>
    <t xml:space="preserve">cwfif_national_activefires.fid--5b5096eb_19f85a2ef78_-57ee</t>
  </si>
  <si>
    <t xml:space="preserve">WA</t>
  </si>
  <si>
    <t xml:space="preserve">2026_PC_2026WAFU1</t>
  </si>
  <si>
    <t xml:space="preserve">2026WAFU1</t>
  </si>
  <si>
    <t xml:space="preserve">POINT (-1630758.091003 2786663.304208)</t>
  </si>
  <si>
    <t xml:space="preserve">cwfif_national_activefires.fid--5b5096eb_19f85a2ef78_-57ed</t>
  </si>
  <si>
    <t xml:space="preserve">2026_PC_2026WP2</t>
  </si>
  <si>
    <t xml:space="preserve">2026WP2</t>
  </si>
  <si>
    <t xml:space="preserve">POINT (124051.795205 895852.43557)</t>
  </si>
  <si>
    <t xml:space="preserve">cwfif_national_activefires.fid--5b5096eb_19f85a2ef78_-57ec</t>
  </si>
  <si>
    <t xml:space="preserve">2026_PC_2026WB15</t>
  </si>
  <si>
    <t xml:space="preserve">2026WB15</t>
  </si>
  <si>
    <t xml:space="preserve">POINT (-1001747.731249 1393687.663082)</t>
  </si>
  <si>
    <t xml:space="preserve">cwfif_national_activefires.fid--5b5096eb_19f85a2ef78_-57eb</t>
  </si>
  <si>
    <t xml:space="preserve">2026_PC_2026WB8</t>
  </si>
  <si>
    <t xml:space="preserve">2026WB8</t>
  </si>
  <si>
    <t xml:space="preserve">POINT (-986795.978259 1231645.260698)</t>
  </si>
  <si>
    <t xml:space="preserve">cwfif_national_activefires.fid--5b5096eb_19f85a2ef78_-57ea</t>
  </si>
  <si>
    <t xml:space="preserve">2026_PC_2026WB6</t>
  </si>
  <si>
    <t xml:space="preserve">2026WB6</t>
  </si>
  <si>
    <t xml:space="preserve">POINT (-1001138.633268 1288411.806176)</t>
  </si>
  <si>
    <t xml:space="preserve">cwfif_national_activefires.fid--5b5096eb_19f85a2ef78_-57e9</t>
  </si>
  <si>
    <t xml:space="preserve">QC</t>
  </si>
  <si>
    <t xml:space="preserve">2026_QC_289</t>
  </si>
  <si>
    <t xml:space="preserve">POINT (1134088.961135 410638.546618)</t>
  </si>
  <si>
    <t xml:space="preserve">cwfif_national_activefires.fid--5b5096eb_19f85a2ef78_-57e8</t>
  </si>
  <si>
    <t xml:space="preserve">2026_QC_319</t>
  </si>
  <si>
    <t xml:space="preserve">POINT (1236295.777249 530352.998076)</t>
  </si>
  <si>
    <t xml:space="preserve">cwfif_national_activefires.fid--5b5096eb_19f85a2ef78_-57e7</t>
  </si>
  <si>
    <t xml:space="preserve">2026_QC_320</t>
  </si>
  <si>
    <t xml:space="preserve">POINT (1248356.093821 526318.329246)</t>
  </si>
  <si>
    <t xml:space="preserve">cwfif_national_activefires.fid--5b5096eb_19f85a2ef78_-57e6</t>
  </si>
  <si>
    <t xml:space="preserve">2026_QC_376</t>
  </si>
  <si>
    <t xml:space="preserve">POINT (1221147.749819 523959.996917)</t>
  </si>
  <si>
    <t xml:space="preserve">cwfif_national_activefires.fid--5b5096eb_19f85a2ef78_-57e5</t>
  </si>
  <si>
    <t xml:space="preserve">2026_QC_327</t>
  </si>
  <si>
    <t xml:space="preserve">POINT (1202954.129645 503495.098045)</t>
  </si>
  <si>
    <t xml:space="preserve">cwfif_national_activefires.fid--5b5096eb_19f85a2ef78_-57e4</t>
  </si>
  <si>
    <t xml:space="preserve">2026_QC_500</t>
  </si>
  <si>
    <t xml:space="preserve">POINT (1229980.993445 855263.084983)</t>
  </si>
  <si>
    <t xml:space="preserve">cwfif_national_activefires.fid--5b5096eb_19f85a2ef78_-57e3</t>
  </si>
  <si>
    <t xml:space="preserve">2026_QC_431</t>
  </si>
  <si>
    <t xml:space="preserve">POINT (1500587.115342 1002914.81016)</t>
  </si>
  <si>
    <t xml:space="preserve">cwfif_national_activefires.fid--5b5096eb_19f85a2ef78_-57e2</t>
  </si>
  <si>
    <t xml:space="preserve">2026_QC_271</t>
  </si>
  <si>
    <t xml:space="preserve">POINT (1131398.898817 437532.092854)</t>
  </si>
  <si>
    <t xml:space="preserve">cwfif_national_activefires.fid--5b5096eb_19f85a2ef78_-57e1</t>
  </si>
  <si>
    <t xml:space="preserve">2026_QC_358</t>
  </si>
  <si>
    <t xml:space="preserve">POINT (1759575.526845 815193.92225)</t>
  </si>
  <si>
    <t xml:space="preserve">cwfif_national_activefires.fid--5b5096eb_19f85a2ef78_-57e0</t>
  </si>
  <si>
    <t xml:space="preserve">2026_QC_507</t>
  </si>
  <si>
    <t xml:space="preserve">POINT (1268781.91111 547233.370502)</t>
  </si>
  <si>
    <t xml:space="preserve">cwfif_national_activefires.fid--5b5096eb_19f85a2ef78_-57df</t>
  </si>
  <si>
    <t xml:space="preserve">2026_QC_487</t>
  </si>
  <si>
    <t xml:space="preserve">POINT (1577633.952916 805895.851486)</t>
  </si>
  <si>
    <t xml:space="preserve">cwfif_national_activefires.fid--5b5096eb_19f85a2ef78_-57de</t>
  </si>
  <si>
    <t xml:space="preserve">2026_QC_545</t>
  </si>
  <si>
    <t xml:space="preserve">POINT (1112321.308202 194806.220497)</t>
  </si>
  <si>
    <t xml:space="preserve">cwfif_national_activefires.fid--5b5096eb_19f85a2ef78_-57dd</t>
  </si>
  <si>
    <t xml:space="preserve">2026_QC_444</t>
  </si>
  <si>
    <t xml:space="preserve">POINT (1609952.302434 828222.166624)</t>
  </si>
  <si>
    <t xml:space="preserve">cwfif_national_activefires.fid--5b5096eb_19f85a2ef78_-57dc</t>
  </si>
  <si>
    <t xml:space="preserve">2026_QC_491</t>
  </si>
  <si>
    <t xml:space="preserve">POINT (1202032.138941 897355.10136)</t>
  </si>
  <si>
    <t xml:space="preserve">cwfif_national_activefires.fid--5b5096eb_19f85a2ef78_-57db</t>
  </si>
  <si>
    <t xml:space="preserve">2026_QC_484</t>
  </si>
  <si>
    <t xml:space="preserve">POINT (1516132.816689 777097.499264)</t>
  </si>
  <si>
    <t xml:space="preserve">cwfif_national_activefires.fid--5b5096eb_19f85a2ef78_-57da</t>
  </si>
  <si>
    <t xml:space="preserve">2026_QC_252</t>
  </si>
  <si>
    <t xml:space="preserve">POINT (1154994.497942 802886.563599)</t>
  </si>
  <si>
    <t xml:space="preserve">cwfif_national_activefires.fid--5b5096eb_19f85a2ef78_-57d9</t>
  </si>
  <si>
    <t xml:space="preserve">2026_QC_335</t>
  </si>
  <si>
    <t xml:space="preserve">POINT (1453620.155373 769903.692322)</t>
  </si>
  <si>
    <t xml:space="preserve">cwfif_national_activefires.fid--5b5096eb_19f85a2ef78_-57d8</t>
  </si>
  <si>
    <t xml:space="preserve">2026_QC_284</t>
  </si>
  <si>
    <t xml:space="preserve">POINT (1132381.546646 260686.668022)</t>
  </si>
  <si>
    <t xml:space="preserve">cwfif_national_activefires.fid--5b5096eb_19f85a2ef78_-57d7</t>
  </si>
  <si>
    <t xml:space="preserve">2026_QC_296</t>
  </si>
  <si>
    <t xml:space="preserve">POINT (1287902.689439 29011.347739)</t>
  </si>
  <si>
    <t xml:space="preserve">cwfif_national_activefires.fid--5b5096eb_19f85a2ef78_-57d6</t>
  </si>
  <si>
    <t xml:space="preserve">2026_QC_316</t>
  </si>
  <si>
    <t xml:space="preserve">POINT (1122767.101183 406099.965117)</t>
  </si>
  <si>
    <t xml:space="preserve">cwfif_national_activefires.fid--5b5096eb_19f85a2ef78_-57d5</t>
  </si>
  <si>
    <t xml:space="preserve">2026_QC_531</t>
  </si>
  <si>
    <t xml:space="preserve">POINT (1534278.449063 771140.053235)</t>
  </si>
  <si>
    <t xml:space="preserve">cwfif_national_activefires.fid--5b5096eb_19f85a2ef78_-57d4</t>
  </si>
  <si>
    <t xml:space="preserve">2026_QC_332</t>
  </si>
  <si>
    <t xml:space="preserve">POINT (1585379.870213 1154980.238661)</t>
  </si>
  <si>
    <t xml:space="preserve">cwfif_national_activefires.fid--5b5096eb_19f85a2ef78_-57d3</t>
  </si>
  <si>
    <t xml:space="preserve">2026_QC_576</t>
  </si>
  <si>
    <t xml:space="preserve">POINT (1383779.927676 -50410.847211)</t>
  </si>
  <si>
    <t xml:space="preserve">cwfif_national_activefires.fid--5b5096eb_19f85a2ef78_-57d2</t>
  </si>
  <si>
    <t xml:space="preserve">2026_QC_612</t>
  </si>
  <si>
    <t xml:space="preserve">POINT (1134867.332865 757516.389755)</t>
  </si>
  <si>
    <t xml:space="preserve">cwfif_national_activefires.fid--5b5096eb_19f85a2ef78_-57d1</t>
  </si>
  <si>
    <t xml:space="preserve">2026_QC_415</t>
  </si>
  <si>
    <t xml:space="preserve">POINT (1745290.132994 1132932.601034)</t>
  </si>
  <si>
    <t xml:space="preserve">cwfif_national_activefires.fid--5b5096eb_19f85a2ef78_-57d0</t>
  </si>
  <si>
    <t xml:space="preserve">2026_QC_488</t>
  </si>
  <si>
    <t xml:space="preserve">POINT (1617000.079545 818593.804069)</t>
  </si>
  <si>
    <t xml:space="preserve">cwfif_national_activefires.fid--5b5096eb_19f85a2ef78_-57cf</t>
  </si>
  <si>
    <t xml:space="preserve">2026_QC_287</t>
  </si>
  <si>
    <t xml:space="preserve">POINT (2269320.696608 941907.654421)</t>
  </si>
  <si>
    <t xml:space="preserve">cwfif_national_activefires.fid--5b5096eb_19f85a2ef78_-57ce</t>
  </si>
  <si>
    <t xml:space="preserve">2026_QC_568</t>
  </si>
  <si>
    <t xml:space="preserve">POINT (1172956.454713 673285.187501)</t>
  </si>
  <si>
    <t xml:space="preserve">cwfif_national_activefires.fid--5b5096eb_19f85a2ef78_-57cd</t>
  </si>
  <si>
    <t xml:space="preserve">2026_QC_567</t>
  </si>
  <si>
    <t xml:space="preserve">POINT (1356368.633759 734663.988104)</t>
  </si>
  <si>
    <t xml:space="preserve">cwfif_national_activefires.fid--5b5096eb_19f85a2ef78_-57cc</t>
  </si>
  <si>
    <t xml:space="preserve">2026_QC_597</t>
  </si>
  <si>
    <t xml:space="preserve">POINT (1165767.085498 575576.444277)</t>
  </si>
  <si>
    <t xml:space="preserve">cwfif_national_activefires.fid--5b5096eb_19f85a2ef78_-57cb</t>
  </si>
  <si>
    <t xml:space="preserve">2026_QC_566</t>
  </si>
  <si>
    <t xml:space="preserve">POINT (1397924.901907 732506.851118)</t>
  </si>
  <si>
    <t xml:space="preserve">cwfif_national_activefires.fid--5b5096eb_19f85a2ef78_-57ca</t>
  </si>
  <si>
    <t xml:space="preserve">2026_QC_565</t>
  </si>
  <si>
    <t xml:space="preserve">POINT (1192726.534136 463507.849381)</t>
  </si>
  <si>
    <t xml:space="preserve">cwfif_national_activefires.fid--5b5096eb_19f85a2ef78_-57c9</t>
  </si>
  <si>
    <t xml:space="preserve">2026_QC_533</t>
  </si>
  <si>
    <t xml:space="preserve">POINT (1324804.900801 541506.144541)</t>
  </si>
  <si>
    <t xml:space="preserve">cwfif_national_activefires.fid--5b5096eb_19f85a2ef78_-57c8</t>
  </si>
  <si>
    <t xml:space="preserve">2026_QC_536</t>
  </si>
  <si>
    <t xml:space="preserve">POINT (1506192.118958 860853.816744)</t>
  </si>
  <si>
    <t xml:space="preserve">cwfif_national_activefires.fid--5b5096eb_19f85a2ef78_-57c7</t>
  </si>
  <si>
    <t xml:space="preserve">2026_QC_541</t>
  </si>
  <si>
    <t xml:space="preserve">POINT (1564227.146566 844845.553726)</t>
  </si>
  <si>
    <t xml:space="preserve">cwfif_national_activefires.fid--5b5096eb_19f85a2ef78_-57c6</t>
  </si>
  <si>
    <t xml:space="preserve">2026_QC_546</t>
  </si>
  <si>
    <t xml:space="preserve">POINT (1628477.730715 1062995.709435)</t>
  </si>
  <si>
    <t xml:space="preserve">cwfif_national_activefires.fid--5b5096eb_19f85a2ef78_-57c5</t>
  </si>
  <si>
    <t xml:space="preserve">2026_QC_547</t>
  </si>
  <si>
    <t xml:space="preserve">POINT (1178919.251255 372978.419888)</t>
  </si>
  <si>
    <t xml:space="preserve">cwfif_national_activefires.fid--5b5096eb_19f85a2ef78_-57c4</t>
  </si>
  <si>
    <t xml:space="preserve">2026_QC_579</t>
  </si>
  <si>
    <t xml:space="preserve">POINT (1179243.02444 434563.816867)</t>
  </si>
  <si>
    <t xml:space="preserve">cwfif_national_activefires.fid--5b5096eb_19f85a2ef78_-57c3</t>
  </si>
  <si>
    <t xml:space="preserve">2026_QC_563</t>
  </si>
  <si>
    <t xml:space="preserve">POINT (1265253.98301 447779.398107)</t>
  </si>
  <si>
    <t xml:space="preserve">cwfif_national_activefires.fid--5b5096eb_19f85a2ef78_-57c2</t>
  </si>
  <si>
    <t xml:space="preserve">2026_QC_562</t>
  </si>
  <si>
    <t xml:space="preserve">POINT (1239428.396922 450928.493901)</t>
  </si>
  <si>
    <t xml:space="preserve">cwfif_national_activefires.fid--5b5096eb_19f85a2ef78_-57c1</t>
  </si>
  <si>
    <t xml:space="preserve">2026_QC_559</t>
  </si>
  <si>
    <t xml:space="preserve">POINT (1243305.364369 466988.830312)</t>
  </si>
  <si>
    <t xml:space="preserve">cwfif_national_activefires.fid--5b5096eb_19f85a2ef78_-57c0</t>
  </si>
  <si>
    <t xml:space="preserve">2026_QC_558</t>
  </si>
  <si>
    <t xml:space="preserve">POINT (1525222.417254 1350865.903987)</t>
  </si>
  <si>
    <t xml:space="preserve">cwfif_national_activefires.fid--5b5096eb_19f85a2ef78_-57bf</t>
  </si>
  <si>
    <t xml:space="preserve">2026_QC_276</t>
  </si>
  <si>
    <t xml:space="preserve">POINT (1660970.006808 552007.833037)</t>
  </si>
  <si>
    <t xml:space="preserve">cwfif_national_activefires.fid--5b5096eb_19f85a2ef78_-57be</t>
  </si>
  <si>
    <t xml:space="preserve">2026_QC_532</t>
  </si>
  <si>
    <t xml:space="preserve">POINT (1327901.251762 544494.687277)</t>
  </si>
  <si>
    <t xml:space="preserve">cwfif_national_activefires.fid--5b5096eb_19f85a2ef78_-57bd</t>
  </si>
  <si>
    <t xml:space="preserve">2026_QC_513</t>
  </si>
  <si>
    <t xml:space="preserve">POINT (1184203.912095 672202.169099)</t>
  </si>
  <si>
    <t xml:space="preserve">cwfif_national_activefires.fid--5b5096eb_19f85a2ef78_-57bc</t>
  </si>
  <si>
    <t xml:space="preserve">2026_QC_234</t>
  </si>
  <si>
    <t xml:space="preserve">POINT (1103923.487805 809724.120134)</t>
  </si>
  <si>
    <t xml:space="preserve">cwfif_national_activefires.fid--5b5096eb_19f85a2ef78_-57bb</t>
  </si>
  <si>
    <t xml:space="preserve">2026_QC_505</t>
  </si>
  <si>
    <t xml:space="preserve">POINT (1243773.950983 569760.056016)</t>
  </si>
  <si>
    <t xml:space="preserve">cwfif_national_activefires.fid--5b5096eb_19f85a2ef78_-57ba</t>
  </si>
  <si>
    <t xml:space="preserve">2026_QC_501</t>
  </si>
  <si>
    <t xml:space="preserve">POINT (1662478.273112 813575.110849)</t>
  </si>
  <si>
    <t xml:space="preserve">cwfif_national_activefires.fid--5b5096eb_19f85a2ef78_-57b9</t>
  </si>
  <si>
    <t xml:space="preserve">2026_QC_522</t>
  </si>
  <si>
    <t xml:space="preserve">POINT (1401421.279308 474194.586985)</t>
  </si>
  <si>
    <t xml:space="preserve">cwfif_national_activefires.fid--5b5096eb_19f85a2ef78_-57b8</t>
  </si>
  <si>
    <t xml:space="preserve">2026_QC_516</t>
  </si>
  <si>
    <t xml:space="preserve">POINT (1260123.666441 413451.595393)</t>
  </si>
  <si>
    <t xml:space="preserve">cwfif_national_activefires.fid--5b5096eb_19f85a2ef78_-57b7</t>
  </si>
  <si>
    <t xml:space="preserve">2026_QC_518</t>
  </si>
  <si>
    <t xml:space="preserve">POINT (1211482.27366 427583.121134)</t>
  </si>
  <si>
    <t xml:space="preserve">cwfif_national_activefires.fid--5b5096eb_19f85a2ef78_-57b6</t>
  </si>
  <si>
    <t xml:space="preserve">2026_QC_342</t>
  </si>
  <si>
    <t xml:space="preserve">POINT (1105018.40923 531888.923808)</t>
  </si>
  <si>
    <t xml:space="preserve">cwfif_national_activefires.fid--5b5096eb_19f85a2ef78_-57b5</t>
  </si>
  <si>
    <t xml:space="preserve">2026_QC_583</t>
  </si>
  <si>
    <t xml:space="preserve">POINT (1382778.645945 -51734.339227)</t>
  </si>
  <si>
    <t xml:space="preserve">cwfif_national_activefires.fid--5b5096eb_19f85a2ef78_-57b4</t>
  </si>
  <si>
    <t xml:space="preserve">2026_QC_416</t>
  </si>
  <si>
    <t xml:space="preserve">POINT (1636054.236538 1242716.133734)</t>
  </si>
  <si>
    <t xml:space="preserve">cwfif_national_activefires.fid--5b5096eb_19f85a2ef78_-57b3</t>
  </si>
  <si>
    <t xml:space="preserve">2026_QC_321</t>
  </si>
  <si>
    <t xml:space="preserve">POINT (1200288.020228 534360.885888)</t>
  </si>
  <si>
    <t xml:space="preserve">cwfif_national_activefires.fid--5b5096eb_19f85a2ef78_-57b2</t>
  </si>
  <si>
    <t xml:space="preserve">2026_QC_489</t>
  </si>
  <si>
    <t xml:space="preserve">POINT (1261020.282105 533081.369076)</t>
  </si>
  <si>
    <t xml:space="preserve">cwfif_national_activefires.fid--5b5096eb_19f85a2ef78_-57b1</t>
  </si>
  <si>
    <t xml:space="preserve">2026_QC_282</t>
  </si>
  <si>
    <t xml:space="preserve">POINT (1258504.709292 550021.218642)</t>
  </si>
  <si>
    <t xml:space="preserve">cwfif_national_activefires.fid--5b5096eb_19f85a2ef78_-57b0</t>
  </si>
  <si>
    <t xml:space="preserve">2026_QC_318</t>
  </si>
  <si>
    <t xml:space="preserve">POINT (1262360.600623 539177.827407)</t>
  </si>
  <si>
    <t xml:space="preserve">cwfif_national_activefires.fid--5b5096eb_19f85a2ef78_-57af</t>
  </si>
  <si>
    <t xml:space="preserve">2026_QC_473</t>
  </si>
  <si>
    <t xml:space="preserve">POINT (1145460.525705 323682.726309)</t>
  </si>
  <si>
    <t xml:space="preserve">cwfif_national_activefires.fid--5b5096eb_19f85a2ef78_-57ae</t>
  </si>
  <si>
    <t xml:space="preserve">2026_QC_290</t>
  </si>
  <si>
    <t xml:space="preserve">POINT (1148061.283845 291411.957109)</t>
  </si>
  <si>
    <t xml:space="preserve">cwfif_national_activefires.fid--5b5096eb_19f85a2ef78_-57ad</t>
  </si>
  <si>
    <t xml:space="preserve">2026_QC_223</t>
  </si>
  <si>
    <t xml:space="preserve">POINT (1069917.690902 641119.271531)</t>
  </si>
  <si>
    <t xml:space="preserve">cwfif_national_activefires.fid--5b5096eb_19f85a2ef78_-57ac</t>
  </si>
  <si>
    <t xml:space="preserve">2026_QC_551</t>
  </si>
  <si>
    <t xml:space="preserve">POINT (1679350.766101 643667.580548)</t>
  </si>
  <si>
    <t xml:space="preserve">cwfif_national_activefires.fid--5b5096eb_19f85a2ef78_-57ab</t>
  </si>
  <si>
    <t xml:space="preserve">2026_QC_417</t>
  </si>
  <si>
    <t xml:space="preserve">POINT (1698409.391757 826004.308273)</t>
  </si>
  <si>
    <t xml:space="preserve">cwfif_national_activefires.fid--5b5096eb_19f85a2ef78_-57aa</t>
  </si>
  <si>
    <t xml:space="preserve">2026_QC_436</t>
  </si>
  <si>
    <t xml:space="preserve">POINT (1712733.132239 854264.599106)</t>
  </si>
  <si>
    <t xml:space="preserve">cwfif_national_activefires.fid--5b5096eb_19f85a2ef78_-57a9</t>
  </si>
  <si>
    <t xml:space="preserve">2026_QC_311</t>
  </si>
  <si>
    <t xml:space="preserve">POINT (1091273.980348 662119.194366)</t>
  </si>
  <si>
    <t xml:space="preserve">cwfif_national_activefires.fid--5b5096eb_19f85a2ef78_-57a8</t>
  </si>
  <si>
    <t xml:space="preserve">2026_QC_275</t>
  </si>
  <si>
    <t xml:space="preserve">POINT (1713418.349567 697840.295939)</t>
  </si>
  <si>
    <t xml:space="preserve">cwfif_national_activefires.fid--5b5096eb_19f85a2ef78_-57a7</t>
  </si>
  <si>
    <t xml:space="preserve">2026_QC_300</t>
  </si>
  <si>
    <t xml:space="preserve">POINT (1089940.082528 668501.619667)</t>
  </si>
  <si>
    <t xml:space="preserve">cwfif_national_activefires.fid--5b5096eb_19f85a2ef78_-57a6</t>
  </si>
  <si>
    <t xml:space="preserve">2026_QC_504</t>
  </si>
  <si>
    <t xml:space="preserve">POINT (1854896.326263 824635.262568)</t>
  </si>
  <si>
    <t xml:space="preserve">cwfif_national_activefires.fid--5b5096eb_19f85a2ef78_-57a5</t>
  </si>
  <si>
    <t xml:space="preserve">2026_QC_453</t>
  </si>
  <si>
    <t xml:space="preserve">POINT (1535714.731374 750905.604592)</t>
  </si>
  <si>
    <t xml:space="preserve">cwfif_national_activefires.fid--5b5096eb_19f85a2ef78_-57a4</t>
  </si>
  <si>
    <t xml:space="preserve">2026_QC_477</t>
  </si>
  <si>
    <t xml:space="preserve">POINT (2057260.955287 789190.848594)</t>
  </si>
  <si>
    <t xml:space="preserve">cwfif_national_activefires.fid--5b5096eb_19f85a2ef78_-57a3</t>
  </si>
  <si>
    <t xml:space="preserve">2026_QC_304</t>
  </si>
  <si>
    <t xml:space="preserve">POINT (1500571.525817 1218836.953111)</t>
  </si>
  <si>
    <t xml:space="preserve">cwfif_national_activefires.fid--5b5096eb_19f85a2ef78_-57a2</t>
  </si>
  <si>
    <t xml:space="preserve">2026_QC_459</t>
  </si>
  <si>
    <t xml:space="preserve">POINT (1554536.686521 797748.772734)</t>
  </si>
  <si>
    <t xml:space="preserve">cwfif_national_activefires.fid--5b5096eb_19f85a2ef78_-57a1</t>
  </si>
  <si>
    <t xml:space="preserve">2026_QC_457</t>
  </si>
  <si>
    <t xml:space="preserve">POINT (1565553.013025 885498.2112)</t>
  </si>
  <si>
    <t xml:space="preserve">cwfif_national_activefires.fid--5b5096eb_19f85a2ef78_-57a0</t>
  </si>
  <si>
    <t xml:space="preserve">2026_QC_441</t>
  </si>
  <si>
    <t xml:space="preserve">POINT (1523547.311107 826884.974239)</t>
  </si>
  <si>
    <t xml:space="preserve">cwfif_national_activefires.fid--5b5096eb_19f85a2ef78_-579f</t>
  </si>
  <si>
    <t xml:space="preserve">2026_QC_350</t>
  </si>
  <si>
    <t xml:space="preserve">POINT (2068834.395909 819004.359422)</t>
  </si>
  <si>
    <t xml:space="preserve">cwfif_national_activefires.fid--5b5096eb_19f85a2ef78_-579e</t>
  </si>
  <si>
    <t xml:space="preserve">2026_QC_374</t>
  </si>
  <si>
    <t xml:space="preserve">POINT (1457793.418855 872235.912727)</t>
  </si>
  <si>
    <t xml:space="preserve">cwfif_national_activefires.fid--5b5096eb_19f85a2ef78_-579d</t>
  </si>
  <si>
    <t xml:space="preserve">2026_QC_535</t>
  </si>
  <si>
    <t xml:space="preserve">POINT (2006204.432677 719868.696517)</t>
  </si>
  <si>
    <t xml:space="preserve">cwfif_national_activefires.fid--5b5096eb_19f85a2ef78_-579c</t>
  </si>
  <si>
    <t xml:space="preserve">2026_QC_446</t>
  </si>
  <si>
    <t xml:space="preserve">POINT (1681073.267687 796564.154842)</t>
  </si>
  <si>
    <t xml:space="preserve">cwfif_national_activefires.fid--5b5096eb_19f85a2ef78_-579b</t>
  </si>
  <si>
    <t xml:space="preserve">2026_QC_245</t>
  </si>
  <si>
    <t xml:space="preserve">POINT (1401655.25195 784043.270515)</t>
  </si>
  <si>
    <t xml:space="preserve">cwfif_national_activefires.fid--5b5096eb_19f85a2ef78_-579a</t>
  </si>
  <si>
    <t xml:space="preserve">2026_QC_463</t>
  </si>
  <si>
    <t xml:space="preserve">POINT (1480868.627316 924493.870115)</t>
  </si>
  <si>
    <t xml:space="preserve">cwfif_national_activefires.fid--5b5096eb_19f85a2ef78_-5799</t>
  </si>
  <si>
    <t xml:space="preserve">2026_QC_452</t>
  </si>
  <si>
    <t xml:space="preserve">POINT (1503420.715502 738482.809449)</t>
  </si>
  <si>
    <t xml:space="preserve">cwfif_national_activefires.fid--5b5096eb_19f85a2ef78_-5798</t>
  </si>
  <si>
    <t xml:space="preserve">2026_QC_423</t>
  </si>
  <si>
    <t xml:space="preserve">POINT (1221444.032167 470857.94085)</t>
  </si>
  <si>
    <t xml:space="preserve">cwfif_national_activefires.fid--5b5096eb_19f85a2ef78_-5797</t>
  </si>
  <si>
    <t xml:space="preserve">2026_QC_469</t>
  </si>
  <si>
    <t xml:space="preserve">POINT (1207900.472858 704083.505562)</t>
  </si>
  <si>
    <t xml:space="preserve">cwfif_national_activefires.fid--5b5096eb_19f85a2ef78_-5796</t>
  </si>
  <si>
    <t xml:space="preserve">2026_QC_447</t>
  </si>
  <si>
    <t xml:space="preserve">POINT (1656399.451585 762996.405645)</t>
  </si>
  <si>
    <t xml:space="preserve">cwfif_national_activefires.fid--5b5096eb_19f85a2ef78_-5795</t>
  </si>
  <si>
    <t xml:space="preserve">2026_QC_270</t>
  </si>
  <si>
    <t xml:space="preserve">POINT (1660193.812584 796730.945762)</t>
  </si>
  <si>
    <t xml:space="preserve">cwfif_national_activefires.fid--5b5096eb_19f85a2ef78_-5794</t>
  </si>
  <si>
    <t xml:space="preserve">2026_QC_552</t>
  </si>
  <si>
    <t xml:space="preserve">POINT (1728193.045873 662141.854611)</t>
  </si>
  <si>
    <t xml:space="preserve">cwfif_national_activefires.fid--5b5096eb_19f85a2ef78_-5793</t>
  </si>
  <si>
    <t xml:space="preserve">2026_QC_409</t>
  </si>
  <si>
    <t xml:space="preserve">POINT (1430472.127161 458015.978672)</t>
  </si>
  <si>
    <t xml:space="preserve">cwfif_national_activefires.fid--5b5096eb_19f85a2ef78_-5792</t>
  </si>
  <si>
    <t xml:space="preserve">2026_QC_432</t>
  </si>
  <si>
    <t xml:space="preserve">POINT (1404458.784016 1058088.949263)</t>
  </si>
  <si>
    <t xml:space="preserve">cwfif_national_activefires.fid--5b5096eb_19f85a2ef78_-5791</t>
  </si>
  <si>
    <t xml:space="preserve">2026_QC_421</t>
  </si>
  <si>
    <t xml:space="preserve">POINT (1523838.474124 1101467.645202)</t>
  </si>
  <si>
    <t xml:space="preserve">cwfif_national_activefires.fid--5b5096eb_19f85a2ef78_-5790</t>
  </si>
  <si>
    <t xml:space="preserve">2026_QC_226</t>
  </si>
  <si>
    <t xml:space="preserve">POINT (1417877.516512 731548.88136)</t>
  </si>
  <si>
    <t xml:space="preserve">cwfif_national_activefires.fid--5b5096eb_19f85a2ef78_-578f</t>
  </si>
  <si>
    <t xml:space="preserve">2026_QC_550</t>
  </si>
  <si>
    <t xml:space="preserve">POINT (1432378.174124 463042.496224)</t>
  </si>
  <si>
    <t xml:space="preserve">cwfif_national_activefires.fid--5b5096eb_19f85a2ef78_-578e</t>
  </si>
  <si>
    <t xml:space="preserve">2026_QC_373</t>
  </si>
  <si>
    <t xml:space="preserve">POINT (1460843.299161 805244.692567)</t>
  </si>
  <si>
    <t xml:space="preserve">cwfif_national_activefires.fid--5b5096eb_19f85a2ef78_-578d</t>
  </si>
  <si>
    <t xml:space="preserve">2026_QC_486</t>
  </si>
  <si>
    <t xml:space="preserve">POINT (1576346.547802 778777.274092)</t>
  </si>
  <si>
    <t xml:space="preserve">cwfif_national_activefires.fid--5b5096eb_19f85a2ef78_-578c</t>
  </si>
  <si>
    <t xml:space="preserve">2026_QC_307</t>
  </si>
  <si>
    <t xml:space="preserve">POINT (1115238.044972 399623.452753)</t>
  </si>
  <si>
    <t xml:space="preserve">cwfif_national_activefires.fid--5b5096eb_19f85a2ef78_-578b</t>
  </si>
  <si>
    <t xml:space="preserve">2020_QC_499</t>
  </si>
  <si>
    <t xml:space="preserve">POINT (2185460.473241 744059.158929)</t>
  </si>
  <si>
    <t xml:space="preserve">cwfif_national_activefires.fid--5b5096eb_19f85a2ef78_-578a</t>
  </si>
  <si>
    <t xml:space="preserve">2026_QC_460</t>
  </si>
  <si>
    <t xml:space="preserve">POINT (1579460.756024 762112.433587)</t>
  </si>
  <si>
    <t xml:space="preserve">cwfif_national_activefires.fid--5b5096eb_19f85a2ef78_-5789</t>
  </si>
  <si>
    <t xml:space="preserve">2026_QC_399</t>
  </si>
  <si>
    <t xml:space="preserve">POINT (1592900.990883 720760.723276)</t>
  </si>
  <si>
    <t xml:space="preserve">cwfif_national_activefires.fid--5b5096eb_19f85a2ef78_-5788</t>
  </si>
  <si>
    <t xml:space="preserve">2026_QC_454</t>
  </si>
  <si>
    <t xml:space="preserve">POINT (1537402.815704 761889.916812)</t>
  </si>
  <si>
    <t xml:space="preserve">cwfif_national_activefires.fid--5b5096eb_19f85a2ef78_-5787</t>
  </si>
  <si>
    <t xml:space="preserve">2026_QC_322</t>
  </si>
  <si>
    <t xml:space="preserve">POINT (1130921.468694 692374.051573)</t>
  </si>
  <si>
    <t xml:space="preserve">cwfif_national_activefires.fid--5b5096eb_19f85a2ef78_-5786</t>
  </si>
  <si>
    <t xml:space="preserve">2026_QC_249</t>
  </si>
  <si>
    <t xml:space="preserve">POINT (1398849.360917 834404.248793)</t>
  </si>
  <si>
    <t xml:space="preserve">cwfif_national_activefires.fid--5b5096eb_19f85a2ef78_-5785</t>
  </si>
  <si>
    <t xml:space="preserve">2026_QC_344</t>
  </si>
  <si>
    <t xml:space="preserve">POINT (1315065.280884 594105.930464)</t>
  </si>
  <si>
    <t xml:space="preserve">cwfif_national_activefires.fid--5b5096eb_19f85a2ef78_-5784</t>
  </si>
  <si>
    <t xml:space="preserve">2026_QC_215</t>
  </si>
  <si>
    <t xml:space="preserve">POINT (1660721.661039 701245.647342)</t>
  </si>
  <si>
    <t xml:space="preserve">cwfif_national_activefires.fid--5b5096eb_19f85a2ef78_-5783</t>
  </si>
  <si>
    <t xml:space="preserve">2023_QC_270</t>
  </si>
  <si>
    <t xml:space="preserve">cwfif_national_activefires.fid--5b5096eb_19f85a2ef78_-5782</t>
  </si>
  <si>
    <t xml:space="preserve">2026_QC_476</t>
  </si>
  <si>
    <t xml:space="preserve">POINT (2307646.062047 1007102.211033)</t>
  </si>
  <si>
    <t xml:space="preserve">cwfif_national_activefires.fid--5b5096eb_19f85a2ef78_-5781</t>
  </si>
  <si>
    <t xml:space="preserve">2026_QC_475</t>
  </si>
  <si>
    <t xml:space="preserve">POINT (1178018.430562 325616.579752)</t>
  </si>
  <si>
    <t xml:space="preserve">cwfif_national_activefires.fid--5b5096eb_19f85a2ef78_-5780</t>
  </si>
  <si>
    <t xml:space="preserve">2026_QC_377</t>
  </si>
  <si>
    <t xml:space="preserve">POINT (1109685.682819 350143.5011)</t>
  </si>
  <si>
    <t xml:space="preserve">cwfif_national_activefires.fid--5b5096eb_19f85a2ef78_-577f</t>
  </si>
  <si>
    <t xml:space="preserve">2026_QC_227</t>
  </si>
  <si>
    <t xml:space="preserve">POINT (1399953.368188 767380.1554)</t>
  </si>
  <si>
    <t xml:space="preserve">cwfif_national_activefires.fid--5b5096eb_19f85a2ef78_-577e</t>
  </si>
  <si>
    <t xml:space="preserve">2026_QC_244</t>
  </si>
  <si>
    <t xml:space="preserve">POINT (1422647.66207 817646.570718)</t>
  </si>
  <si>
    <t xml:space="preserve">cwfif_national_activefires.fid--5b5096eb_19f85a2ef78_-577d</t>
  </si>
  <si>
    <t xml:space="preserve">2026_QC_348</t>
  </si>
  <si>
    <t xml:space="preserve">POINT (2294914.340286 1016892.335526)</t>
  </si>
  <si>
    <t xml:space="preserve">cwfif_national_activefires.fid--5b5096eb_19f85a2ef78_-577c</t>
  </si>
  <si>
    <t xml:space="preserve">2026_QC_246</t>
  </si>
  <si>
    <t xml:space="preserve">POINT (1450568.102726 951815.589971)</t>
  </si>
  <si>
    <t xml:space="preserve">cwfif_national_activefires.fid--5b5096eb_19f85a2ef78_-577b</t>
  </si>
  <si>
    <t xml:space="preserve">2026_QC_514</t>
  </si>
  <si>
    <t xml:space="preserve">POINT (1656598.055074 771138.301115)</t>
  </si>
  <si>
    <t xml:space="preserve">cwfif_national_activefires.fid--5b5096eb_19f85a2ef78_-577a</t>
  </si>
  <si>
    <t xml:space="preserve">2026_QC_508</t>
  </si>
  <si>
    <t xml:space="preserve">POINT (1695352.385666 826809.142235)</t>
  </si>
  <si>
    <t xml:space="preserve">cwfif_national_activefires.fid--5b5096eb_19f85a2ef78_-5779</t>
  </si>
  <si>
    <t xml:space="preserve">2026_QC_254</t>
  </si>
  <si>
    <t xml:space="preserve">POINT (1491293.262437 755991.151714)</t>
  </si>
  <si>
    <t xml:space="preserve">cwfif_national_activefires.fid--5b5096eb_19f85a2ef78_-5778</t>
  </si>
  <si>
    <t xml:space="preserve">2026_QC_334</t>
  </si>
  <si>
    <t xml:space="preserve">POINT (1224807.1177 744028.17568)</t>
  </si>
  <si>
    <t xml:space="preserve">cwfif_national_activefires.fid--5b5096eb_19f85a2ef78_-5777</t>
  </si>
  <si>
    <t xml:space="preserve">2026_QC_450</t>
  </si>
  <si>
    <t xml:space="preserve">POINT (1587152.077883 807771.670679)</t>
  </si>
  <si>
    <t xml:space="preserve">cwfif_national_activefires.fid--5b5096eb_19f85a2ef78_-5776</t>
  </si>
  <si>
    <t xml:space="preserve">2026_QC_451</t>
  </si>
  <si>
    <t xml:space="preserve">POINT (1477108.285191 724765.084054)</t>
  </si>
  <si>
    <t xml:space="preserve">cwfif_national_activefires.fid--5b5096eb_19f85a2ef78_-5775</t>
  </si>
  <si>
    <t xml:space="preserve">2026_QC_456</t>
  </si>
  <si>
    <t xml:space="preserve">POINT (1525865.393817 753818.315686)</t>
  </si>
  <si>
    <t xml:space="preserve">cwfif_national_activefires.fid--5b5096eb_19f85a2ef78_-5774</t>
  </si>
  <si>
    <t xml:space="preserve">2026_QC_420</t>
  </si>
  <si>
    <t xml:space="preserve">POINT (1604090.507869 1036418.082568)</t>
  </si>
  <si>
    <t xml:space="preserve">cwfif_national_activefires.fid--5b5096eb_19f85a2ef78_-5773</t>
  </si>
  <si>
    <t xml:space="preserve">2026_QC_455</t>
  </si>
  <si>
    <t xml:space="preserve">POINT (2097386.269734 876379.150692)</t>
  </si>
  <si>
    <t xml:space="preserve">cwfif_national_activefires.fid--5b5096eb_19f85a2ef78_-5772</t>
  </si>
  <si>
    <t xml:space="preserve">2026_QC_293</t>
  </si>
  <si>
    <t xml:space="preserve">POINT (1557955.339578 1338137.644183)</t>
  </si>
  <si>
    <t xml:space="preserve">cwfif_national_activefires.fid--5b5096eb_19f85a2ef78_-5771</t>
  </si>
  <si>
    <t xml:space="preserve">2026_QC_458</t>
  </si>
  <si>
    <t xml:space="preserve">POINT (1567554.818429 811508.932254)</t>
  </si>
  <si>
    <t xml:space="preserve">cwfif_national_activefires.fid--5b5096eb_19f85a2ef78_-5770</t>
  </si>
  <si>
    <t xml:space="preserve">2026_QC_333</t>
  </si>
  <si>
    <t xml:space="preserve">POINT (1201286.775829 738066.447536)</t>
  </si>
  <si>
    <t xml:space="preserve">cwfif_national_activefires.fid--5b5096eb_19f85a2ef78_-576f</t>
  </si>
  <si>
    <t xml:space="preserve">2026_QC_483</t>
  </si>
  <si>
    <t xml:space="preserve">POINT (1237779.468989 418697.856801)</t>
  </si>
  <si>
    <t xml:space="preserve">cwfif_national_activefires.fid--5b5096eb_19f85a2ef78_-576e</t>
  </si>
  <si>
    <t xml:space="preserve">2026_QC_323</t>
  </si>
  <si>
    <t xml:space="preserve">POINT (1125829.392496 633348.814134)</t>
  </si>
  <si>
    <t xml:space="preserve">cwfif_national_activefires.fid--5b5096eb_19f85a2ef78_-576d</t>
  </si>
  <si>
    <t xml:space="preserve">2026_QC_382</t>
  </si>
  <si>
    <t xml:space="preserve">POINT (1544282.438939 912965.853385)</t>
  </si>
  <si>
    <t xml:space="preserve">cwfif_national_activefires.fid--5b5096eb_19f85a2ef78_-576c</t>
  </si>
  <si>
    <t xml:space="preserve">2026_QC_356</t>
  </si>
  <si>
    <t xml:space="preserve">POINT (1243123.294771 404283.71963)</t>
  </si>
  <si>
    <t xml:space="preserve">cwfif_national_activefires.fid--5b5096eb_19f85a2ef78_-576b</t>
  </si>
  <si>
    <t xml:space="preserve">2026_QC_413</t>
  </si>
  <si>
    <t xml:space="preserve">POINT (1121593.182426 260584.223698)</t>
  </si>
  <si>
    <t xml:space="preserve">cwfif_national_activefires.fid--5b5096eb_19f85a2ef78_-576a</t>
  </si>
  <si>
    <t xml:space="preserve">2026_QC_343</t>
  </si>
  <si>
    <t xml:space="preserve">POINT (1202902.049792 604668.477235)</t>
  </si>
  <si>
    <t xml:space="preserve">cwfif_national_activefires.fid--5b5096eb_19f85a2ef78_-5769</t>
  </si>
  <si>
    <t xml:space="preserve">2026_QC_329</t>
  </si>
  <si>
    <t xml:space="preserve">POINT (1157408.715266 664422.753779)</t>
  </si>
  <si>
    <t xml:space="preserve">cwfif_national_activefires.fid--5b5096eb_19f85a2ef78_-5768</t>
  </si>
  <si>
    <t xml:space="preserve">2026_QC_241</t>
  </si>
  <si>
    <t xml:space="preserve">POINT (1225212.529455 725961.06857)</t>
  </si>
  <si>
    <t xml:space="preserve">cwfif_national_activefires.fid--5b5096eb_19f85a2ef78_-5767</t>
  </si>
  <si>
    <t xml:space="preserve">2026_QC_225</t>
  </si>
  <si>
    <t xml:space="preserve">POINT (1258675.158515 745849.138637)</t>
  </si>
  <si>
    <t xml:space="preserve">cwfif_national_activefires.fid--5b5096eb_19f85a2ef78_-5766</t>
  </si>
  <si>
    <t xml:space="preserve">2026_QC_224</t>
  </si>
  <si>
    <t xml:space="preserve">POINT (1117911.156428 568111.147255)</t>
  </si>
  <si>
    <t xml:space="preserve">cwfif_national_activefires.fid--5b5096eb_19f85a2ef78_-5765</t>
  </si>
  <si>
    <t xml:space="preserve">2026_QC_260</t>
  </si>
  <si>
    <t xml:space="preserve">POINT (1446302.443686 801769.146152)</t>
  </si>
  <si>
    <t xml:space="preserve">cwfif_national_activefires.fid--5b5096eb_19f85a2ef78_-5764</t>
  </si>
  <si>
    <t xml:space="preserve">2023_QC_245</t>
  </si>
  <si>
    <t xml:space="preserve">cwfif_national_activefires.fid--5b5096eb_19f85a2ef78_-5763</t>
  </si>
  <si>
    <t xml:space="preserve">2023_QC_246</t>
  </si>
  <si>
    <t xml:space="preserve">cwfif_national_activefires.fid--5b5096eb_19f85a2ef78_-5762</t>
  </si>
  <si>
    <t xml:space="preserve">2020_QC_165</t>
  </si>
  <si>
    <t xml:space="preserve">POINT (1491809.29007 -117568.786469)</t>
  </si>
  <si>
    <t xml:space="preserve">cwfif_national_activefires.fid--5b5096eb_19f85a2ef78_-5761</t>
  </si>
  <si>
    <t xml:space="preserve">SK</t>
  </si>
  <si>
    <t xml:space="preserve">DB</t>
  </si>
  <si>
    <t xml:space="preserve">2026_SK_26DB-BORDER</t>
  </si>
  <si>
    <t xml:space="preserve">26DB-BORDER</t>
  </si>
  <si>
    <t xml:space="preserve">POINT (-429436.9638 715619.061369)</t>
  </si>
  <si>
    <t xml:space="preserve">cwfif_national_activefires.fid--5b5096eb_19f85a2ef78_-5760</t>
  </si>
  <si>
    <t xml:space="preserve">LF</t>
  </si>
  <si>
    <t xml:space="preserve">2026_SK_26LF-DOWD</t>
  </si>
  <si>
    <t xml:space="preserve">26LF-DOWD</t>
  </si>
  <si>
    <t xml:space="preserve">POINT (-614503.603472 661746.025443)</t>
  </si>
  <si>
    <t xml:space="preserve">cwfif_national_activefires.fid--5b5096eb_19f85a2ef78_-575f</t>
  </si>
  <si>
    <t xml:space="preserve">2026_SK_26DB-DOUPE</t>
  </si>
  <si>
    <t xml:space="preserve">26DB-DOUPE</t>
  </si>
  <si>
    <t xml:space="preserve">POINT (-496971.924084 679074.668687)</t>
  </si>
  <si>
    <t xml:space="preserve">cwfif_national_activefires.fid--5b5096eb_19f85a2ef78_-575e</t>
  </si>
  <si>
    <t xml:space="preserve">LA</t>
  </si>
  <si>
    <t xml:space="preserve">2026_SK_26LA-EGG</t>
  </si>
  <si>
    <t xml:space="preserve">26LA-EGG</t>
  </si>
  <si>
    <t xml:space="preserve">POINT (-664628.360001 717199.598876)</t>
  </si>
  <si>
    <t xml:space="preserve">cwfif_national_activefires.fid--5b5096eb_19f85a2ef78_-575d</t>
  </si>
  <si>
    <t xml:space="preserve">2026_SK_26DB-WIR01</t>
  </si>
  <si>
    <t xml:space="preserve">26DB-WIR01</t>
  </si>
  <si>
    <t xml:space="preserve">POINT (-451053.92461 745647.092646)</t>
  </si>
  <si>
    <t xml:space="preserve">cwfif_national_activefires.fid--5b5096eb_19f85a2ef78_-575c</t>
  </si>
  <si>
    <t xml:space="preserve">2026_SK_26LA-MILNER</t>
  </si>
  <si>
    <t xml:space="preserve">26LA-MILNER</t>
  </si>
  <si>
    <t xml:space="preserve">POINT (-605441.162736 772773.069816)</t>
  </si>
  <si>
    <t xml:space="preserve">cwfif_national_activefires.fid--5b5096eb_19f85a2ef78_-575b</t>
  </si>
  <si>
    <t xml:space="preserve">LX</t>
  </si>
  <si>
    <t xml:space="preserve">2026_SK_26LX-MCDONALD</t>
  </si>
  <si>
    <t xml:space="preserve">26LX-MCDONALD</t>
  </si>
  <si>
    <t xml:space="preserve">POINT (-707876.807109 796772.805852)</t>
  </si>
  <si>
    <t xml:space="preserve">cwfif_national_activefires.fid--5b5096eb_19f85a2ef78_-575a</t>
  </si>
  <si>
    <t xml:space="preserve">BN</t>
  </si>
  <si>
    <t xml:space="preserve">2026_SK_26BN-FISSION</t>
  </si>
  <si>
    <t xml:space="preserve">26BN-FISSION</t>
  </si>
  <si>
    <t xml:space="preserve">POINT (-846529.508029 1042806.9343)</t>
  </si>
  <si>
    <t xml:space="preserve">cwfif_national_activefires.fid--5b5096eb_19f85a2ef78_-5759</t>
  </si>
  <si>
    <t xml:space="preserve">2026_SK_26LA-WALKER</t>
  </si>
  <si>
    <t xml:space="preserve">26LA-WALKER</t>
  </si>
  <si>
    <t xml:space="preserve">POINT (-658573.907047 884383.67123)</t>
  </si>
  <si>
    <t xml:space="preserve">cwfif_national_activefires.fid--5b5096eb_19f85a2ef78_-5758</t>
  </si>
  <si>
    <t xml:space="preserve">2026_SK_26LA-FRENCH</t>
  </si>
  <si>
    <t xml:space="preserve">26LA-FRENCH</t>
  </si>
  <si>
    <t xml:space="preserve">POINT (-588550.401915 776437.230849)</t>
  </si>
  <si>
    <t xml:space="preserve">cwfif_national_activefires.fid--5b5096eb_19f85a2ef78_-5757</t>
  </si>
  <si>
    <t xml:space="preserve">2026_SK_26LA-BESNARD</t>
  </si>
  <si>
    <t xml:space="preserve">26LA-BESNARD</t>
  </si>
  <si>
    <t xml:space="preserve">POINT (-686733.217157 766474.918607)</t>
  </si>
  <si>
    <t xml:space="preserve">cwfif_national_activefires.fid--5b5096eb_19f85a2ef78_-5756</t>
  </si>
  <si>
    <t xml:space="preserve">2026_SK_26LX-HILLMAN</t>
  </si>
  <si>
    <t xml:space="preserve">26LX-HILLMAN</t>
  </si>
  <si>
    <t xml:space="preserve">POINT (-705125.979735 786380.58654)</t>
  </si>
  <si>
    <t xml:space="preserve">cwfif_national_activefires.fid--5b5096eb_19f85a2ef78_-5755</t>
  </si>
  <si>
    <t xml:space="preserve">2026_SK_26DB-WINTEGO</t>
  </si>
  <si>
    <t xml:space="preserve">26DB-WINTEGO</t>
  </si>
  <si>
    <t xml:space="preserve">POINT (-482774.881502 741804.29927)</t>
  </si>
  <si>
    <t xml:space="preserve">cwfif_national_activefires.fid--5b5096eb_19f85a2ef78_-5754</t>
  </si>
  <si>
    <t xml:space="preserve">2026_SK_26LX-CANOE</t>
  </si>
  <si>
    <t xml:space="preserve">26LX-CANOE</t>
  </si>
  <si>
    <t xml:space="preserve">POINT (-811466.511451 777230.518705)</t>
  </si>
  <si>
    <t xml:space="preserve">cwfif_national_activefires.fid--5b5096eb_19f85a2ef78_-5753</t>
  </si>
  <si>
    <t xml:space="preserve">2026_SK_26DB-RODERICK</t>
  </si>
  <si>
    <t xml:space="preserve">26DB-RODERICK</t>
  </si>
  <si>
    <t xml:space="preserve">POINT (-440566.603818 796717.614133)</t>
  </si>
  <si>
    <t xml:space="preserve">cwfif_national_activefires.fid--5b5096eb_19f85a2ef78_-5752</t>
  </si>
  <si>
    <t xml:space="preserve">2026_SK_26LA-MCDONALD</t>
  </si>
  <si>
    <t xml:space="preserve">26LA-MCDONALD</t>
  </si>
  <si>
    <t xml:space="preserve">POINT (-483403.413401 811863.636216)</t>
  </si>
  <si>
    <t xml:space="preserve">cwfif_national_activefires.fid--5b5096eb_19f85a2ef78_-5751</t>
  </si>
  <si>
    <t xml:space="preserve">2026_SK_26LA-BOISE</t>
  </si>
  <si>
    <t xml:space="preserve">26LA-BOISE</t>
  </si>
  <si>
    <t xml:space="preserve">POINT (-658816.488601 798664.646407)</t>
  </si>
  <si>
    <t xml:space="preserve">cwfif_national_activefires.fid--5b5096eb_19f85a2ef78_-5750</t>
  </si>
  <si>
    <t xml:space="preserve">SR</t>
  </si>
  <si>
    <t xml:space="preserve">2026_SK_26SR-PINE</t>
  </si>
  <si>
    <t xml:space="preserve">26SR-PINE</t>
  </si>
  <si>
    <t xml:space="preserve">POINT (-659430.533967 1093540.491892)</t>
  </si>
  <si>
    <t xml:space="preserve">cwfif_national_activefires.fid--5b5096eb_19f85a2ef78_-574f</t>
  </si>
  <si>
    <t xml:space="preserve">2026_SK_26LA-FLEMING</t>
  </si>
  <si>
    <t xml:space="preserve">26LA-FLEMING</t>
  </si>
  <si>
    <t xml:space="preserve">POINT (-512377.587457 848258.703451)</t>
  </si>
  <si>
    <t xml:space="preserve">cwfif_national_activefires.fid--5b5096eb_19f85a2ef78_-574e</t>
  </si>
  <si>
    <t xml:space="preserve">2026_SK_26SR-JACKPOT</t>
  </si>
  <si>
    <t xml:space="preserve">26SR-JACKPOT</t>
  </si>
  <si>
    <t xml:space="preserve">POINT (-566131.17909 1210344.884846)</t>
  </si>
  <si>
    <t xml:space="preserve">cwfif_national_activefires.fid--5b5096eb_19f85a2ef78_-574d</t>
  </si>
  <si>
    <t xml:space="preserve">2026_SK_26SR-SARUK</t>
  </si>
  <si>
    <t xml:space="preserve">26SR-SARUK</t>
  </si>
  <si>
    <t xml:space="preserve">POINT (-425159.781943 1206326.763886)</t>
  </si>
  <si>
    <t xml:space="preserve">cwfif_national_activefires.fid--5b5096eb_19f85a2ef78_-574c</t>
  </si>
  <si>
    <t xml:space="preserve">2026_SK_26LX-CLAWR01</t>
  </si>
  <si>
    <t xml:space="preserve">26LX-CLAWR01</t>
  </si>
  <si>
    <t xml:space="preserve">POINT (-846391.912444 774173.646561)</t>
  </si>
  <si>
    <t xml:space="preserve">cwfif_national_activefires.fid--5b5096eb_19f85a2ef78_-574b</t>
  </si>
  <si>
    <t xml:space="preserve">2026_SK_26SR-KERSLAKE</t>
  </si>
  <si>
    <t xml:space="preserve">26SR-KERSLAKE</t>
  </si>
  <si>
    <t xml:space="preserve">POINT (-439431.191977 1042995.668513)</t>
  </si>
  <si>
    <t xml:space="preserve">cwfif_national_activefires.fid--5b5096eb_19f85a2ef78_-574a</t>
  </si>
  <si>
    <t xml:space="preserve">2026_SK_26DB-PROCTOR</t>
  </si>
  <si>
    <t xml:space="preserve">26DB-PROCTOR</t>
  </si>
  <si>
    <t xml:space="preserve">POINT (-431565.013082 731635.173769)</t>
  </si>
  <si>
    <t xml:space="preserve">cwfif_national_activefires.fid--5b5096eb_19f85a2ef78_-5749</t>
  </si>
  <si>
    <t xml:space="preserve">LR</t>
  </si>
  <si>
    <t xml:space="preserve">2026_SK_26LR-SANDY</t>
  </si>
  <si>
    <t xml:space="preserve">26LR-SANDY</t>
  </si>
  <si>
    <t xml:space="preserve">POINT (-584571.656774 935136.713949)</t>
  </si>
  <si>
    <t xml:space="preserve">cwfif_national_activefires.fid--5b5096eb_19f85a2ef78_-5748</t>
  </si>
  <si>
    <t xml:space="preserve">2026_SK_26DB-CHURCH</t>
  </si>
  <si>
    <t xml:space="preserve">26DB-CHURCH</t>
  </si>
  <si>
    <t xml:space="preserve">POINT (-449371.617058 750265.7672)</t>
  </si>
  <si>
    <t xml:space="preserve">cwfif_national_activefires.fid--5b5096eb_19f85a2ef78_-5747</t>
  </si>
  <si>
    <t xml:space="preserve">2026_SK_26LA-GULAK</t>
  </si>
  <si>
    <t xml:space="preserve">26LA-GULAK</t>
  </si>
  <si>
    <t xml:space="preserve">POINT (-485177.028909 836671.189793)</t>
  </si>
  <si>
    <t xml:space="preserve">cwfif_national_activefires.fid--5b5096eb_19f85a2ef78_-5746</t>
  </si>
  <si>
    <t xml:space="preserve">2026_SK_26DB-NEPE</t>
  </si>
  <si>
    <t xml:space="preserve">26DB-NEPE</t>
  </si>
  <si>
    <t xml:space="preserve">POINT (-439696.449764 633843.57099)</t>
  </si>
  <si>
    <t xml:space="preserve">cwfif_national_activefires.fid--5b5096eb_19f85a2ef78_-5745</t>
  </si>
  <si>
    <t xml:space="preserve">2026_SK_26LA-SEIR01</t>
  </si>
  <si>
    <t xml:space="preserve">26LA-SEIR01</t>
  </si>
  <si>
    <t xml:space="preserve">POINT (-477410.854339 837998.037467)</t>
  </si>
  <si>
    <t xml:space="preserve">cwfif_national_activefires.fid--5b5096eb_19f85a2ef78_-5744</t>
  </si>
  <si>
    <t xml:space="preserve">2026_SK_26LA-TIKAN</t>
  </si>
  <si>
    <t xml:space="preserve">26LA-TIKAN</t>
  </si>
  <si>
    <t xml:space="preserve">POINT (-577489.199582 746020.862682)</t>
  </si>
  <si>
    <t xml:space="preserve">cwfif_national_activefires.fid--5b5096eb_19f85a2ef78_-5743</t>
  </si>
  <si>
    <t xml:space="preserve">2026_SK_26LA-ZACK</t>
  </si>
  <si>
    <t xml:space="preserve">26LA-ZACK</t>
  </si>
  <si>
    <t xml:space="preserve">POINT (-650174.137774 795854.370022)</t>
  </si>
  <si>
    <t xml:space="preserve">cwfif_national_activefires.fid--5b5096eb_19f85a2ef78_-5742</t>
  </si>
  <si>
    <t xml:space="preserve">2026_SK_26DB-MCINNIS</t>
  </si>
  <si>
    <t xml:space="preserve">26DB-MCINNIS</t>
  </si>
  <si>
    <t xml:space="preserve">POINT (-468762.791777 795867.495304)</t>
  </si>
  <si>
    <t xml:space="preserve">cwfif_national_activefires.fid--5b5096eb_19f85a2ef78_-5741</t>
  </si>
  <si>
    <t xml:space="preserve">2026_SK_26DB-COLT</t>
  </si>
  <si>
    <t xml:space="preserve">26DB-COLT</t>
  </si>
  <si>
    <t xml:space="preserve">POINT (-473395.775849 774978.144248)</t>
  </si>
  <si>
    <t xml:space="preserve">cwfif_national_activefires.fid--5b5096eb_19f85a2ef78_-5740</t>
  </si>
  <si>
    <t xml:space="preserve">2026_SK_26LA-PAUL</t>
  </si>
  <si>
    <t xml:space="preserve">26LA-PAUL</t>
  </si>
  <si>
    <t xml:space="preserve">POINT (-597561.654148 825797.426603)</t>
  </si>
  <si>
    <t xml:space="preserve">cwfif_national_activefires.fid--5b5096eb_19f85a2ef78_-573f</t>
  </si>
  <si>
    <t xml:space="preserve">2026_SK_26DB-MADDEN</t>
  </si>
  <si>
    <t xml:space="preserve">26DB-MADDEN</t>
  </si>
  <si>
    <t xml:space="preserve">POINT (-517985.75837 747378.880792)</t>
  </si>
  <si>
    <t xml:space="preserve">cwfif_national_activefires.fid--5b5096eb_19f85a2ef78_-573e</t>
  </si>
  <si>
    <t xml:space="preserve">2026_SK_26LA-MOOSE</t>
  </si>
  <si>
    <t xml:space="preserve">26LA-MOOSE</t>
  </si>
  <si>
    <t xml:space="preserve">POINT (-562587.211045 837238.869383)</t>
  </si>
  <si>
    <t xml:space="preserve">cwfif_national_activefires.fid--5b5096eb_19f85a2ef78_-573d</t>
  </si>
  <si>
    <t xml:space="preserve">2026_SK_26LA-BUDD</t>
  </si>
  <si>
    <t xml:space="preserve">26LA-BUDD</t>
  </si>
  <si>
    <t xml:space="preserve">POINT (-603236.891428 713994.026943)</t>
  </si>
  <si>
    <t xml:space="preserve">cwfif_national_activefires.fid--5b5096eb_19f85a2ef78_-573c</t>
  </si>
  <si>
    <t xml:space="preserve">2026_SK_26LA-SHARP</t>
  </si>
  <si>
    <t xml:space="preserve">26LA-SHARP</t>
  </si>
  <si>
    <t xml:space="preserve">POINT (-620802.427974 754683.170468)</t>
  </si>
  <si>
    <t xml:space="preserve">cwfif_national_activefires.fid--5b5096eb_19f85a2ef78_-573b</t>
  </si>
  <si>
    <t xml:space="preserve">2026_SK_26DB-CAMPBELL</t>
  </si>
  <si>
    <t xml:space="preserve">26DB-CAMPBELL</t>
  </si>
  <si>
    <t xml:space="preserve">POINT (-459001.712487 737242.469596)</t>
  </si>
  <si>
    <t xml:space="preserve">cwfif_national_activefires.fid--5b5096eb_19f85a2ef78_-573a</t>
  </si>
  <si>
    <t xml:space="preserve">2026_SK_26SR-PIMUTIK</t>
  </si>
  <si>
    <t xml:space="preserve">26SR-PIMUTIK</t>
  </si>
  <si>
    <t xml:space="preserve">POINT (-417745.179882 1170876.282115)</t>
  </si>
  <si>
    <t xml:space="preserve">cwfif_national_activefires.fid--5b5096eb_19f85a2ef78_-5739</t>
  </si>
  <si>
    <t xml:space="preserve">2026_SK_26LA-JANSON</t>
  </si>
  <si>
    <t xml:space="preserve">26LA-JANSON</t>
  </si>
  <si>
    <t xml:space="preserve">POINT (-568620.701459 713781.215016)</t>
  </si>
  <si>
    <t xml:space="preserve">cwfif_national_activefires.fid--5b5096eb_19f85a2ef78_-5738</t>
  </si>
  <si>
    <t xml:space="preserve">2026_SK_26SR-PHILLIPS</t>
  </si>
  <si>
    <t xml:space="preserve">26SR-PHILLIPS</t>
  </si>
  <si>
    <t xml:space="preserve">POINT (-488465.210961 1097858.703833)</t>
  </si>
  <si>
    <t xml:space="preserve">cwfif_national_activefires.fid--5b5096eb_19f85a2ef78_-5737</t>
  </si>
  <si>
    <t xml:space="preserve">2026_SK_26LA-TOEWS</t>
  </si>
  <si>
    <t xml:space="preserve">26LA-TOEWS</t>
  </si>
  <si>
    <t xml:space="preserve">POINT (-588793.330504 957746.752844)</t>
  </si>
  <si>
    <t xml:space="preserve">cwfif_national_activefires.fid--5b5096eb_19f85a2ef78_-5736</t>
  </si>
  <si>
    <t xml:space="preserve">2026_SK_26LA-RIVER</t>
  </si>
  <si>
    <t xml:space="preserve">26LA-RIVER</t>
  </si>
  <si>
    <t xml:space="preserve">POINT (-652191.663372 834663.877225)</t>
  </si>
  <si>
    <t xml:space="preserve">cwfif_national_activefires.fid--5b5096eb_19f85a2ef78_-5735</t>
  </si>
  <si>
    <t xml:space="preserve">2026_SK_26LA-WATTS</t>
  </si>
  <si>
    <t xml:space="preserve">26LA-WATTS</t>
  </si>
  <si>
    <t xml:space="preserve">POINT (-616366.28259 790221.103595)</t>
  </si>
  <si>
    <t xml:space="preserve">cwfif_national_activefires.fid--5b5096eb_19f85a2ef78_-5734</t>
  </si>
  <si>
    <t xml:space="preserve">2026_SK_26LA-STUSIAK</t>
  </si>
  <si>
    <t xml:space="preserve">26LA-STUSIAK</t>
  </si>
  <si>
    <t xml:space="preserve">POINT (-632255.365854 787084.44568)</t>
  </si>
  <si>
    <t xml:space="preserve">cwfif_national_activefires.fid--5b5096eb_19f85a2ef78_-5733</t>
  </si>
  <si>
    <t xml:space="preserve">2026_SK_26LA-HAM</t>
  </si>
  <si>
    <t xml:space="preserve">26LA-HAM</t>
  </si>
  <si>
    <t xml:space="preserve">POINT (-557454.150056 978335.018428)</t>
  </si>
  <si>
    <t xml:space="preserve">cwfif_national_activefires.fid--5b5096eb_19f85a2ef78_-5732</t>
  </si>
  <si>
    <t xml:space="preserve">2026_SK_26LA-WAPA</t>
  </si>
  <si>
    <t xml:space="preserve">26LA-WAPA</t>
  </si>
  <si>
    <t xml:space="preserve">POINT (-582347.020233 688972.829605)</t>
  </si>
  <si>
    <t xml:space="preserve">cwfif_national_activefires.fid--5b5096eb_19f85a2ef78_-5731</t>
  </si>
  <si>
    <t xml:space="preserve">2026_SK_26SR-CORSON</t>
  </si>
  <si>
    <t xml:space="preserve">26SR-CORSON</t>
  </si>
  <si>
    <t xml:space="preserve">POINT (-493355.895057 1103499.824727)</t>
  </si>
  <si>
    <t xml:space="preserve">cwfif_national_activefires.fid--5b5096eb_19f85a2ef78_-5730</t>
  </si>
  <si>
    <t xml:space="preserve">2026_SK_26LA-TAVISH</t>
  </si>
  <si>
    <t xml:space="preserve">26LA-TAVISH</t>
  </si>
  <si>
    <t xml:space="preserve">POINT (-630546.165459 805067.136755)</t>
  </si>
  <si>
    <t xml:space="preserve">cwfif_national_activefires.fid--5b5096eb_19f85a2ef78_-572f</t>
  </si>
  <si>
    <t xml:space="preserve">2026_SK_26LA-CRESWELL</t>
  </si>
  <si>
    <t xml:space="preserve">26LA-CRESWELL</t>
  </si>
  <si>
    <t xml:space="preserve">POINT (-492150.620309 870874.726434)</t>
  </si>
  <si>
    <t xml:space="preserve">cwfif_national_activefires.fid--5b5096eb_19f85a2ef78_-572e</t>
  </si>
  <si>
    <t xml:space="preserve">2026_SK_26LX-COSTIGAN</t>
  </si>
  <si>
    <t xml:space="preserve">26LX-COSTIGAN</t>
  </si>
  <si>
    <t xml:space="preserve">POINT (-654658.541388 923808.883607)</t>
  </si>
  <si>
    <t xml:space="preserve">cwfif_national_activefires.fid--5b5096eb_19f85a2ef78_-572d</t>
  </si>
  <si>
    <t xml:space="preserve">2026_SK_26DB-HILL</t>
  </si>
  <si>
    <t xml:space="preserve">26DB-HILL</t>
  </si>
  <si>
    <t xml:space="preserve">POINT (-491372.044041 791195.139063)</t>
  </si>
  <si>
    <t xml:space="preserve">cwfif_national_activefires.fid--5b5096eb_19f85a2ef78_-572c</t>
  </si>
  <si>
    <t xml:space="preserve">2026_SK_26BN-DIGBEE</t>
  </si>
  <si>
    <t xml:space="preserve">26BN-DIGBEE</t>
  </si>
  <si>
    <t xml:space="preserve">POINT (-796177.189052 970513.846972)</t>
  </si>
  <si>
    <t xml:space="preserve">cwfif_national_activefires.fid--5b5096eb_19f85a2ef78_-572b</t>
  </si>
  <si>
    <t xml:space="preserve">2026_SK_26DB-ARM</t>
  </si>
  <si>
    <t xml:space="preserve">26DB-ARM</t>
  </si>
  <si>
    <t xml:space="preserve">POINT (-520717.251662 688130.976973)</t>
  </si>
  <si>
    <t xml:space="preserve">cwfif_national_activefires.fid--5b5096eb_19f85a2ef78_-572a</t>
  </si>
  <si>
    <t xml:space="preserve">YT</t>
  </si>
  <si>
    <t xml:space="preserve">OT</t>
  </si>
  <si>
    <t xml:space="preserve">2026_YT_2026OT002</t>
  </si>
  <si>
    <t xml:space="preserve">2026OT002</t>
  </si>
  <si>
    <t xml:space="preserve">cwfif_national_activefires.fid--5b5096eb_19f85a2ef78_-5729</t>
  </si>
  <si>
    <t xml:space="preserve">2026_YT_2026OT001</t>
  </si>
  <si>
    <t xml:space="preserve">2026OT001</t>
  </si>
  <si>
    <t xml:space="preserve">POINT (-1778419.085235 1667070.272417)</t>
  </si>
  <si>
    <t xml:space="preserve">cwfif_national_activefires.fid--5b5096eb_19f85a2ef78_-5728</t>
  </si>
  <si>
    <t xml:space="preserve">2026_YT_2026OC008</t>
  </si>
  <si>
    <t xml:space="preserve">2026OC008</t>
  </si>
  <si>
    <t xml:space="preserve">POINT (-1689903.809074 2431501.962822)</t>
  </si>
  <si>
    <t xml:space="preserve">cwfif_national_activefires.fid--5b5096eb_19f85a2ef78_-5727</t>
  </si>
  <si>
    <t xml:space="preserve">2026_YT_2026OC007</t>
  </si>
  <si>
    <t xml:space="preserve">2026OC007</t>
  </si>
  <si>
    <t xml:space="preserve">POINT (-1762019.1653 2598850.441523)</t>
  </si>
  <si>
    <t xml:space="preserve">cwfif_national_activefires.fid--5b5096eb_19f85a2ef78_-5726</t>
  </si>
  <si>
    <t xml:space="preserve">DA</t>
  </si>
  <si>
    <t xml:space="preserve">2026_YT_2026DA020</t>
  </si>
  <si>
    <t xml:space="preserve">2026DA020</t>
  </si>
  <si>
    <t xml:space="preserve">POINT (-1805098.076975 2394277.663266)</t>
  </si>
  <si>
    <t xml:space="preserve">cwfif_national_activefires.fid--5b5096eb_19f85a2ef78_-5725</t>
  </si>
  <si>
    <t xml:space="preserve">2026_YT_2026OC006</t>
  </si>
  <si>
    <t xml:space="preserve">2026OC006</t>
  </si>
  <si>
    <t xml:space="preserve">POINT (-1795609.800428 2531231.343763)</t>
  </si>
  <si>
    <t xml:space="preserve">cwfif_national_activefires.fid--5b5096eb_19f85a2ef78_-5724</t>
  </si>
  <si>
    <t xml:space="preserve">MA</t>
  </si>
  <si>
    <t xml:space="preserve">2026_YT_2026MA004</t>
  </si>
  <si>
    <t xml:space="preserve">2026MA004</t>
  </si>
  <si>
    <t xml:space="preserve">POINT (-1797197.144732 2133373.439812)</t>
  </si>
  <si>
    <t xml:space="preserve">cwfif_national_activefires.fid--5b5096eb_19f85a2ef78_-5723</t>
  </si>
  <si>
    <t xml:space="preserve">2026_YT_2026DA018</t>
  </si>
  <si>
    <t xml:space="preserve">2026DA018</t>
  </si>
  <si>
    <t xml:space="preserve">POINT (-1972272.494237 2417760.061847)</t>
  </si>
  <si>
    <t xml:space="preserve">cwfif_national_activefires.fid--5b5096eb_19f85a2ef78_-5722</t>
  </si>
  <si>
    <t xml:space="preserve">2026_YT_2026DA015</t>
  </si>
  <si>
    <t xml:space="preserve">2026DA015</t>
  </si>
  <si>
    <t xml:space="preserve">POINT (-1926879.726872 2292358.954179)</t>
  </si>
  <si>
    <t xml:space="preserve">cwfif_national_activefires.fid--5b5096eb_19f85a2ef78_-5721</t>
  </si>
  <si>
    <t xml:space="preserve">2026_YT_2026MA003</t>
  </si>
  <si>
    <t xml:space="preserve">2026MA003</t>
  </si>
  <si>
    <t xml:space="preserve">POINT (-1799749.660378 2243427.801957)</t>
  </si>
  <si>
    <t xml:space="preserve">cwfif_national_activefires.fid--5b5096eb_19f85a2ef78_-5720</t>
  </si>
  <si>
    <t xml:space="preserve">XY</t>
  </si>
  <si>
    <t xml:space="preserve">2026_YT_2026XY017</t>
  </si>
  <si>
    <t xml:space="preserve">2026XY017</t>
  </si>
  <si>
    <t xml:space="preserve">POINT (-1928061.40026 1998480.705612)</t>
  </si>
  <si>
    <t xml:space="preserve">cwfif_national_activefires.fid--5b5096eb_19f85a2ef78_-571f</t>
  </si>
  <si>
    <t xml:space="preserve">2026_YT_2026OC005</t>
  </si>
  <si>
    <t xml:space="preserve">2026OC005</t>
  </si>
  <si>
    <t xml:space="preserve">POINT (-1768587.736127 2619744.796857)</t>
  </si>
  <si>
    <t xml:space="preserve">cwfif_national_activefires.fid--5b5096eb_19f85a2ef78_-571e</t>
  </si>
  <si>
    <t xml:space="preserve">2026_YT_2026DA008</t>
  </si>
  <si>
    <t xml:space="preserve">2026DA008</t>
  </si>
  <si>
    <t xml:space="preserve">POINT (-1976711.97597 2310862.677435)</t>
  </si>
  <si>
    <t xml:space="preserve">cwfif_national_activefires.fid--5b5096eb_19f85a2ef78_-571d</t>
  </si>
  <si>
    <t xml:space="preserve">2026_YT_2026DA011</t>
  </si>
  <si>
    <t xml:space="preserve">2026DA011</t>
  </si>
  <si>
    <t xml:space="preserve">POINT (-1991325.050661 2338287.282357)</t>
  </si>
  <si>
    <t xml:space="preserve">cwfif_national_activefires.fid--5b5096eb_19f85a2ef78_-571c</t>
  </si>
  <si>
    <t xml:space="preserve">2026_YT_2026DA013</t>
  </si>
  <si>
    <t xml:space="preserve">2026DA013</t>
  </si>
  <si>
    <t xml:space="preserve">POINT (-2024602.741239 2296850.690139)</t>
  </si>
  <si>
    <t xml:space="preserve">cwfif_national_activefires.fid--5b5096eb_19f85a2ef78_-571b</t>
  </si>
  <si>
    <t xml:space="preserve">2026_YT_2026OC004</t>
  </si>
  <si>
    <t xml:space="preserve">2026OC004</t>
  </si>
  <si>
    <t xml:space="preserve">POINT (-1718282.282657 2555373.987667)</t>
  </si>
  <si>
    <t xml:space="preserve">cwfif_national_activefires.fid--5b5096eb_19f85a2ef78_-571a</t>
  </si>
  <si>
    <t xml:space="preserve">2026_YT_2026DA016</t>
  </si>
  <si>
    <t xml:space="preserve">2026DA016</t>
  </si>
  <si>
    <t xml:space="preserve">POINT (-1998098.244991 2320293.566953)</t>
  </si>
  <si>
    <t xml:space="preserve">cwfif_national_activefires.fid--5b5096eb_19f85a2ef78_-5719</t>
  </si>
  <si>
    <t xml:space="preserve">2026_YT_2026DA012</t>
  </si>
  <si>
    <t xml:space="preserve">2026DA012</t>
  </si>
  <si>
    <t xml:space="preserve">POINT (-1888658.018149 2309837.906944)</t>
  </si>
  <si>
    <t xml:space="preserve">cwfif_national_activefires.fid--5b5096eb_19f85a2ef78_-5718</t>
  </si>
  <si>
    <t xml:space="preserve">2026_YT_2026OC003</t>
  </si>
  <si>
    <t xml:space="preserve">2026OC003</t>
  </si>
  <si>
    <t xml:space="preserve">POINT (-1658238.214867 2474497.373555)</t>
  </si>
  <si>
    <t xml:space="preserve">cwfif_national_activefires.fid--5b5096eb_19f85a2ef78_-5717</t>
  </si>
  <si>
    <t xml:space="preserve">2026_YT_2026OC002</t>
  </si>
  <si>
    <t xml:space="preserve">2026OC002</t>
  </si>
  <si>
    <t xml:space="preserve">POINT (-1727070.517706 2531126.384904)</t>
  </si>
  <si>
    <t xml:space="preserve">cwfif_national_activefires.fid--5b5096eb_19f85a2ef78_-5716</t>
  </si>
  <si>
    <t xml:space="preserve">2026_YT_2026OC001</t>
  </si>
  <si>
    <t xml:space="preserve">2026OC001</t>
  </si>
  <si>
    <t xml:space="preserve">POINT (-1791325.706153 2552225.416776)</t>
  </si>
  <si>
    <t xml:space="preserve">cwfif_national_activefires.fid--5b5096eb_19f85a2ef78_-5715</t>
  </si>
  <si>
    <t xml:space="preserve">2026_YT_2026XY011</t>
  </si>
  <si>
    <t xml:space="preserve">2026XY011</t>
  </si>
  <si>
    <t xml:space="preserve">POINT (-1911182.610825 1993141.115234)</t>
  </si>
  <si>
    <t xml:space="preserve">cwfif_national_activefires.fid--5b5096eb_19f85a2ef78_-5714</t>
  </si>
  <si>
    <t xml:space="preserve">HJ</t>
  </si>
  <si>
    <t xml:space="preserve">2026_YT_2026HJ001</t>
  </si>
  <si>
    <t xml:space="preserve">2026HJ001</t>
  </si>
  <si>
    <t xml:space="preserve">POINT (-2022013.484326 2052749.94086)</t>
  </si>
  <si>
    <t xml:space="preserve">Sum of fire_size</t>
  </si>
  <si>
    <t xml:space="preserve">ANOVA - Single Factor</t>
  </si>
  <si>
    <t xml:space="preserve">Alpha</t>
  </si>
  <si>
    <t xml:space="preserve">(empty)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</si>
  <si>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</si>
  <si>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</si>
  <si>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</si>
  <si>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</si>
  <si>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</si>
  <si>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Total Result</t>
  </si>
  <si>
    <t xml:space="preserve">Column 1</t>
  </si>
  <si>
    <t xml:space="preserve">Source of Variation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</si>
  <si>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</si>
  <si>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</si>
  <si>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</si>
  <si>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</si>
  <si>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</si>
  <si>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</si>
  <si>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</si>
  <si>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</si>
  <si>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Notes</t>
  </si>
  <si>
    <t xml:space="preserve">Descriptive Stats</t>
  </si>
  <si>
    <t xml:space="preserve">(units are in hectares)</t>
  </si>
  <si>
    <t xml:space="preserve">(-1 denotes the fire size for some fires is not reported)</t>
  </si>
  <si>
    <t xml:space="preserve">Median</t>
  </si>
  <si>
    <t xml:space="preserve">Standard Deviation</t>
  </si>
  <si>
    <t xml:space="preserve">Skewness</t>
  </si>
  <si>
    <t xml:space="preserve">Range</t>
  </si>
  <si>
    <t xml:space="preserve">Minimum</t>
  </si>
  <si>
    <t xml:space="preserve">Maximum</t>
  </si>
  <si>
    <t xml:space="preserve">Fire Cause Class</t>
  </si>
  <si>
    <t xml:space="preserve">Percentage</t>
  </si>
  <si>
    <t xml:space="preserve">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</si>
</sst>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Thh:mm:ss"/>
    <numFmt numFmtId="166" formatCode="yyyy\-mm\-dd\Thh:mm:ss.000"/>
    <numFmt numFmtId="167" formatCode="0.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108700"/>
        <bgColor rgb="FF339966"/>
      </patternFill>
    </fill>
    <fill>
      <patternFill patternType="solid">
        <fgColor rgb="FFB2FFA8"/>
        <bgColor rgb="FFCC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3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87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2FFA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Canada Fire Cause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0453778361148"/>
          <c:y val="0.221024558284254"/>
          <c:w val="0.416213513344584"/>
          <c:h val="0.739859984442716"/>
        </c:manualLayout>
      </c:layout>
      <c:pieChart>
        <c:varyColors val="1"/>
        <c:ser>
          <c:idx val="0"/>
          <c:order val="0"/>
          <c:tx>
            <c:strRef>
              <c:f>'pie chart'!$E$2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numFmt formatCode="0.0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numFmt formatCode="0.0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0.0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" sourceLinked="1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'pie chart'!$C$3:$C$5</c:f>
              <c:strCache>
                <c:ptCount val="3"/>
                <c:pt idx="0">
                  <c:v>N</c:v>
                </c:pt>
                <c:pt idx="1">
                  <c:v>H</c:v>
                </c:pt>
                <c:pt idx="2">
                  <c:v>U</c:v>
                </c:pt>
              </c:strCache>
            </c:strRef>
          </c:cat>
          <c:val>
            <c:numRef>
              <c:f>'pie chart'!$E$3:$E$5</c:f>
              <c:numCache>
                <c:formatCode>0.0</c:formatCode>
                <c:ptCount val="3"/>
                <c:pt idx="0">
                  <c:v>92.1171171171171</c:v>
                </c:pt>
                <c:pt idx="1">
                  <c:v>5.85585585585586</c:v>
                </c:pt>
                <c:pt idx="2">
                  <c:v>2.02702702702703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525600</xdr:colOff>
      <xdr:row>0</xdr:row>
      <xdr:rowOff>131760</xdr:rowOff>
    </xdr:from>
    <xdr:to>
      <xdr:col>12</xdr:col>
      <xdr:colOff>595440</xdr:colOff>
      <xdr:row>20</xdr:row>
      <xdr:rowOff>119880</xdr:rowOff>
    </xdr:to>
    <xdr:graphicFrame>
      <xdr:nvGraphicFramePr>
        <xdr:cNvPr id="1" name=""/>
        <xdr:cNvGraphicFramePr/>
      </xdr:nvGraphicFramePr>
      <xdr:xfrm>
        <a:off x="5547240" y="1317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89" createdVersion="3">
  <cacheSource type="worksheet">
    <worksheetSource ref="A:W" sheet="dataset"/>
  </cacheSource>
  <cacheFields count="23">
    <cacheField name="FID" numFmtId="0">
      <sharedItems containsBlank="1" count="890">
        <s v="cwfif_national_activefires.fid--5b5096eb_19f85a2ef78_-5714"/>
        <s v="cwfif_national_activefires.fid--5b5096eb_19f85a2ef78_-5715"/>
        <s v="cwfif_national_activefires.fid--5b5096eb_19f85a2ef78_-5716"/>
        <s v="cwfif_national_activefires.fid--5b5096eb_19f85a2ef78_-5717"/>
        <s v="cwfif_national_activefires.fid--5b5096eb_19f85a2ef78_-5718"/>
        <s v="cwfif_national_activefires.fid--5b5096eb_19f85a2ef78_-5719"/>
        <s v="cwfif_national_activefires.fid--5b5096eb_19f85a2ef78_-571a"/>
        <s v="cwfif_national_activefires.fid--5b5096eb_19f85a2ef78_-571b"/>
        <s v="cwfif_national_activefires.fid--5b5096eb_19f85a2ef78_-571c"/>
        <s v="cwfif_national_activefires.fid--5b5096eb_19f85a2ef78_-571d"/>
        <s v="cwfif_national_activefires.fid--5b5096eb_19f85a2ef78_-571e"/>
        <s v="cwfif_national_activefires.fid--5b5096eb_19f85a2ef78_-571f"/>
        <s v="cwfif_national_activefires.fid--5b5096eb_19f85a2ef78_-5720"/>
        <s v="cwfif_national_activefires.fid--5b5096eb_19f85a2ef78_-5721"/>
        <s v="cwfif_national_activefires.fid--5b5096eb_19f85a2ef78_-5722"/>
        <s v="cwfif_national_activefires.fid--5b5096eb_19f85a2ef78_-5723"/>
        <s v="cwfif_national_activefires.fid--5b5096eb_19f85a2ef78_-5724"/>
        <s v="cwfif_national_activefires.fid--5b5096eb_19f85a2ef78_-5725"/>
        <s v="cwfif_national_activefires.fid--5b5096eb_19f85a2ef78_-5726"/>
        <s v="cwfif_national_activefires.fid--5b5096eb_19f85a2ef78_-5727"/>
        <s v="cwfif_national_activefires.fid--5b5096eb_19f85a2ef78_-5728"/>
        <s v="cwfif_national_activefires.fid--5b5096eb_19f85a2ef78_-5729"/>
        <s v="cwfif_national_activefires.fid--5b5096eb_19f85a2ef78_-572a"/>
        <s v="cwfif_national_activefires.fid--5b5096eb_19f85a2ef78_-572b"/>
        <s v="cwfif_national_activefires.fid--5b5096eb_19f85a2ef78_-572c"/>
        <s v="cwfif_national_activefires.fid--5b5096eb_19f85a2ef78_-572d"/>
        <s v="cwfif_national_activefires.fid--5b5096eb_19f85a2ef78_-572e"/>
        <s v="cwfif_national_activefires.fid--5b5096eb_19f85a2ef78_-572f"/>
        <s v="cwfif_national_activefires.fid--5b5096eb_19f85a2ef78_-5730"/>
        <s v="cwfif_national_activefires.fid--5b5096eb_19f85a2ef78_-5731"/>
        <s v="cwfif_national_activefires.fid--5b5096eb_19f85a2ef78_-5732"/>
        <s v="cwfif_national_activefires.fid--5b5096eb_19f85a2ef78_-5733"/>
        <s v="cwfif_national_activefires.fid--5b5096eb_19f85a2ef78_-5734"/>
        <s v="cwfif_national_activefires.fid--5b5096eb_19f85a2ef78_-5735"/>
        <s v="cwfif_national_activefires.fid--5b5096eb_19f85a2ef78_-5736"/>
        <s v="cwfif_national_activefires.fid--5b5096eb_19f85a2ef78_-5737"/>
        <s v="cwfif_national_activefires.fid--5b5096eb_19f85a2ef78_-5738"/>
        <s v="cwfif_national_activefires.fid--5b5096eb_19f85a2ef78_-5739"/>
        <s v="cwfif_national_activefires.fid--5b5096eb_19f85a2ef78_-573a"/>
        <s v="cwfif_national_activefires.fid--5b5096eb_19f85a2ef78_-573b"/>
        <s v="cwfif_national_activefires.fid--5b5096eb_19f85a2ef78_-573c"/>
        <s v="cwfif_national_activefires.fid--5b5096eb_19f85a2ef78_-573d"/>
        <s v="cwfif_national_activefires.fid--5b5096eb_19f85a2ef78_-573e"/>
        <s v="cwfif_national_activefires.fid--5b5096eb_19f85a2ef78_-573f"/>
        <s v="cwfif_national_activefires.fid--5b5096eb_19f85a2ef78_-5740"/>
        <s v="cwfif_national_activefires.fid--5b5096eb_19f85a2ef78_-5741"/>
        <s v="cwfif_national_activefires.fid--5b5096eb_19f85a2ef78_-5742"/>
        <s v="cwfif_national_activefires.fid--5b5096eb_19f85a2ef78_-5743"/>
        <s v="cwfif_national_activefires.fid--5b5096eb_19f85a2ef78_-5744"/>
        <s v="cwfif_national_activefires.fid--5b5096eb_19f85a2ef78_-5745"/>
        <s v="cwfif_national_activefires.fid--5b5096eb_19f85a2ef78_-5746"/>
        <s v="cwfif_national_activefires.fid--5b5096eb_19f85a2ef78_-5747"/>
        <s v="cwfif_national_activefires.fid--5b5096eb_19f85a2ef78_-5748"/>
        <s v="cwfif_national_activefires.fid--5b5096eb_19f85a2ef78_-5749"/>
        <s v="cwfif_national_activefires.fid--5b5096eb_19f85a2ef78_-574a"/>
        <s v="cwfif_national_activefires.fid--5b5096eb_19f85a2ef78_-574b"/>
        <s v="cwfif_national_activefires.fid--5b5096eb_19f85a2ef78_-574c"/>
        <s v="cwfif_national_activefires.fid--5b5096eb_19f85a2ef78_-574d"/>
        <s v="cwfif_national_activefires.fid--5b5096eb_19f85a2ef78_-574e"/>
        <s v="cwfif_national_activefires.fid--5b5096eb_19f85a2ef78_-574f"/>
        <s v="cwfif_national_activefires.fid--5b5096eb_19f85a2ef78_-5750"/>
        <s v="cwfif_national_activefires.fid--5b5096eb_19f85a2ef78_-5751"/>
        <s v="cwfif_national_activefires.fid--5b5096eb_19f85a2ef78_-5752"/>
        <s v="cwfif_national_activefires.fid--5b5096eb_19f85a2ef78_-5753"/>
        <s v="cwfif_national_activefires.fid--5b5096eb_19f85a2ef78_-5754"/>
        <s v="cwfif_national_activefires.fid--5b5096eb_19f85a2ef78_-5755"/>
        <s v="cwfif_national_activefires.fid--5b5096eb_19f85a2ef78_-5756"/>
        <s v="cwfif_national_activefires.fid--5b5096eb_19f85a2ef78_-5757"/>
        <s v="cwfif_national_activefires.fid--5b5096eb_19f85a2ef78_-5758"/>
        <s v="cwfif_national_activefires.fid--5b5096eb_19f85a2ef78_-5759"/>
        <s v="cwfif_national_activefires.fid--5b5096eb_19f85a2ef78_-575a"/>
        <s v="cwfif_national_activefires.fid--5b5096eb_19f85a2ef78_-575b"/>
        <s v="cwfif_national_activefires.fid--5b5096eb_19f85a2ef78_-575c"/>
        <s v="cwfif_national_activefires.fid--5b5096eb_19f85a2ef78_-575d"/>
        <s v="cwfif_national_activefires.fid--5b5096eb_19f85a2ef78_-575e"/>
        <s v="cwfif_national_activefires.fid--5b5096eb_19f85a2ef78_-575f"/>
        <s v="cwfif_national_activefires.fid--5b5096eb_19f85a2ef78_-5760"/>
        <s v="cwfif_national_activefires.fid--5b5096eb_19f85a2ef78_-5761"/>
        <s v="cwfif_national_activefires.fid--5b5096eb_19f85a2ef78_-5762"/>
        <s v="cwfif_national_activefires.fid--5b5096eb_19f85a2ef78_-5763"/>
        <s v="cwfif_national_activefires.fid--5b5096eb_19f85a2ef78_-5764"/>
        <s v="cwfif_national_activefires.fid--5b5096eb_19f85a2ef78_-5765"/>
        <s v="cwfif_national_activefires.fid--5b5096eb_19f85a2ef78_-5766"/>
        <s v="cwfif_national_activefires.fid--5b5096eb_19f85a2ef78_-5767"/>
        <s v="cwfif_national_activefires.fid--5b5096eb_19f85a2ef78_-5768"/>
        <s v="cwfif_national_activefires.fid--5b5096eb_19f85a2ef78_-5769"/>
        <s v="cwfif_national_activefires.fid--5b5096eb_19f85a2ef78_-576a"/>
        <s v="cwfif_national_activefires.fid--5b5096eb_19f85a2ef78_-576b"/>
        <s v="cwfif_national_activefires.fid--5b5096eb_19f85a2ef78_-576c"/>
        <s v="cwfif_national_activefires.fid--5b5096eb_19f85a2ef78_-576d"/>
        <s v="cwfif_national_activefires.fid--5b5096eb_19f85a2ef78_-576e"/>
        <s v="cwfif_national_activefires.fid--5b5096eb_19f85a2ef78_-576f"/>
        <s v="cwfif_national_activefires.fid--5b5096eb_19f85a2ef78_-5770"/>
        <s v="cwfif_national_activefires.fid--5b5096eb_19f85a2ef78_-5771"/>
        <s v="cwfif_national_activefires.fid--5b5096eb_19f85a2ef78_-5772"/>
        <s v="cwfif_national_activefires.fid--5b5096eb_19f85a2ef78_-5773"/>
        <s v="cwfif_national_activefires.fid--5b5096eb_19f85a2ef78_-5774"/>
        <s v="cwfif_national_activefires.fid--5b5096eb_19f85a2ef78_-5775"/>
        <s v="cwfif_national_activefires.fid--5b5096eb_19f85a2ef78_-5776"/>
        <s v="cwfif_national_activefires.fid--5b5096eb_19f85a2ef78_-5777"/>
        <s v="cwfif_national_activefires.fid--5b5096eb_19f85a2ef78_-5778"/>
        <s v="cwfif_national_activefires.fid--5b5096eb_19f85a2ef78_-5779"/>
        <s v="cwfif_national_activefires.fid--5b5096eb_19f85a2ef78_-577a"/>
        <s v="cwfif_national_activefires.fid--5b5096eb_19f85a2ef78_-577b"/>
        <s v="cwfif_national_activefires.fid--5b5096eb_19f85a2ef78_-577c"/>
        <s v="cwfif_national_activefires.fid--5b5096eb_19f85a2ef78_-577d"/>
        <s v="cwfif_national_activefires.fid--5b5096eb_19f85a2ef78_-577e"/>
        <s v="cwfif_national_activefires.fid--5b5096eb_19f85a2ef78_-577f"/>
        <s v="cwfif_national_activefires.fid--5b5096eb_19f85a2ef78_-5780"/>
        <s v="cwfif_national_activefires.fid--5b5096eb_19f85a2ef78_-5781"/>
        <s v="cwfif_national_activefires.fid--5b5096eb_19f85a2ef78_-5782"/>
        <s v="cwfif_national_activefires.fid--5b5096eb_19f85a2ef78_-5783"/>
        <s v="cwfif_national_activefires.fid--5b5096eb_19f85a2ef78_-5784"/>
        <s v="cwfif_national_activefires.fid--5b5096eb_19f85a2ef78_-5785"/>
        <s v="cwfif_national_activefires.fid--5b5096eb_19f85a2ef78_-5786"/>
        <s v="cwfif_national_activefires.fid--5b5096eb_19f85a2ef78_-5787"/>
        <s v="cwfif_national_activefires.fid--5b5096eb_19f85a2ef78_-5788"/>
        <s v="cwfif_national_activefires.fid--5b5096eb_19f85a2ef78_-5789"/>
        <s v="cwfif_national_activefires.fid--5b5096eb_19f85a2ef78_-578a"/>
        <s v="cwfif_national_activefires.fid--5b5096eb_19f85a2ef78_-578b"/>
        <s v="cwfif_national_activefires.fid--5b5096eb_19f85a2ef78_-578c"/>
        <s v="cwfif_national_activefires.fid--5b5096eb_19f85a2ef78_-578d"/>
        <s v="cwfif_national_activefires.fid--5b5096eb_19f85a2ef78_-578e"/>
        <s v="cwfif_national_activefires.fid--5b5096eb_19f85a2ef78_-578f"/>
        <s v="cwfif_national_activefires.fid--5b5096eb_19f85a2ef78_-5790"/>
        <s v="cwfif_national_activefires.fid--5b5096eb_19f85a2ef78_-5791"/>
        <s v="cwfif_national_activefires.fid--5b5096eb_19f85a2ef78_-5792"/>
        <s v="cwfif_national_activefires.fid--5b5096eb_19f85a2ef78_-5793"/>
        <s v="cwfif_national_activefires.fid--5b5096eb_19f85a2ef78_-5794"/>
        <s v="cwfif_national_activefires.fid--5b5096eb_19f85a2ef78_-5795"/>
        <s v="cwfif_national_activefires.fid--5b5096eb_19f85a2ef78_-5796"/>
        <s v="cwfif_national_activefires.fid--5b5096eb_19f85a2ef78_-5797"/>
        <s v="cwfif_national_activefires.fid--5b5096eb_19f85a2ef78_-5798"/>
        <s v="cwfif_national_activefires.fid--5b5096eb_19f85a2ef78_-5799"/>
        <s v="cwfif_national_activefires.fid--5b5096eb_19f85a2ef78_-579a"/>
        <s v="cwfif_national_activefires.fid--5b5096eb_19f85a2ef78_-579b"/>
        <s v="cwfif_national_activefires.fid--5b5096eb_19f85a2ef78_-579c"/>
        <s v="cwfif_national_activefires.fid--5b5096eb_19f85a2ef78_-579d"/>
        <s v="cwfif_national_activefires.fid--5b5096eb_19f85a2ef78_-579e"/>
        <s v="cwfif_national_activefires.fid--5b5096eb_19f85a2ef78_-579f"/>
        <s v="cwfif_national_activefires.fid--5b5096eb_19f85a2ef78_-57a0"/>
        <s v="cwfif_national_activefires.fid--5b5096eb_19f85a2ef78_-57a1"/>
        <s v="cwfif_national_activefires.fid--5b5096eb_19f85a2ef78_-57a2"/>
        <s v="cwfif_national_activefires.fid--5b5096eb_19f85a2ef78_-57a3"/>
        <s v="cwfif_national_activefires.fid--5b5096eb_19f85a2ef78_-57a4"/>
        <s v="cwfif_national_activefires.fid--5b5096eb_19f85a2ef78_-57a5"/>
        <s v="cwfif_national_activefires.fid--5b5096eb_19f85a2ef78_-57a6"/>
        <s v="cwfif_national_activefires.fid--5b5096eb_19f85a2ef78_-57a7"/>
        <s v="cwfif_national_activefires.fid--5b5096eb_19f85a2ef78_-57a8"/>
        <s v="cwfif_national_activefires.fid--5b5096eb_19f85a2ef78_-57a9"/>
        <s v="cwfif_national_activefires.fid--5b5096eb_19f85a2ef78_-57aa"/>
        <s v="cwfif_national_activefires.fid--5b5096eb_19f85a2ef78_-57ab"/>
        <s v="cwfif_national_activefires.fid--5b5096eb_19f85a2ef78_-57ac"/>
        <s v="cwfif_national_activefires.fid--5b5096eb_19f85a2ef78_-57ad"/>
        <s v="cwfif_national_activefires.fid--5b5096eb_19f85a2ef78_-57ae"/>
        <s v="cwfif_national_activefires.fid--5b5096eb_19f85a2ef78_-57af"/>
        <s v="cwfif_national_activefires.fid--5b5096eb_19f85a2ef78_-57b0"/>
        <s v="cwfif_national_activefires.fid--5b5096eb_19f85a2ef78_-57b1"/>
        <s v="cwfif_national_activefires.fid--5b5096eb_19f85a2ef78_-57b2"/>
        <s v="cwfif_national_activefires.fid--5b5096eb_19f85a2ef78_-57b3"/>
        <s v="cwfif_national_activefires.fid--5b5096eb_19f85a2ef78_-57b4"/>
        <s v="cwfif_national_activefires.fid--5b5096eb_19f85a2ef78_-57b5"/>
        <s v="cwfif_national_activefires.fid--5b5096eb_19f85a2ef78_-57b6"/>
        <s v="cwfif_national_activefires.fid--5b5096eb_19f85a2ef78_-57b7"/>
        <s v="cwfif_national_activefires.fid--5b5096eb_19f85a2ef78_-57b8"/>
        <s v="cwfif_national_activefires.fid--5b5096eb_19f85a2ef78_-57b9"/>
        <s v="cwfif_national_activefires.fid--5b5096eb_19f85a2ef78_-57ba"/>
        <s v="cwfif_national_activefires.fid--5b5096eb_19f85a2ef78_-57bb"/>
        <s v="cwfif_national_activefires.fid--5b5096eb_19f85a2ef78_-57bc"/>
        <s v="cwfif_national_activefires.fid--5b5096eb_19f85a2ef78_-57bd"/>
        <s v="cwfif_national_activefires.fid--5b5096eb_19f85a2ef78_-57be"/>
        <s v="cwfif_national_activefires.fid--5b5096eb_19f85a2ef78_-57bf"/>
        <s v="cwfif_national_activefires.fid--5b5096eb_19f85a2ef78_-57c0"/>
        <s v="cwfif_national_activefires.fid--5b5096eb_19f85a2ef78_-57c1"/>
        <s v="cwfif_national_activefires.fid--5b5096eb_19f85a2ef78_-57c2"/>
        <s v="cwfif_national_activefires.fid--5b5096eb_19f85a2ef78_-57c3"/>
        <s v="cwfif_national_activefires.fid--5b5096eb_19f85a2ef78_-57c4"/>
        <s v="cwfif_national_activefires.fid--5b5096eb_19f85a2ef78_-57c5"/>
        <s v="cwfif_national_activefires.fid--5b5096eb_19f85a2ef78_-57c6"/>
        <s v="cwfif_national_activefires.fid--5b5096eb_19f85a2ef78_-57c7"/>
        <s v="cwfif_national_activefires.fid--5b5096eb_19f85a2ef78_-57c8"/>
        <s v="cwfif_national_activefires.fid--5b5096eb_19f85a2ef78_-57c9"/>
        <s v="cwfif_national_activefires.fid--5b5096eb_19f85a2ef78_-57ca"/>
        <s v="cwfif_national_activefires.fid--5b5096eb_19f85a2ef78_-57cb"/>
        <s v="cwfif_national_activefires.fid--5b5096eb_19f85a2ef78_-57cc"/>
        <s v="cwfif_national_activefires.fid--5b5096eb_19f85a2ef78_-57cd"/>
        <s v="cwfif_national_activefires.fid--5b5096eb_19f85a2ef78_-57ce"/>
        <s v="cwfif_national_activefires.fid--5b5096eb_19f85a2ef78_-57cf"/>
        <s v="cwfif_national_activefires.fid--5b5096eb_19f85a2ef78_-57d0"/>
        <s v="cwfif_national_activefires.fid--5b5096eb_19f85a2ef78_-57d1"/>
        <s v="cwfif_national_activefires.fid--5b5096eb_19f85a2ef78_-57d2"/>
        <s v="cwfif_national_activefires.fid--5b5096eb_19f85a2ef78_-57d3"/>
        <s v="cwfif_national_activefires.fid--5b5096eb_19f85a2ef78_-57d4"/>
        <s v="cwfif_national_activefires.fid--5b5096eb_19f85a2ef78_-57d5"/>
        <s v="cwfif_national_activefires.fid--5b5096eb_19f85a2ef78_-57d6"/>
        <s v="cwfif_national_activefires.fid--5b5096eb_19f85a2ef78_-57d7"/>
        <s v="cwfif_national_activefires.fid--5b5096eb_19f85a2ef78_-57d8"/>
        <s v="cwfif_national_activefires.fid--5b5096eb_19f85a2ef78_-57d9"/>
        <s v="cwfif_national_activefires.fid--5b5096eb_19f85a2ef78_-57da"/>
        <s v="cwfif_national_activefires.fid--5b5096eb_19f85a2ef78_-57db"/>
        <s v="cwfif_national_activefires.fid--5b5096eb_19f85a2ef78_-57dc"/>
        <s v="cwfif_national_activefires.fid--5b5096eb_19f85a2ef78_-57dd"/>
        <s v="cwfif_national_activefires.fid--5b5096eb_19f85a2ef78_-57de"/>
        <s v="cwfif_national_activefires.fid--5b5096eb_19f85a2ef78_-57df"/>
        <s v="cwfif_national_activefires.fid--5b5096eb_19f85a2ef78_-57e0"/>
        <s v="cwfif_national_activefires.fid--5b5096eb_19f85a2ef78_-57e1"/>
        <s v="cwfif_national_activefires.fid--5b5096eb_19f85a2ef78_-57e2"/>
        <s v="cwfif_national_activefires.fid--5b5096eb_19f85a2ef78_-57e3"/>
        <s v="cwfif_national_activefires.fid--5b5096eb_19f85a2ef78_-57e4"/>
        <s v="cwfif_national_activefires.fid--5b5096eb_19f85a2ef78_-57e5"/>
        <s v="cwfif_national_activefires.fid--5b5096eb_19f85a2ef78_-57e6"/>
        <s v="cwfif_national_activefires.fid--5b5096eb_19f85a2ef78_-57e7"/>
        <s v="cwfif_national_activefires.fid--5b5096eb_19f85a2ef78_-57e8"/>
        <s v="cwfif_national_activefires.fid--5b5096eb_19f85a2ef78_-57e9"/>
        <s v="cwfif_national_activefires.fid--5b5096eb_19f85a2ef78_-57ea"/>
        <s v="cwfif_national_activefires.fid--5b5096eb_19f85a2ef78_-57eb"/>
        <s v="cwfif_national_activefires.fid--5b5096eb_19f85a2ef78_-57ec"/>
        <s v="cwfif_national_activefires.fid--5b5096eb_19f85a2ef78_-57ed"/>
        <s v="cwfif_national_activefires.fid--5b5096eb_19f85a2ef78_-57ee"/>
        <s v="cwfif_national_activefires.fid--5b5096eb_19f85a2ef78_-57ef"/>
        <s v="cwfif_national_activefires.fid--5b5096eb_19f85a2ef78_-57f0"/>
        <s v="cwfif_national_activefires.fid--5b5096eb_19f85a2ef78_-57f1"/>
        <s v="cwfif_national_activefires.fid--5b5096eb_19f85a2ef78_-57f2"/>
        <s v="cwfif_national_activefires.fid--5b5096eb_19f85a2ef78_-57f3"/>
        <s v="cwfif_national_activefires.fid--5b5096eb_19f85a2ef78_-57f4"/>
        <s v="cwfif_national_activefires.fid--5b5096eb_19f85a2ef78_-57f5"/>
        <s v="cwfif_national_activefires.fid--5b5096eb_19f85a2ef78_-57f6"/>
        <s v="cwfif_national_activefires.fid--5b5096eb_19f85a2ef78_-57f7"/>
        <s v="cwfif_national_activefires.fid--5b5096eb_19f85a2ef78_-57f8"/>
        <s v="cwfif_national_activefires.fid--5b5096eb_19f85a2ef78_-57f9"/>
        <s v="cwfif_national_activefires.fid--5b5096eb_19f85a2ef78_-57fa"/>
        <s v="cwfif_national_activefires.fid--5b5096eb_19f85a2ef78_-57fb"/>
        <s v="cwfif_national_activefires.fid--5b5096eb_19f85a2ef78_-57fc"/>
        <s v="cwfif_national_activefires.fid--5b5096eb_19f85a2ef78_-57fd"/>
        <s v="cwfif_national_activefires.fid--5b5096eb_19f85a2ef78_-57fe"/>
        <s v="cwfif_national_activefires.fid--5b5096eb_19f85a2ef78_-57ff"/>
        <s v="cwfif_national_activefires.fid--5b5096eb_19f85a2ef78_-5800"/>
        <s v="cwfif_national_activefires.fid--5b5096eb_19f85a2ef78_-5801"/>
        <s v="cwfif_national_activefires.fid--5b5096eb_19f85a2ef78_-5802"/>
        <s v="cwfif_national_activefires.fid--5b5096eb_19f85a2ef78_-5803"/>
        <s v="cwfif_national_activefires.fid--5b5096eb_19f85a2ef78_-5804"/>
        <s v="cwfif_national_activefires.fid--5b5096eb_19f85a2ef78_-5805"/>
        <s v="cwfif_national_activefires.fid--5b5096eb_19f85a2ef78_-5806"/>
        <s v="cwfif_national_activefires.fid--5b5096eb_19f85a2ef78_-5807"/>
        <s v="cwfif_national_activefires.fid--5b5096eb_19f85a2ef78_-5808"/>
        <s v="cwfif_national_activefires.fid--5b5096eb_19f85a2ef78_-5809"/>
        <s v="cwfif_national_activefires.fid--5b5096eb_19f85a2ef78_-580a"/>
        <s v="cwfif_national_activefires.fid--5b5096eb_19f85a2ef78_-580b"/>
        <s v="cwfif_national_activefires.fid--5b5096eb_19f85a2ef78_-580c"/>
        <s v="cwfif_national_activefires.fid--5b5096eb_19f85a2ef78_-580d"/>
        <s v="cwfif_national_activefires.fid--5b5096eb_19f85a2ef78_-580e"/>
        <s v="cwfif_national_activefires.fid--5b5096eb_19f85a2ef78_-580f"/>
        <s v="cwfif_national_activefires.fid--5b5096eb_19f85a2ef78_-5810"/>
        <s v="cwfif_national_activefires.fid--5b5096eb_19f85a2ef78_-5811"/>
        <s v="cwfif_national_activefires.fid--5b5096eb_19f85a2ef78_-5812"/>
        <s v="cwfif_national_activefires.fid--5b5096eb_19f85a2ef78_-5813"/>
        <s v="cwfif_national_activefires.fid--5b5096eb_19f85a2ef78_-5814"/>
        <s v="cwfif_national_activefires.fid--5b5096eb_19f85a2ef78_-5815"/>
        <s v="cwfif_national_activefires.fid--5b5096eb_19f85a2ef78_-5816"/>
        <s v="cwfif_national_activefires.fid--5b5096eb_19f85a2ef78_-5817"/>
        <s v="cwfif_national_activefires.fid--5b5096eb_19f85a2ef78_-5818"/>
        <s v="cwfif_national_activefires.fid--5b5096eb_19f85a2ef78_-5819"/>
        <s v="cwfif_national_activefires.fid--5b5096eb_19f85a2ef78_-581a"/>
        <s v="cwfif_national_activefires.fid--5b5096eb_19f85a2ef78_-581b"/>
        <s v="cwfif_national_activefires.fid--5b5096eb_19f85a2ef78_-581c"/>
        <s v="cwfif_national_activefires.fid--5b5096eb_19f85a2ef78_-581d"/>
        <s v="cwfif_national_activefires.fid--5b5096eb_19f85a2ef78_-581e"/>
        <s v="cwfif_national_activefires.fid--5b5096eb_19f85a2ef78_-581f"/>
        <s v="cwfif_national_activefires.fid--5b5096eb_19f85a2ef78_-5820"/>
        <s v="cwfif_national_activefires.fid--5b5096eb_19f85a2ef78_-5821"/>
        <s v="cwfif_national_activefires.fid--5b5096eb_19f85a2ef78_-5822"/>
        <s v="cwfif_national_activefires.fid--5b5096eb_19f85a2ef78_-5823"/>
        <s v="cwfif_national_activefires.fid--5b5096eb_19f85a2ef78_-5824"/>
        <s v="cwfif_national_activefires.fid--5b5096eb_19f85a2ef78_-5825"/>
        <s v="cwfif_national_activefires.fid--5b5096eb_19f85a2ef78_-5826"/>
        <s v="cwfif_national_activefires.fid--5b5096eb_19f85a2ef78_-5827"/>
        <s v="cwfif_national_activefires.fid--5b5096eb_19f85a2ef78_-5828"/>
        <s v="cwfif_national_activefires.fid--5b5096eb_19f85a2ef78_-5829"/>
        <s v="cwfif_national_activefires.fid--5b5096eb_19f85a2ef78_-582a"/>
        <s v="cwfif_national_activefires.fid--5b5096eb_19f85a2ef78_-582b"/>
        <s v="cwfif_national_activefires.fid--5b5096eb_19f85a2ef78_-582c"/>
        <s v="cwfif_national_activefires.fid--5b5096eb_19f85a2ef78_-582d"/>
        <s v="cwfif_national_activefires.fid--5b5096eb_19f85a2ef78_-582e"/>
        <s v="cwfif_national_activefires.fid--5b5096eb_19f85a2ef78_-582f"/>
        <s v="cwfif_national_activefires.fid--5b5096eb_19f85a2ef78_-5830"/>
        <s v="cwfif_national_activefires.fid--5b5096eb_19f85a2ef78_-5831"/>
        <s v="cwfif_national_activefires.fid--5b5096eb_19f85a2ef78_-5832"/>
        <s v="cwfif_national_activefires.fid--5b5096eb_19f85a2ef78_-5833"/>
        <s v="cwfif_national_activefires.fid--5b5096eb_19f85a2ef78_-5834"/>
        <s v="cwfif_national_activefires.fid--5b5096eb_19f85a2ef78_-5835"/>
        <s v="cwfif_national_activefires.fid--5b5096eb_19f85a2ef78_-5836"/>
        <s v="cwfif_national_activefires.fid--5b5096eb_19f85a2ef78_-5837"/>
        <s v="cwfif_national_activefires.fid--5b5096eb_19f85a2ef78_-5838"/>
        <s v="cwfif_national_activefires.fid--5b5096eb_19f85a2ef78_-5839"/>
        <s v="cwfif_national_activefires.fid--5b5096eb_19f85a2ef78_-583a"/>
        <s v="cwfif_national_activefires.fid--5b5096eb_19f85a2ef78_-583b"/>
        <s v="cwfif_national_activefires.fid--5b5096eb_19f85a2ef78_-583c"/>
        <s v="cwfif_national_activefires.fid--5b5096eb_19f85a2ef78_-583d"/>
        <s v="cwfif_national_activefires.fid--5b5096eb_19f85a2ef78_-583e"/>
        <s v="cwfif_national_activefires.fid--5b5096eb_19f85a2ef78_-583f"/>
        <s v="cwfif_national_activefires.fid--5b5096eb_19f85a2ef78_-5840"/>
        <s v="cwfif_national_activefires.fid--5b5096eb_19f85a2ef78_-5841"/>
        <s v="cwfif_national_activefires.fid--5b5096eb_19f85a2ef78_-5842"/>
        <s v="cwfif_national_activefires.fid--5b5096eb_19f85a2ef78_-5843"/>
        <s v="cwfif_national_activefires.fid--5b5096eb_19f85a2ef78_-5844"/>
        <s v="cwfif_national_activefires.fid--5b5096eb_19f85a2ef78_-5845"/>
        <s v="cwfif_national_activefires.fid--5b5096eb_19f85a2ef78_-5846"/>
        <s v="cwfif_national_activefires.fid--5b5096eb_19f85a2ef78_-5847"/>
        <s v="cwfif_national_activefires.fid--5b5096eb_19f85a2ef78_-5848"/>
        <s v="cwfif_national_activefires.fid--5b5096eb_19f85a2ef78_-5849"/>
        <s v="cwfif_national_activefires.fid--5b5096eb_19f85a2ef78_-584a"/>
        <s v="cwfif_national_activefires.fid--5b5096eb_19f85a2ef78_-584b"/>
        <s v="cwfif_national_activefires.fid--5b5096eb_19f85a2ef78_-584c"/>
        <s v="cwfif_national_activefires.fid--5b5096eb_19f85a2ef78_-584d"/>
        <s v="cwfif_national_activefires.fid--5b5096eb_19f85a2ef78_-584e"/>
        <s v="cwfif_national_activefires.fid--5b5096eb_19f85a2ef78_-584f"/>
        <s v="cwfif_national_activefires.fid--5b5096eb_19f85a2ef78_-5850"/>
        <s v="cwfif_national_activefires.fid--5b5096eb_19f85a2ef78_-5851"/>
        <s v="cwfif_national_activefires.fid--5b5096eb_19f85a2ef78_-5852"/>
        <s v="cwfif_national_activefires.fid--5b5096eb_19f85a2ef78_-5853"/>
        <s v="cwfif_national_activefires.fid--5b5096eb_19f85a2ef78_-5854"/>
        <s v="cwfif_national_activefires.fid--5b5096eb_19f85a2ef78_-5855"/>
        <s v="cwfif_national_activefires.fid--5b5096eb_19f85a2ef78_-5856"/>
        <s v="cwfif_national_activefires.fid--5b5096eb_19f85a2ef78_-5857"/>
        <s v="cwfif_national_activefires.fid--5b5096eb_19f85a2ef78_-5858"/>
        <s v="cwfif_national_activefires.fid--5b5096eb_19f85a2ef78_-5859"/>
        <s v="cwfif_national_activefires.fid--5b5096eb_19f85a2ef78_-585a"/>
        <s v="cwfif_national_activefires.fid--5b5096eb_19f85a2ef78_-585b"/>
        <s v="cwfif_national_activefires.fid--5b5096eb_19f85a2ef78_-585c"/>
        <s v="cwfif_national_activefires.fid--5b5096eb_19f85a2ef78_-585d"/>
        <s v="cwfif_national_activefires.fid--5b5096eb_19f85a2ef78_-585e"/>
        <s v="cwfif_national_activefires.fid--5b5096eb_19f85a2ef78_-585f"/>
        <s v="cwfif_national_activefires.fid--5b5096eb_19f85a2ef78_-5860"/>
        <s v="cwfif_national_activefires.fid--5b5096eb_19f85a2ef78_-5861"/>
        <s v="cwfif_national_activefires.fid--5b5096eb_19f85a2ef78_-5862"/>
        <s v="cwfif_national_activefires.fid--5b5096eb_19f85a2ef78_-5863"/>
        <s v="cwfif_national_activefires.fid--5b5096eb_19f85a2ef78_-5864"/>
        <s v="cwfif_national_activefires.fid--5b5096eb_19f85a2ef78_-5865"/>
        <s v="cwfif_national_activefires.fid--5b5096eb_19f85a2ef78_-5866"/>
        <s v="cwfif_national_activefires.fid--5b5096eb_19f85a2ef78_-5867"/>
        <s v="cwfif_national_activefires.fid--5b5096eb_19f85a2ef78_-5868"/>
        <s v="cwfif_national_activefires.fid--5b5096eb_19f85a2ef78_-5869"/>
        <s v="cwfif_national_activefires.fid--5b5096eb_19f85a2ef78_-586a"/>
        <s v="cwfif_national_activefires.fid--5b5096eb_19f85a2ef78_-586b"/>
        <s v="cwfif_national_activefires.fid--5b5096eb_19f85a2ef78_-586c"/>
        <s v="cwfif_national_activefires.fid--5b5096eb_19f85a2ef78_-586d"/>
        <s v="cwfif_national_activefires.fid--5b5096eb_19f85a2ef78_-586e"/>
        <s v="cwfif_national_activefires.fid--5b5096eb_19f85a2ef78_-586f"/>
        <s v="cwfif_national_activefires.fid--5b5096eb_19f85a2ef78_-5870"/>
        <s v="cwfif_national_activefires.fid--5b5096eb_19f85a2ef78_-5871"/>
        <s v="cwfif_national_activefires.fid--5b5096eb_19f85a2ef78_-5872"/>
        <s v="cwfif_national_activefires.fid--5b5096eb_19f85a2ef78_-5873"/>
        <s v="cwfif_national_activefires.fid--5b5096eb_19f85a2ef78_-5874"/>
        <s v="cwfif_national_activefires.fid--5b5096eb_19f85a2ef78_-5875"/>
        <s v="cwfif_national_activefires.fid--5b5096eb_19f85a2ef78_-5876"/>
        <s v="cwfif_national_activefires.fid--5b5096eb_19f85a2ef78_-5877"/>
        <s v="cwfif_national_activefires.fid--5b5096eb_19f85a2ef78_-5878"/>
        <s v="cwfif_national_activefires.fid--5b5096eb_19f85a2ef78_-5879"/>
        <s v="cwfif_national_activefires.fid--5b5096eb_19f85a2ef78_-587a"/>
        <s v="cwfif_national_activefires.fid--5b5096eb_19f85a2ef78_-587b"/>
        <s v="cwfif_national_activefires.fid--5b5096eb_19f85a2ef78_-587c"/>
        <s v="cwfif_national_activefires.fid--5b5096eb_19f85a2ef78_-587d"/>
        <s v="cwfif_national_activefires.fid--5b5096eb_19f85a2ef78_-587e"/>
        <s v="cwfif_national_activefires.fid--5b5096eb_19f85a2ef78_-587f"/>
        <s v="cwfif_national_activefires.fid--5b5096eb_19f85a2ef78_-5880"/>
        <s v="cwfif_national_activefires.fid--5b5096eb_19f85a2ef78_-5881"/>
        <s v="cwfif_national_activefires.fid--5b5096eb_19f85a2ef78_-5882"/>
        <s v="cwfif_national_activefires.fid--5b5096eb_19f85a2ef78_-5883"/>
        <s v="cwfif_national_activefires.fid--5b5096eb_19f85a2ef78_-5884"/>
        <s v="cwfif_national_activefires.fid--5b5096eb_19f85a2ef78_-5885"/>
        <s v="cwfif_national_activefires.fid--5b5096eb_19f85a2ef78_-5886"/>
        <s v="cwfif_national_activefires.fid--5b5096eb_19f85a2ef78_-5887"/>
        <s v="cwfif_national_activefires.fid--5b5096eb_19f85a2ef78_-5888"/>
        <s v="cwfif_national_activefires.fid--5b5096eb_19f85a2ef78_-5889"/>
        <s v="cwfif_national_activefires.fid--5b5096eb_19f85a2ef78_-588a"/>
        <s v="cwfif_national_activefires.fid--5b5096eb_19f85a2ef78_-588b"/>
        <s v="cwfif_national_activefires.fid--5b5096eb_19f85a2ef78_-588c"/>
        <s v="cwfif_national_activefires.fid--5b5096eb_19f85a2ef78_-588d"/>
        <s v="cwfif_national_activefires.fid--5b5096eb_19f85a2ef78_-588e"/>
        <s v="cwfif_national_activefires.fid--5b5096eb_19f85a2ef78_-588f"/>
        <s v="cwfif_national_activefires.fid--5b5096eb_19f85a2ef78_-5890"/>
        <s v="cwfif_national_activefires.fid--5b5096eb_19f85a2ef78_-5891"/>
        <s v="cwfif_national_activefires.fid--5b5096eb_19f85a2ef78_-5892"/>
        <s v="cwfif_national_activefires.fid--5b5096eb_19f85a2ef78_-5893"/>
        <s v="cwfif_national_activefires.fid--5b5096eb_19f85a2ef78_-5894"/>
        <s v="cwfif_national_activefires.fid--5b5096eb_19f85a2ef78_-5895"/>
        <s v="cwfif_national_activefires.fid--5b5096eb_19f85a2ef78_-5896"/>
        <s v="cwfif_national_activefires.fid--5b5096eb_19f85a2ef78_-5897"/>
        <s v="cwfif_national_activefires.fid--5b5096eb_19f85a2ef78_-5898"/>
        <s v="cwfif_national_activefires.fid--5b5096eb_19f85a2ef78_-5899"/>
        <s v="cwfif_national_activefires.fid--5b5096eb_19f85a2ef78_-589a"/>
        <s v="cwfif_national_activefires.fid--5b5096eb_19f85a2ef78_-589b"/>
        <s v="cwfif_national_activefires.fid--5b5096eb_19f85a2ef78_-589c"/>
        <s v="cwfif_national_activefires.fid--5b5096eb_19f85a2ef78_-589d"/>
        <s v="cwfif_national_activefires.fid--5b5096eb_19f85a2ef78_-589e"/>
        <s v="cwfif_national_activefires.fid--5b5096eb_19f85a2ef78_-589f"/>
        <s v="cwfif_national_activefires.fid--5b5096eb_19f85a2ef78_-58a0"/>
        <s v="cwfif_national_activefires.fid--5b5096eb_19f85a2ef78_-58a1"/>
        <s v="cwfif_national_activefires.fid--5b5096eb_19f85a2ef78_-58a2"/>
        <s v="cwfif_national_activefires.fid--5b5096eb_19f85a2ef78_-58a3"/>
        <s v="cwfif_national_activefires.fid--5b5096eb_19f85a2ef78_-58a4"/>
        <s v="cwfif_national_activefires.fid--5b5096eb_19f85a2ef78_-58a5"/>
        <s v="cwfif_national_activefires.fid--5b5096eb_19f85a2ef78_-58a6"/>
        <s v="cwfif_national_activefires.fid--5b5096eb_19f85a2ef78_-58a7"/>
        <s v="cwfif_national_activefires.fid--5b5096eb_19f85a2ef78_-58a8"/>
        <s v="cwfif_national_activefires.fid--5b5096eb_19f85a2ef78_-58a9"/>
        <s v="cwfif_national_activefires.fid--5b5096eb_19f85a2ef78_-58aa"/>
        <s v="cwfif_national_activefires.fid--5b5096eb_19f85a2ef78_-58ab"/>
        <s v="cwfif_national_activefires.fid--5b5096eb_19f85a2ef78_-58ac"/>
        <s v="cwfif_national_activefires.fid--5b5096eb_19f85a2ef78_-58ad"/>
        <s v="cwfif_national_activefires.fid--5b5096eb_19f85a2ef78_-58ae"/>
        <s v="cwfif_national_activefires.fid--5b5096eb_19f85a2ef78_-58af"/>
        <s v="cwfif_national_activefires.fid--5b5096eb_19f85a2ef78_-58b0"/>
        <s v="cwfif_national_activefires.fid--5b5096eb_19f85a2ef78_-58b1"/>
        <s v="cwfif_national_activefires.fid--5b5096eb_19f85a2ef78_-58b2"/>
        <s v="cwfif_national_activefires.fid--5b5096eb_19f85a2ef78_-58b3"/>
        <s v="cwfif_national_activefires.fid--5b5096eb_19f85a2ef78_-58b4"/>
        <s v="cwfif_national_activefires.fid--5b5096eb_19f85a2ef78_-58b5"/>
        <s v="cwfif_national_activefires.fid--5b5096eb_19f85a2ef78_-58b6"/>
        <s v="cwfif_national_activefires.fid--5b5096eb_19f85a2ef78_-58b7"/>
        <s v="cwfif_national_activefires.fid--5b5096eb_19f85a2ef78_-58b8"/>
        <s v="cwfif_national_activefires.fid--5b5096eb_19f85a2ef78_-58b9"/>
        <s v="cwfif_national_activefires.fid--5b5096eb_19f85a2ef78_-58ba"/>
        <s v="cwfif_national_activefires.fid--5b5096eb_19f85a2ef78_-58bb"/>
        <s v="cwfif_national_activefires.fid--5b5096eb_19f85a2ef78_-58bc"/>
        <s v="cwfif_national_activefires.fid--5b5096eb_19f85a2ef78_-58bd"/>
        <s v="cwfif_national_activefires.fid--5b5096eb_19f85a2ef78_-58be"/>
        <s v="cwfif_national_activefires.fid--5b5096eb_19f85a2ef78_-58bf"/>
        <s v="cwfif_national_activefires.fid--5b5096eb_19f85a2ef78_-58c0"/>
        <s v="cwfif_national_activefires.fid--5b5096eb_19f85a2ef78_-58c1"/>
        <s v="cwfif_national_activefires.fid--5b5096eb_19f85a2ef78_-58c2"/>
        <s v="cwfif_national_activefires.fid--5b5096eb_19f85a2ef78_-58c3"/>
        <s v="cwfif_national_activefires.fid--5b5096eb_19f85a2ef78_-58c4"/>
        <s v="cwfif_national_activefires.fid--5b5096eb_19f85a2ef78_-58c5"/>
        <s v="cwfif_national_activefires.fid--5b5096eb_19f85a2ef78_-58c6"/>
        <s v="cwfif_national_activefires.fid--5b5096eb_19f85a2ef78_-58c7"/>
        <s v="cwfif_national_activefires.fid--5b5096eb_19f85a2ef78_-58c8"/>
        <s v="cwfif_national_activefires.fid--5b5096eb_19f85a2ef78_-58c9"/>
        <s v="cwfif_national_activefires.fid--5b5096eb_19f85a2ef78_-58ca"/>
        <s v="cwfif_national_activefires.fid--5b5096eb_19f85a2ef78_-58cb"/>
        <s v="cwfif_national_activefires.fid--5b5096eb_19f85a2ef78_-58cc"/>
        <s v="cwfif_national_activefires.fid--5b5096eb_19f85a2ef78_-58cd"/>
        <s v="cwfif_national_activefires.fid--5b5096eb_19f85a2ef78_-58ce"/>
        <s v="cwfif_national_activefires.fid--5b5096eb_19f85a2ef78_-58cf"/>
        <s v="cwfif_national_activefires.fid--5b5096eb_19f85a2ef78_-58d0"/>
        <s v="cwfif_national_activefires.fid--5b5096eb_19f85a2ef78_-58d1"/>
        <s v="cwfif_national_activefires.fid--5b5096eb_19f85a2ef78_-58d2"/>
        <s v="cwfif_national_activefires.fid--5b5096eb_19f85a2ef78_-58d3"/>
        <s v="cwfif_national_activefires.fid--5b5096eb_19f85a2ef78_-58d4"/>
        <s v="cwfif_national_activefires.fid--5b5096eb_19f85a2ef78_-58d5"/>
        <s v="cwfif_national_activefires.fid--5b5096eb_19f85a2ef78_-58d6"/>
        <s v="cwfif_national_activefires.fid--5b5096eb_19f85a2ef78_-58d7"/>
        <s v="cwfif_national_activefires.fid--5b5096eb_19f85a2ef78_-58d8"/>
        <s v="cwfif_national_activefires.fid--5b5096eb_19f85a2ef78_-58d9"/>
        <s v="cwfif_national_activefires.fid--5b5096eb_19f85a2ef78_-58da"/>
        <s v="cwfif_national_activefires.fid--5b5096eb_19f85a2ef78_-58db"/>
        <s v="cwfif_national_activefires.fid--5b5096eb_19f85a2ef78_-58dc"/>
        <s v="cwfif_national_activefires.fid--5b5096eb_19f85a2ef78_-58dd"/>
        <s v="cwfif_national_activefires.fid--5b5096eb_19f85a2ef78_-58de"/>
        <s v="cwfif_national_activefires.fid--5b5096eb_19f85a2ef78_-58df"/>
        <s v="cwfif_national_activefires.fid--5b5096eb_19f85a2ef78_-58e0"/>
        <s v="cwfif_national_activefires.fid--5b5096eb_19f85a2ef78_-58e1"/>
        <s v="cwfif_national_activefires.fid--5b5096eb_19f85a2ef78_-58e2"/>
        <s v="cwfif_national_activefires.fid--5b5096eb_19f85a2ef78_-58e3"/>
        <s v="cwfif_national_activefires.fid--5b5096eb_19f85a2ef78_-58e4"/>
        <s v="cwfif_national_activefires.fid--5b5096eb_19f85a2ef78_-58e5"/>
        <s v="cwfif_national_activefires.fid--5b5096eb_19f85a2ef78_-58e6"/>
        <s v="cwfif_national_activefires.fid--5b5096eb_19f85a2ef78_-58e7"/>
        <s v="cwfif_national_activefires.fid--5b5096eb_19f85a2ef78_-58e8"/>
        <s v="cwfif_national_activefires.fid--5b5096eb_19f85a2ef78_-58e9"/>
        <s v="cwfif_national_activefires.fid--5b5096eb_19f85a2ef78_-58ea"/>
        <s v="cwfif_national_activefires.fid--5b5096eb_19f85a2ef78_-58eb"/>
        <s v="cwfif_national_activefires.fid--5b5096eb_19f85a2ef78_-58ec"/>
        <s v="cwfif_national_activefires.fid--5b5096eb_19f85a2ef78_-58ed"/>
        <s v="cwfif_national_activefires.fid--5b5096eb_19f85a2ef78_-58ee"/>
        <s v="cwfif_national_activefires.fid--5b5096eb_19f85a2ef78_-58ef"/>
        <s v="cwfif_national_activefires.fid--5b5096eb_19f85a2ef78_-58f0"/>
        <s v="cwfif_national_activefires.fid--5b5096eb_19f85a2ef78_-58f1"/>
        <s v="cwfif_national_activefires.fid--5b5096eb_19f85a2ef78_-58f2"/>
        <s v="cwfif_national_activefires.fid--5b5096eb_19f85a2ef78_-58f3"/>
        <s v="cwfif_national_activefires.fid--5b5096eb_19f85a2ef78_-58f4"/>
        <s v="cwfif_national_activefires.fid--5b5096eb_19f85a2ef78_-58f5"/>
        <s v="cwfif_national_activefires.fid--5b5096eb_19f85a2ef78_-58f6"/>
        <s v="cwfif_national_activefires.fid--5b5096eb_19f85a2ef78_-58f7"/>
        <s v="cwfif_national_activefires.fid--5b5096eb_19f85a2ef78_-58f8"/>
        <s v="cwfif_national_activefires.fid--5b5096eb_19f85a2ef78_-58f9"/>
        <s v="cwfif_national_activefires.fid--5b5096eb_19f85a2ef78_-58fa"/>
        <s v="cwfif_national_activefires.fid--5b5096eb_19f85a2ef78_-58fb"/>
        <s v="cwfif_national_activefires.fid--5b5096eb_19f85a2ef78_-58fc"/>
        <s v="cwfif_national_activefires.fid--5b5096eb_19f85a2ef78_-58fd"/>
        <s v="cwfif_national_activefires.fid--5b5096eb_19f85a2ef78_-58fe"/>
        <s v="cwfif_national_activefires.fid--5b5096eb_19f85a2ef78_-58ff"/>
        <s v="cwfif_national_activefires.fid--5b5096eb_19f85a2ef78_-5900"/>
        <s v="cwfif_national_activefires.fid--5b5096eb_19f85a2ef78_-5901"/>
        <s v="cwfif_national_activefires.fid--5b5096eb_19f85a2ef78_-5902"/>
        <s v="cwfif_national_activefires.fid--5b5096eb_19f85a2ef78_-5903"/>
        <s v="cwfif_national_activefires.fid--5b5096eb_19f85a2ef78_-5904"/>
        <s v="cwfif_national_activefires.fid--5b5096eb_19f85a2ef78_-5905"/>
        <s v="cwfif_national_activefires.fid--5b5096eb_19f85a2ef78_-5906"/>
        <s v="cwfif_national_activefires.fid--5b5096eb_19f85a2ef78_-5907"/>
        <s v="cwfif_national_activefires.fid--5b5096eb_19f85a2ef78_-5908"/>
        <s v="cwfif_national_activefires.fid--5b5096eb_19f85a2ef78_-5909"/>
        <s v="cwfif_national_activefires.fid--5b5096eb_19f85a2ef78_-590a"/>
        <s v="cwfif_national_activefires.fid--5b5096eb_19f85a2ef78_-590b"/>
        <s v="cwfif_national_activefires.fid--5b5096eb_19f85a2ef78_-590c"/>
        <s v="cwfif_national_activefires.fid--5b5096eb_19f85a2ef78_-590d"/>
        <s v="cwfif_national_activefires.fid--5b5096eb_19f85a2ef78_-590e"/>
        <s v="cwfif_national_activefires.fid--5b5096eb_19f85a2ef78_-590f"/>
        <s v="cwfif_national_activefires.fid--5b5096eb_19f85a2ef78_-5910"/>
        <s v="cwfif_national_activefires.fid--5b5096eb_19f85a2ef78_-5911"/>
        <s v="cwfif_national_activefires.fid--5b5096eb_19f85a2ef78_-5912"/>
        <s v="cwfif_national_activefires.fid--5b5096eb_19f85a2ef78_-5913"/>
        <s v="cwfif_national_activefires.fid--5b5096eb_19f85a2ef78_-5914"/>
        <s v="cwfif_national_activefires.fid--5b5096eb_19f85a2ef78_-5915"/>
        <s v="cwfif_national_activefires.fid--5b5096eb_19f85a2ef78_-5916"/>
        <s v="cwfif_national_activefires.fid--5b5096eb_19f85a2ef78_-5917"/>
        <s v="cwfif_national_activefires.fid--5b5096eb_19f85a2ef78_-5918"/>
        <s v="cwfif_national_activefires.fid--5b5096eb_19f85a2ef78_-5919"/>
        <s v="cwfif_national_activefires.fid--5b5096eb_19f85a2ef78_-591a"/>
        <s v="cwfif_national_activefires.fid--5b5096eb_19f85a2ef78_-591b"/>
        <s v="cwfif_national_activefires.fid--5b5096eb_19f85a2ef78_-591c"/>
        <s v="cwfif_national_activefires.fid--5b5096eb_19f85a2ef78_-591d"/>
        <s v="cwfif_national_activefires.fid--5b5096eb_19f85a2ef78_-591e"/>
        <s v="cwfif_national_activefires.fid--5b5096eb_19f85a2ef78_-591f"/>
        <s v="cwfif_national_activefires.fid--5b5096eb_19f85a2ef78_-5920"/>
        <s v="cwfif_national_activefires.fid--5b5096eb_19f85a2ef78_-5921"/>
        <s v="cwfif_national_activefires.fid--5b5096eb_19f85a2ef78_-5922"/>
        <s v="cwfif_national_activefires.fid--5b5096eb_19f85a2ef78_-5923"/>
        <s v="cwfif_national_activefires.fid--5b5096eb_19f85a2ef78_-5924"/>
        <s v="cwfif_national_activefires.fid--5b5096eb_19f85a2ef78_-5925"/>
        <s v="cwfif_national_activefires.fid--5b5096eb_19f85a2ef78_-5926"/>
        <s v="cwfif_national_activefires.fid--5b5096eb_19f85a2ef78_-5927"/>
        <s v="cwfif_national_activefires.fid--5b5096eb_19f85a2ef78_-5928"/>
        <s v="cwfif_national_activefires.fid--5b5096eb_19f85a2ef78_-5929"/>
        <s v="cwfif_national_activefires.fid--5b5096eb_19f85a2ef78_-592a"/>
        <s v="cwfif_national_activefires.fid--5b5096eb_19f85a2ef78_-592b"/>
        <s v="cwfif_national_activefires.fid--5b5096eb_19f85a2ef78_-592c"/>
        <s v="cwfif_national_activefires.fid--5b5096eb_19f85a2ef78_-592d"/>
        <s v="cwfif_national_activefires.fid--5b5096eb_19f85a2ef78_-592e"/>
        <s v="cwfif_national_activefires.fid--5b5096eb_19f85a2ef78_-592f"/>
        <s v="cwfif_national_activefires.fid--5b5096eb_19f85a2ef78_-5930"/>
        <s v="cwfif_national_activefires.fid--5b5096eb_19f85a2ef78_-5931"/>
        <s v="cwfif_national_activefires.fid--5b5096eb_19f85a2ef78_-5932"/>
        <s v="cwfif_national_activefires.fid--5b5096eb_19f85a2ef78_-5933"/>
        <s v="cwfif_national_activefires.fid--5b5096eb_19f85a2ef78_-5934"/>
        <s v="cwfif_national_activefires.fid--5b5096eb_19f85a2ef78_-5935"/>
        <s v="cwfif_national_activefires.fid--5b5096eb_19f85a2ef78_-5936"/>
        <s v="cwfif_national_activefires.fid--5b5096eb_19f85a2ef78_-5937"/>
        <s v="cwfif_national_activefires.fid--5b5096eb_19f85a2ef78_-5938"/>
        <s v="cwfif_national_activefires.fid--5b5096eb_19f85a2ef78_-5939"/>
        <s v="cwfif_national_activefires.fid--5b5096eb_19f85a2ef78_-593a"/>
        <s v="cwfif_national_activefires.fid--5b5096eb_19f85a2ef78_-593b"/>
        <s v="cwfif_national_activefires.fid--5b5096eb_19f85a2ef78_-593c"/>
        <s v="cwfif_national_activefires.fid--5b5096eb_19f85a2ef78_-593d"/>
        <s v="cwfif_national_activefires.fid--5b5096eb_19f85a2ef78_-593e"/>
        <s v="cwfif_national_activefires.fid--5b5096eb_19f85a2ef78_-593f"/>
        <s v="cwfif_national_activefires.fid--5b5096eb_19f85a2ef78_-5940"/>
        <s v="cwfif_national_activefires.fid--5b5096eb_19f85a2ef78_-5941"/>
        <s v="cwfif_national_activefires.fid--5b5096eb_19f85a2ef78_-5942"/>
        <s v="cwfif_national_activefires.fid--5b5096eb_19f85a2ef78_-5943"/>
        <s v="cwfif_national_activefires.fid--5b5096eb_19f85a2ef78_-5944"/>
        <s v="cwfif_national_activefires.fid--5b5096eb_19f85a2ef78_-5945"/>
        <s v="cwfif_national_activefires.fid--5b5096eb_19f85a2ef78_-5946"/>
        <s v="cwfif_national_activefires.fid--5b5096eb_19f85a2ef78_-5947"/>
        <s v="cwfif_national_activefires.fid--5b5096eb_19f85a2ef78_-5948"/>
        <s v="cwfif_national_activefires.fid--5b5096eb_19f85a2ef78_-5949"/>
        <s v="cwfif_national_activefires.fid--5b5096eb_19f85a2ef78_-594a"/>
        <s v="cwfif_national_activefires.fid--5b5096eb_19f85a2ef78_-594b"/>
        <s v="cwfif_national_activefires.fid--5b5096eb_19f85a2ef78_-594c"/>
        <s v="cwfif_national_activefires.fid--5b5096eb_19f85a2ef78_-594d"/>
        <s v="cwfif_national_activefires.fid--5b5096eb_19f85a2ef78_-594e"/>
        <s v="cwfif_national_activefires.fid--5b5096eb_19f85a2ef78_-594f"/>
        <s v="cwfif_national_activefires.fid--5b5096eb_19f85a2ef78_-5950"/>
        <s v="cwfif_national_activefires.fid--5b5096eb_19f85a2ef78_-5951"/>
        <s v="cwfif_national_activefires.fid--5b5096eb_19f85a2ef78_-5952"/>
        <s v="cwfif_national_activefires.fid--5b5096eb_19f85a2ef78_-5953"/>
        <s v="cwfif_national_activefires.fid--5b5096eb_19f85a2ef78_-5954"/>
        <s v="cwfif_national_activefires.fid--5b5096eb_19f85a2ef78_-5955"/>
        <s v="cwfif_national_activefires.fid--5b5096eb_19f85a2ef78_-5956"/>
        <s v="cwfif_national_activefires.fid--5b5096eb_19f85a2ef78_-5957"/>
        <s v="cwfif_national_activefires.fid--5b5096eb_19f85a2ef78_-5958"/>
        <s v="cwfif_national_activefires.fid--5b5096eb_19f85a2ef78_-5959"/>
        <s v="cwfif_national_activefires.fid--5b5096eb_19f85a2ef78_-595a"/>
        <s v="cwfif_national_activefires.fid--5b5096eb_19f85a2ef78_-595b"/>
        <s v="cwfif_national_activefires.fid--5b5096eb_19f85a2ef78_-595c"/>
        <s v="cwfif_national_activefires.fid--5b5096eb_19f85a2ef78_-595d"/>
        <s v="cwfif_national_activefires.fid--5b5096eb_19f85a2ef78_-595e"/>
        <s v="cwfif_national_activefires.fid--5b5096eb_19f85a2ef78_-595f"/>
        <s v="cwfif_national_activefires.fid--5b5096eb_19f85a2ef78_-5960"/>
        <s v="cwfif_national_activefires.fid--5b5096eb_19f85a2ef78_-5961"/>
        <s v="cwfif_national_activefires.fid--5b5096eb_19f85a2ef78_-5962"/>
        <s v="cwfif_national_activefires.fid--5b5096eb_19f85a2ef78_-5963"/>
        <s v="cwfif_national_activefires.fid--5b5096eb_19f85a2ef78_-5964"/>
        <s v="cwfif_national_activefires.fid--5b5096eb_19f85a2ef78_-5965"/>
        <s v="cwfif_national_activefires.fid--5b5096eb_19f85a2ef78_-5966"/>
        <s v="cwfif_national_activefires.fid--5b5096eb_19f85a2ef78_-5967"/>
        <s v="cwfif_national_activefires.fid--5b5096eb_19f85a2ef78_-5968"/>
        <s v="cwfif_national_activefires.fid--5b5096eb_19f85a2ef78_-5969"/>
        <s v="cwfif_national_activefires.fid--5b5096eb_19f85a2ef78_-596a"/>
        <s v="cwfif_national_activefires.fid--5b5096eb_19f85a2ef78_-596b"/>
        <s v="cwfif_national_activefires.fid--5b5096eb_19f85a2ef78_-596c"/>
        <s v="cwfif_national_activefires.fid--5b5096eb_19f85a2ef78_-596d"/>
        <s v="cwfif_national_activefires.fid--5b5096eb_19f85a2ef78_-596e"/>
        <s v="cwfif_national_activefires.fid--5b5096eb_19f85a2ef78_-596f"/>
        <s v="cwfif_national_activefires.fid--5b5096eb_19f85a2ef78_-5970"/>
        <s v="cwfif_national_activefires.fid--5b5096eb_19f85a2ef78_-5971"/>
        <s v="cwfif_national_activefires.fid--5b5096eb_19f85a2ef78_-5972"/>
        <s v="cwfif_national_activefires.fid--5b5096eb_19f85a2ef78_-5973"/>
        <s v="cwfif_national_activefires.fid--5b5096eb_19f85a2ef78_-5974"/>
        <s v="cwfif_national_activefires.fid--5b5096eb_19f85a2ef78_-5975"/>
        <s v="cwfif_national_activefires.fid--5b5096eb_19f85a2ef78_-5976"/>
        <s v="cwfif_national_activefires.fid--5b5096eb_19f85a2ef78_-5977"/>
        <s v="cwfif_national_activefires.fid--5b5096eb_19f85a2ef78_-5978"/>
        <s v="cwfif_national_activefires.fid--5b5096eb_19f85a2ef78_-5979"/>
        <s v="cwfif_national_activefires.fid--5b5096eb_19f85a2ef78_-597a"/>
        <s v="cwfif_national_activefires.fid--5b5096eb_19f85a2ef78_-597b"/>
        <s v="cwfif_national_activefires.fid--5b5096eb_19f85a2ef78_-597c"/>
        <s v="cwfif_national_activefires.fid--5b5096eb_19f85a2ef78_-597d"/>
        <s v="cwfif_national_activefires.fid--5b5096eb_19f85a2ef78_-597e"/>
        <s v="cwfif_national_activefires.fid--5b5096eb_19f85a2ef78_-597f"/>
        <s v="cwfif_national_activefires.fid--5b5096eb_19f85a2ef78_-5980"/>
        <s v="cwfif_national_activefires.fid--5b5096eb_19f85a2ef78_-5981"/>
        <s v="cwfif_national_activefires.fid--5b5096eb_19f85a2ef78_-5982"/>
        <s v="cwfif_national_activefires.fid--5b5096eb_19f85a2ef78_-5983"/>
        <s v="cwfif_national_activefires.fid--5b5096eb_19f85a2ef78_-5984"/>
        <s v="cwfif_national_activefires.fid--5b5096eb_19f85a2ef78_-5985"/>
        <s v="cwfif_national_activefires.fid--5b5096eb_19f85a2ef78_-5986"/>
        <s v="cwfif_national_activefires.fid--5b5096eb_19f85a2ef78_-5987"/>
        <s v="cwfif_national_activefires.fid--5b5096eb_19f85a2ef78_-5988"/>
        <s v="cwfif_national_activefires.fid--5b5096eb_19f85a2ef78_-5989"/>
        <s v="cwfif_national_activefires.fid--5b5096eb_19f85a2ef78_-598a"/>
        <s v="cwfif_national_activefires.fid--5b5096eb_19f85a2ef78_-598b"/>
        <s v="cwfif_national_activefires.fid--5b5096eb_19f85a2ef78_-598c"/>
        <s v="cwfif_national_activefires.fid--5b5096eb_19f85a2ef78_-598d"/>
        <s v="cwfif_national_activefires.fid--5b5096eb_19f85a2ef78_-598e"/>
        <s v="cwfif_national_activefires.fid--5b5096eb_19f85a2ef78_-598f"/>
        <s v="cwfif_national_activefires.fid--5b5096eb_19f85a2ef78_-5990"/>
        <s v="cwfif_national_activefires.fid--5b5096eb_19f85a2ef78_-5991"/>
        <s v="cwfif_national_activefires.fid--5b5096eb_19f85a2ef78_-5992"/>
        <s v="cwfif_national_activefires.fid--5b5096eb_19f85a2ef78_-5993"/>
        <s v="cwfif_national_activefires.fid--5b5096eb_19f85a2ef78_-5994"/>
        <s v="cwfif_national_activefires.fid--5b5096eb_19f85a2ef78_-5995"/>
        <s v="cwfif_national_activefires.fid--5b5096eb_19f85a2ef78_-5996"/>
        <s v="cwfif_national_activefires.fid--5b5096eb_19f85a2ef78_-5997"/>
        <s v="cwfif_national_activefires.fid--5b5096eb_19f85a2ef78_-5998"/>
        <s v="cwfif_national_activefires.fid--5b5096eb_19f85a2ef78_-5999"/>
        <s v="cwfif_national_activefires.fid--5b5096eb_19f85a2ef78_-599a"/>
        <s v="cwfif_national_activefires.fid--5b5096eb_19f85a2ef78_-599b"/>
        <s v="cwfif_national_activefires.fid--5b5096eb_19f85a2ef78_-599c"/>
        <s v="cwfif_national_activefires.fid--5b5096eb_19f85a2ef78_-599d"/>
        <s v="cwfif_national_activefires.fid--5b5096eb_19f85a2ef78_-599e"/>
        <s v="cwfif_national_activefires.fid--5b5096eb_19f85a2ef78_-599f"/>
        <s v="cwfif_national_activefires.fid--5b5096eb_19f85a2ef78_-59a0"/>
        <s v="cwfif_national_activefires.fid--5b5096eb_19f85a2ef78_-59a1"/>
        <s v="cwfif_national_activefires.fid--5b5096eb_19f85a2ef78_-59a2"/>
        <s v="cwfif_national_activefires.fid--5b5096eb_19f85a2ef78_-59a3"/>
        <s v="cwfif_national_activefires.fid--5b5096eb_19f85a2ef78_-59a4"/>
        <s v="cwfif_national_activefires.fid--5b5096eb_19f85a2ef78_-59a5"/>
        <s v="cwfif_national_activefires.fid--5b5096eb_19f85a2ef78_-59a6"/>
        <s v="cwfif_national_activefires.fid--5b5096eb_19f85a2ef78_-59a7"/>
        <s v="cwfif_national_activefires.fid--5b5096eb_19f85a2ef78_-59a8"/>
        <s v="cwfif_national_activefires.fid--5b5096eb_19f85a2ef78_-59a9"/>
        <s v="cwfif_national_activefires.fid--5b5096eb_19f85a2ef78_-59aa"/>
        <s v="cwfif_national_activefires.fid--5b5096eb_19f85a2ef78_-59ab"/>
        <s v="cwfif_national_activefires.fid--5b5096eb_19f85a2ef78_-59ac"/>
        <s v="cwfif_national_activefires.fid--5b5096eb_19f85a2ef78_-59ad"/>
        <s v="cwfif_national_activefires.fid--5b5096eb_19f85a2ef78_-59ae"/>
        <s v="cwfif_national_activefires.fid--5b5096eb_19f85a2ef78_-59af"/>
        <s v="cwfif_national_activefires.fid--5b5096eb_19f85a2ef78_-59b0"/>
        <s v="cwfif_national_activefires.fid--5b5096eb_19f85a2ef78_-59b1"/>
        <s v="cwfif_national_activefires.fid--5b5096eb_19f85a2ef78_-59b2"/>
        <s v="cwfif_national_activefires.fid--5b5096eb_19f85a2ef78_-59b3"/>
        <s v="cwfif_national_activefires.fid--5b5096eb_19f85a2ef78_-59b4"/>
        <s v="cwfif_national_activefires.fid--5b5096eb_19f85a2ef78_-59b5"/>
        <s v="cwfif_national_activefires.fid--5b5096eb_19f85a2ef78_-59b6"/>
        <s v="cwfif_national_activefires.fid--5b5096eb_19f85a2ef78_-59b7"/>
        <s v="cwfif_national_activefires.fid--5b5096eb_19f85a2ef78_-59b8"/>
        <s v="cwfif_national_activefires.fid--5b5096eb_19f85a2ef78_-59b9"/>
        <s v="cwfif_national_activefires.fid--5b5096eb_19f85a2ef78_-59ba"/>
        <s v="cwfif_national_activefires.fid--5b5096eb_19f85a2ef78_-59bb"/>
        <s v="cwfif_national_activefires.fid--5b5096eb_19f85a2ef78_-59bc"/>
        <s v="cwfif_national_activefires.fid--5b5096eb_19f85a2ef78_-59bd"/>
        <s v="cwfif_national_activefires.fid--5b5096eb_19f85a2ef78_-59be"/>
        <s v="cwfif_national_activefires.fid--5b5096eb_19f85a2ef78_-59bf"/>
        <s v="cwfif_national_activefires.fid--5b5096eb_19f85a2ef78_-59c0"/>
        <s v="cwfif_national_activefires.fid--5b5096eb_19f85a2ef78_-59c1"/>
        <s v="cwfif_national_activefires.fid--5b5096eb_19f85a2ef78_-59c2"/>
        <s v="cwfif_national_activefires.fid--5b5096eb_19f85a2ef78_-59c3"/>
        <s v="cwfif_national_activefires.fid--5b5096eb_19f85a2ef78_-59c4"/>
        <s v="cwfif_national_activefires.fid--5b5096eb_19f85a2ef78_-59c5"/>
        <s v="cwfif_national_activefires.fid--5b5096eb_19f85a2ef78_-59c6"/>
        <s v="cwfif_national_activefires.fid--5b5096eb_19f85a2ef78_-59c7"/>
        <s v="cwfif_national_activefires.fid--5b5096eb_19f85a2ef78_-59c8"/>
        <s v="cwfif_national_activefires.fid--5b5096eb_19f85a2ef78_-59c9"/>
        <s v="cwfif_national_activefires.fid--5b5096eb_19f85a2ef78_-59ca"/>
        <s v="cwfif_national_activefires.fid--5b5096eb_19f85a2ef78_-59cb"/>
        <s v="cwfif_national_activefires.fid--5b5096eb_19f85a2ef78_-59cc"/>
        <s v="cwfif_national_activefires.fid--5b5096eb_19f85a2ef78_-59cd"/>
        <s v="cwfif_national_activefires.fid--5b5096eb_19f85a2ef78_-59ce"/>
        <s v="cwfif_national_activefires.fid--5b5096eb_19f85a2ef78_-59cf"/>
        <s v="cwfif_national_activefires.fid--5b5096eb_19f85a2ef78_-59d0"/>
        <s v="cwfif_national_activefires.fid--5b5096eb_19f85a2ef78_-59d1"/>
        <s v="cwfif_national_activefires.fid--5b5096eb_19f85a2ef78_-59d2"/>
        <s v="cwfif_national_activefires.fid--5b5096eb_19f85a2ef78_-59d3"/>
        <s v="cwfif_national_activefires.fid--5b5096eb_19f85a2ef78_-59d4"/>
        <s v="cwfif_national_activefires.fid--5b5096eb_19f85a2ef78_-59d5"/>
        <s v="cwfif_national_activefires.fid--5b5096eb_19f85a2ef78_-59d6"/>
        <s v="cwfif_national_activefires.fid--5b5096eb_19f85a2ef78_-59d7"/>
        <s v="cwfif_national_activefires.fid--5b5096eb_19f85a2ef78_-59d8"/>
        <s v="cwfif_national_activefires.fid--5b5096eb_19f85a2ef78_-59d9"/>
        <s v="cwfif_national_activefires.fid--5b5096eb_19f85a2ef78_-59da"/>
        <s v="cwfif_national_activefires.fid--5b5096eb_19f85a2ef78_-59db"/>
        <s v="cwfif_national_activefires.fid--5b5096eb_19f85a2ef78_-59dc"/>
        <s v="cwfif_national_activefires.fid--5b5096eb_19f85a2ef78_-59dd"/>
        <s v="cwfif_national_activefires.fid--5b5096eb_19f85a2ef78_-59de"/>
        <s v="cwfif_national_activefires.fid--5b5096eb_19f85a2ef78_-59df"/>
        <s v="cwfif_national_activefires.fid--5b5096eb_19f85a2ef78_-59e0"/>
        <s v="cwfif_national_activefires.fid--5b5096eb_19f85a2ef78_-59e1"/>
        <s v="cwfif_national_activefires.fid--5b5096eb_19f85a2ef78_-59e2"/>
        <s v="cwfif_national_activefires.fid--5b5096eb_19f85a2ef78_-59e3"/>
        <s v="cwfif_national_activefires.fid--5b5096eb_19f85a2ef78_-59e4"/>
        <s v="cwfif_national_activefires.fid--5b5096eb_19f85a2ef78_-59e5"/>
        <s v="cwfif_national_activefires.fid--5b5096eb_19f85a2ef78_-59e6"/>
        <s v="cwfif_national_activefires.fid--5b5096eb_19f85a2ef78_-59e7"/>
        <s v="cwfif_national_activefires.fid--5b5096eb_19f85a2ef78_-59e8"/>
        <s v="cwfif_national_activefires.fid--5b5096eb_19f85a2ef78_-59e9"/>
        <s v="cwfif_national_activefires.fid--5b5096eb_19f85a2ef78_-59ea"/>
        <s v="cwfif_national_activefires.fid--5b5096eb_19f85a2ef78_-59eb"/>
        <s v="cwfif_national_activefires.fid--5b5096eb_19f85a2ef78_-59ec"/>
        <s v="cwfif_national_activefires.fid--5b5096eb_19f85a2ef78_-59ed"/>
        <s v="cwfif_national_activefires.fid--5b5096eb_19f85a2ef78_-59ee"/>
        <s v="cwfif_national_activefires.fid--5b5096eb_19f85a2ef78_-59ef"/>
        <s v="cwfif_national_activefires.fid--5b5096eb_19f85a2ef78_-59f0"/>
        <s v="cwfif_national_activefires.fid--5b5096eb_19f85a2ef78_-59f1"/>
        <s v="cwfif_national_activefires.fid--5b5096eb_19f85a2ef78_-59f2"/>
        <s v="cwfif_national_activefires.fid--5b5096eb_19f85a2ef78_-59f3"/>
        <s v="cwfif_national_activefires.fid--5b5096eb_19f85a2ef78_-59f4"/>
        <s v="cwfif_national_activefires.fid--5b5096eb_19f85a2ef78_-59f5"/>
        <s v="cwfif_national_activefires.fid--5b5096eb_19f85a2ef78_-59f6"/>
        <s v="cwfif_national_activefires.fid--5b5096eb_19f85a2ef78_-59f7"/>
        <s v="cwfif_national_activefires.fid--5b5096eb_19f85a2ef78_-59f8"/>
        <s v="cwfif_national_activefires.fid--5b5096eb_19f85a2ef78_-59f9"/>
        <s v="cwfif_national_activefires.fid--5b5096eb_19f85a2ef78_-59fa"/>
        <s v="cwfif_national_activefires.fid--5b5096eb_19f85a2ef78_-59fb"/>
        <s v="cwfif_national_activefires.fid--5b5096eb_19f85a2ef78_-59fc"/>
        <s v="cwfif_national_activefires.fid--5b5096eb_19f85a2ef78_-59fd"/>
        <s v="cwfif_national_activefires.fid--5b5096eb_19f85a2ef78_-59fe"/>
        <s v="cwfif_national_activefires.fid--5b5096eb_19f85a2ef78_-59ff"/>
        <s v="cwfif_national_activefires.fid--5b5096eb_19f85a2ef78_-5a00"/>
        <s v="cwfif_national_activefires.fid--5b5096eb_19f85a2ef78_-5a01"/>
        <s v="cwfif_national_activefires.fid--5b5096eb_19f85a2ef78_-5a02"/>
        <s v="cwfif_national_activefires.fid--5b5096eb_19f85a2ef78_-5a03"/>
        <s v="cwfif_national_activefires.fid--5b5096eb_19f85a2ef78_-5a04"/>
        <s v="cwfif_national_activefires.fid--5b5096eb_19f85a2ef78_-5a05"/>
        <s v="cwfif_national_activefires.fid--5b5096eb_19f85a2ef78_-5a06"/>
        <s v="cwfif_national_activefires.fid--5b5096eb_19f85a2ef78_-5a07"/>
        <s v="cwfif_national_activefires.fid--5b5096eb_19f85a2ef78_-5a08"/>
        <s v="cwfif_national_activefires.fid--5b5096eb_19f85a2ef78_-5a09"/>
        <s v="cwfif_national_activefires.fid--5b5096eb_19f85a2ef78_-5a0a"/>
        <s v="cwfif_national_activefires.fid--5b5096eb_19f85a2ef78_-5a0b"/>
        <s v="cwfif_national_activefires.fid--5b5096eb_19f85a2ef78_-5a0c"/>
        <s v="cwfif_national_activefires.fid--5b5096eb_19f85a2ef78_-5a0d"/>
        <s v="cwfif_national_activefires.fid--5b5096eb_19f85a2ef78_-5a0e"/>
        <s v="cwfif_national_activefires.fid--5b5096eb_19f85a2ef78_-5a0f"/>
        <s v="cwfif_national_activefires.fid--5b5096eb_19f85a2ef78_-5a10"/>
        <s v="cwfif_national_activefires.fid--5b5096eb_19f85a2ef78_-5a11"/>
        <s v="cwfif_national_activefires.fid--5b5096eb_19f85a2ef78_-5a12"/>
        <s v="cwfif_national_activefires.fid--5b5096eb_19f85a2ef78_-5a13"/>
        <s v="cwfif_national_activefires.fid--5b5096eb_19f85a2ef78_-5a14"/>
        <s v="cwfif_national_activefires.fid--5b5096eb_19f85a2ef78_-5a15"/>
        <s v="cwfif_national_activefires.fid--5b5096eb_19f85a2ef78_-5a16"/>
        <s v="cwfif_national_activefires.fid--5b5096eb_19f85a2ef78_-5a17"/>
        <s v="cwfif_national_activefires.fid--5b5096eb_19f85a2ef78_-5a18"/>
        <s v="cwfif_national_activefires.fid--5b5096eb_19f85a2ef78_-5a19"/>
        <s v="cwfif_national_activefires.fid--5b5096eb_19f85a2ef78_-5a1a"/>
        <s v="cwfif_national_activefires.fid--5b5096eb_19f85a2ef78_-5a1b"/>
        <s v="cwfif_national_activefires.fid--5b5096eb_19f85a2ef78_-5a1c"/>
        <s v="cwfif_national_activefires.fid--5b5096eb_19f85a2ef78_-5a1d"/>
        <s v="cwfif_national_activefires.fid--5b5096eb_19f85a2ef78_-5a1e"/>
        <s v="cwfif_national_activefires.fid--5b5096eb_19f85a2ef78_-5a1f"/>
        <s v="cwfif_national_activefires.fid--5b5096eb_19f85a2ef78_-5a20"/>
        <s v="cwfif_national_activefires.fid--5b5096eb_19f85a2ef78_-5a21"/>
        <s v="cwfif_national_activefires.fid--5b5096eb_19f85a2ef78_-5a22"/>
        <s v="cwfif_national_activefires.fid--5b5096eb_19f85a2ef78_-5a23"/>
        <s v="cwfif_national_activefires.fid--5b5096eb_19f85a2ef78_-5a24"/>
        <s v="cwfif_national_activefires.fid--5b5096eb_19f85a2ef78_-5a25"/>
        <s v="cwfif_national_activefires.fid--5b5096eb_19f85a2ef78_-5a26"/>
        <s v="cwfif_national_activefires.fid--5b5096eb_19f85a2ef78_-5a27"/>
        <s v="cwfif_national_activefires.fid--5b5096eb_19f85a2ef78_-5a28"/>
        <s v="cwfif_national_activefires.fid--5b5096eb_19f85a2ef78_-5a29"/>
        <s v="cwfif_national_activefires.fid--5b5096eb_19f85a2ef78_-5a2a"/>
        <s v="cwfif_national_activefires.fid--5b5096eb_19f85a2ef78_-5a2b"/>
        <s v="cwfif_national_activefires.fid--5b5096eb_19f85a2ef78_-5a2c"/>
        <s v="cwfif_national_activefires.fid--5b5096eb_19f85a2ef78_-5a2d"/>
        <s v="cwfif_national_activefires.fid--5b5096eb_19f85a2ef78_-5a2e"/>
        <s v="cwfif_national_activefires.fid--5b5096eb_19f85a2ef78_-5a2f"/>
        <s v="cwfif_national_activefires.fid--5b5096eb_19f85a2ef78_-5a30"/>
        <s v="cwfif_national_activefires.fid--5b5096eb_19f85a2ef78_-5a31"/>
        <s v="cwfif_national_activefires.fid--5b5096eb_19f85a2ef78_-5a32"/>
        <s v="cwfif_national_activefires.fid--5b5096eb_19f85a2ef78_-5a33"/>
        <s v="cwfif_national_activefires.fid--5b5096eb_19f85a2ef78_-5a34"/>
        <s v="cwfif_national_activefires.fid--5b5096eb_19f85a2ef78_-5a35"/>
        <s v="cwfif_national_activefires.fid--5b5096eb_19f85a2ef78_-5a36"/>
        <s v="cwfif_national_activefires.fid--5b5096eb_19f85a2ef78_-5a37"/>
        <s v="cwfif_national_activefires.fid--5b5096eb_19f85a2ef78_-5a38"/>
        <s v="cwfif_national_activefires.fid--5b5096eb_19f85a2ef78_-5a39"/>
        <s v="cwfif_national_activefires.fid--5b5096eb_19f85a2ef78_-5a3a"/>
        <s v="cwfif_national_activefires.fid--5b5096eb_19f85a2ef78_-5a3b"/>
        <s v="cwfif_national_activefires.fid--5b5096eb_19f85a2ef78_-5a3c"/>
        <s v="cwfif_national_activefires.fid--5b5096eb_19f85a2ef78_-5a3d"/>
        <s v="cwfif_national_activefires.fid--5b5096eb_19f85a2ef78_-5a3e"/>
        <s v="cwfif_national_activefires.fid--5b5096eb_19f85a2ef78_-5a3f"/>
        <s v="cwfif_national_activefires.fid--5b5096eb_19f85a2ef78_-5a40"/>
        <s v="cwfif_national_activefires.fid--5b5096eb_19f85a2ef78_-5a41"/>
        <s v="cwfif_national_activefires.fid--5b5096eb_19f85a2ef78_-5a42"/>
        <s v="cwfif_national_activefires.fid--5b5096eb_19f85a2ef78_-5a43"/>
        <s v="cwfif_national_activefires.fid--5b5096eb_19f85a2ef78_-5a44"/>
        <s v="cwfif_national_activefires.fid--5b5096eb_19f85a2ef78_-5a45"/>
        <s v="cwfif_national_activefires.fid--5b5096eb_19f85a2ef78_-5a46"/>
        <s v="cwfif_national_activefires.fid--5b5096eb_19f85a2ef78_-5a47"/>
        <s v="cwfif_national_activefires.fid--5b5096eb_19f85a2ef78_-5a48"/>
        <s v="cwfif_national_activefires.fid--5b5096eb_19f85a2ef78_-5a49"/>
        <s v="cwfif_national_activefires.fid--5b5096eb_19f85a2ef78_-5a4a"/>
        <s v="cwfif_national_activefires.fid--5b5096eb_19f85a2ef78_-5a4b"/>
        <s v="cwfif_national_activefires.fid--5b5096eb_19f85a2ef78_-5a4c"/>
        <s v="cwfif_national_activefires.fid--5b5096eb_19f85a2ef78_-5a4d"/>
        <s v="cwfif_national_activefires.fid--5b5096eb_19f85a2ef78_-5a4e"/>
        <s v="cwfif_national_activefires.fid--5b5096eb_19f85a2ef78_-5a4f"/>
        <s v="cwfif_national_activefires.fid--5b5096eb_19f85a2ef78_-5a50"/>
        <s v="cwfif_national_activefires.fid--5b5096eb_19f85a2ef78_-5a51"/>
        <s v="cwfif_national_activefires.fid--5b5096eb_19f85a2ef78_-5a52"/>
        <s v="cwfif_national_activefires.fid--5b5096eb_19f85a2ef78_-5a53"/>
        <s v="cwfif_national_activefires.fid--5b5096eb_19f85a2ef78_-5a54"/>
        <s v="cwfif_national_activefires.fid--5b5096eb_19f85a2ef78_-5a55"/>
        <s v="cwfif_national_activefires.fid--5b5096eb_19f85a2ef78_-5a56"/>
        <s v="cwfif_national_activefires.fid--5b5096eb_19f85a2ef78_-5a57"/>
        <s v="cwfif_national_activefires.fid--5b5096eb_19f85a2ef78_-5a58"/>
        <s v="cwfif_national_activefires.fid--5b5096eb_19f85a2ef78_-5a59"/>
        <s v="cwfif_national_activefires.fid--5b5096eb_19f85a2ef78_-5a5a"/>
        <s v="cwfif_national_activefires.fid--5b5096eb_19f85a2ef78_-5a5b"/>
        <s v="cwfif_national_activefires.fid--5b5096eb_19f85a2ef78_-5a5c"/>
        <s v="cwfif_national_activefires.fid--5b5096eb_19f85a2ef78_-5a5d"/>
        <s v="cwfif_national_activefires.fid--5b5096eb_19f85a2ef78_-5a5e"/>
        <s v="cwfif_national_activefires.fid--5b5096eb_19f85a2ef78_-5a5f"/>
        <s v="cwfif_national_activefires.fid--5b5096eb_19f85a2ef78_-5a60"/>
        <s v="cwfif_national_activefires.fid--5b5096eb_19f85a2ef78_-5a61"/>
        <s v="cwfif_national_activefires.fid--5b5096eb_19f85a2ef78_-5a62"/>
        <s v="cwfif_national_activefires.fid--5b5096eb_19f85a2ef78_-5a63"/>
        <s v="cwfif_national_activefires.fid--5b5096eb_19f85a2ef78_-5a64"/>
        <s v="cwfif_national_activefires.fid--5b5096eb_19f85a2ef78_-5a65"/>
        <s v="cwfif_national_activefires.fid--5b5096eb_19f85a2ef78_-5a66"/>
        <s v="cwfif_national_activefires.fid--5b5096eb_19f85a2ef78_-5a67"/>
        <s v="cwfif_national_activefires.fid--5b5096eb_19f85a2ef78_-5a68"/>
        <s v="cwfif_national_activefires.fid--5b5096eb_19f85a2ef78_-5a69"/>
        <s v="cwfif_national_activefires.fid--5b5096eb_19f85a2ef78_-5a6a"/>
        <s v="cwfif_national_activefires.fid--5b5096eb_19f85a2ef78_-5a6b"/>
        <s v="cwfif_national_activefires.fid--5b5096eb_19f85a2ef78_-5a6c"/>
        <s v="cwfif_national_activefires.fid--5b5096eb_19f85a2ef78_-5a6d"/>
        <s v="cwfif_national_activefires.fid--5b5096eb_19f85a2ef78_-5a6e"/>
        <s v="cwfif_national_activefires.fid--5b5096eb_19f85a2ef78_-5a6f"/>
        <s v="cwfif_national_activefires.fid--5b5096eb_19f85a2ef78_-5a70"/>
        <s v="cwfif_national_activefires.fid--5b5096eb_19f85a2ef78_-5a71"/>
        <s v="cwfif_national_activefires.fid--5b5096eb_19f85a2ef78_-5a72"/>
        <s v="cwfif_national_activefires.fid--5b5096eb_19f85a2ef78_-5a73"/>
        <s v="cwfif_national_activefires.fid--5b5096eb_19f85a2ef78_-5a74"/>
        <s v="cwfif_national_activefires.fid--5b5096eb_19f85a2ef78_-5a75"/>
        <s v="cwfif_national_activefires.fid--5b5096eb_19f85a2ef78_-5a76"/>
        <s v="cwfif_national_activefires.fid--5b5096eb_19f85a2ef78_-5a77"/>
        <s v="cwfif_national_activefires.fid--5b5096eb_19f85a2ef78_-5a78"/>
        <s v="cwfif_national_activefires.fid--5b5096eb_19f85a2ef78_-5a79"/>
        <s v="cwfif_national_activefires.fid--5b5096eb_19f85a2ef78_-5a7a"/>
        <s v="cwfif_national_activefires.fid--5b5096eb_19f85a2ef78_-5a7b"/>
        <s v="cwfif_national_activefires.fid--5b5096eb_19f85a2ef78_-5a7c"/>
        <s v="cwfif_national_activefires.fid--5b5096eb_19f85a2ef78_-5a7d"/>
        <s v="cwfif_national_activefires.fid--5b5096eb_19f85a2ef78_-5a7e"/>
        <s v="cwfif_national_activefires.fid--5b5096eb_19f85a2ef78_-5a7f"/>
        <s v="cwfif_national_activefires.fid--5b5096eb_19f85a2ef78_-5a80"/>
        <s v="cwfif_national_activefires.fid--5b5096eb_19f85a2ef78_-5a81"/>
        <s v="cwfif_national_activefires.fid--5b5096eb_19f85a2ef78_-5a82"/>
        <s v="cwfif_national_activefires.fid--5b5096eb_19f85a2ef78_-5a83"/>
        <s v="cwfif_national_activefires.fid--5b5096eb_19f85a2ef78_-5a84"/>
        <s v="cwfif_national_activefires.fid--5b5096eb_19f85a2ef78_-5a85"/>
        <s v="cwfif_national_activefires.fid--5b5096eb_19f85a2ef78_-5a86"/>
        <s v="cwfif_national_activefires.fid--5b5096eb_19f85a2ef78_-5a87"/>
        <s v="cwfif_national_activefires.fid--5b5096eb_19f85a2ef78_-5a88"/>
        <s v="cwfif_national_activefires.fid--5b5096eb_19f85a2ef78_-5a89"/>
        <s v="cwfif_national_activefires.fid--5b5096eb_19f85a2ef78_-5a8a"/>
        <s v="cwfif_national_activefires.fid--5b5096eb_19f85a2ef78_-5a8b"/>
        <s v="cwfif_national_activefires.fid--5b5096eb_19f85a2ef78_-5a8c"/>
        <m/>
      </sharedItems>
    </cacheField>
    <cacheField name="id" numFmtId="0">
      <sharedItems containsString="0" containsBlank="1" containsNumber="1" containsInteger="1" minValue="11880343" maxValue="18449588" count="890">
        <n v="11880343"/>
        <n v="12339701"/>
        <n v="14096656"/>
        <n v="14804438"/>
        <n v="14834570"/>
        <n v="15000858"/>
        <n v="15000861"/>
        <n v="15000862"/>
        <n v="15393793"/>
        <n v="15422248"/>
        <n v="15796573"/>
        <n v="15838748"/>
        <n v="15871288"/>
        <n v="15871290"/>
        <n v="15871291"/>
        <n v="15878102"/>
        <n v="15935125"/>
        <n v="16097935"/>
        <n v="16131803"/>
        <n v="16165871"/>
        <n v="16219014"/>
        <n v="16263803"/>
        <n v="16313508"/>
        <n v="16345362"/>
        <n v="16364896"/>
        <n v="16386098"/>
        <n v="16395249"/>
        <n v="16396270"/>
        <n v="16400651"/>
        <n v="16400653"/>
        <n v="16443297"/>
        <n v="16443298"/>
        <n v="16448267"/>
        <n v="16448268"/>
        <n v="16448269"/>
        <n v="16448272"/>
        <n v="16449585"/>
        <n v="16453592"/>
        <n v="16456890"/>
        <n v="16456902"/>
        <n v="16482046"/>
        <n v="16482225"/>
        <n v="16484774"/>
        <n v="16488546"/>
        <n v="16488549"/>
        <n v="16488551"/>
        <n v="16488554"/>
        <n v="16488563"/>
        <n v="16489440"/>
        <n v="16494369"/>
        <n v="16494546"/>
        <n v="16500475"/>
        <n v="16503902"/>
        <n v="16524857"/>
        <n v="16524859"/>
        <n v="16524861"/>
        <n v="16524863"/>
        <n v="16524864"/>
        <n v="16533206"/>
        <n v="16533207"/>
        <n v="16533208"/>
        <n v="16533209"/>
        <n v="16534619"/>
        <n v="16541458"/>
        <n v="16541459"/>
        <n v="16543925"/>
        <n v="16543927"/>
        <n v="16554424"/>
        <n v="16576646"/>
        <n v="16576651"/>
        <n v="16576653"/>
        <n v="16576654"/>
        <n v="16576657"/>
        <n v="16576660"/>
        <n v="16578424"/>
        <n v="16588147"/>
        <n v="16588149"/>
        <n v="16592788"/>
        <n v="16597605"/>
        <n v="16600614"/>
        <n v="16608696"/>
        <n v="16632171"/>
        <n v="16632172"/>
        <n v="16632174"/>
        <n v="16632176"/>
        <n v="16635421"/>
        <n v="16638227"/>
        <n v="16638229"/>
        <n v="16640747"/>
        <n v="16643835"/>
        <n v="16648766"/>
        <n v="16650606"/>
        <n v="16653008"/>
        <n v="16653072"/>
        <n v="16655490"/>
        <n v="16658510"/>
        <n v="16659135"/>
        <n v="16659148"/>
        <n v="16659194"/>
        <n v="16659195"/>
        <n v="16689512"/>
        <n v="16689513"/>
        <n v="16692814"/>
        <n v="16692815"/>
        <n v="16693014"/>
        <n v="16693215"/>
        <n v="16693218"/>
        <n v="16695405"/>
        <n v="16695406"/>
        <n v="16696777"/>
        <n v="16711242"/>
        <n v="16711243"/>
        <n v="16711244"/>
        <n v="16711245"/>
        <n v="16711246"/>
        <n v="16711247"/>
        <n v="16711248"/>
        <n v="16711249"/>
        <n v="16711250"/>
        <n v="16713568"/>
        <n v="16713569"/>
        <n v="16716503"/>
        <n v="16716506"/>
        <n v="16716545"/>
        <n v="16727030"/>
        <n v="16753469"/>
        <n v="16753470"/>
        <n v="16753471"/>
        <n v="16753472"/>
        <n v="16757115"/>
        <n v="16757185"/>
        <n v="16757186"/>
        <n v="16757383"/>
        <n v="16758387"/>
        <n v="16758388"/>
        <n v="16758950"/>
        <n v="16758951"/>
        <n v="16758952"/>
        <n v="16758953"/>
        <n v="16758954"/>
        <n v="16759119"/>
        <n v="16761235"/>
        <n v="16761236"/>
        <n v="16761237"/>
        <n v="16761240"/>
        <n v="16761241"/>
        <n v="16761242"/>
        <n v="16761243"/>
        <n v="16761244"/>
        <n v="16763626"/>
        <n v="16763627"/>
        <n v="16763628"/>
        <n v="16764327"/>
        <n v="16768080"/>
        <n v="16768081"/>
        <n v="16769074"/>
        <n v="16770699"/>
        <n v="16773743"/>
        <n v="16773744"/>
        <n v="16778853"/>
        <n v="16778935"/>
        <n v="16813487"/>
        <n v="16813488"/>
        <n v="16813489"/>
        <n v="16820629"/>
        <n v="16820657"/>
        <n v="16820658"/>
        <n v="16820711"/>
        <n v="16820723"/>
        <n v="16820726"/>
        <n v="16820729"/>
        <n v="16821723"/>
        <n v="16821724"/>
        <n v="16821726"/>
        <n v="16821770"/>
        <n v="16821771"/>
        <n v="16821772"/>
        <n v="16821773"/>
        <n v="16821774"/>
        <n v="16821775"/>
        <n v="16821776"/>
        <n v="16821777"/>
        <n v="16821778"/>
        <n v="16821779"/>
        <n v="16821780"/>
        <n v="16821781"/>
        <n v="16837457"/>
        <n v="16843340"/>
        <n v="16845981"/>
        <n v="16845982"/>
        <n v="16849402"/>
        <n v="16849403"/>
        <n v="16850705"/>
        <n v="16878421"/>
        <n v="16878422"/>
        <n v="16892048"/>
        <n v="16892234"/>
        <n v="16894792"/>
        <n v="16895580"/>
        <n v="16898307"/>
        <n v="16909429"/>
        <n v="16913690"/>
        <n v="16956928"/>
        <n v="16956932"/>
        <n v="16966480"/>
        <n v="16973048"/>
        <n v="16977684"/>
        <n v="16977685"/>
        <n v="16983705"/>
        <n v="16984011"/>
        <n v="16984012"/>
        <n v="16984028"/>
        <n v="16984100"/>
        <n v="16984101"/>
        <n v="16984368"/>
        <n v="16984371"/>
        <n v="16987067"/>
        <n v="17022827"/>
        <n v="17022828"/>
        <n v="17033527"/>
        <n v="17048470"/>
        <n v="17048980"/>
        <n v="17051395"/>
        <n v="17051396"/>
        <n v="17057074"/>
        <n v="17057075"/>
        <n v="17057770"/>
        <n v="17061148"/>
        <n v="17061153"/>
        <n v="17088902"/>
        <n v="17088968"/>
        <n v="17088969"/>
        <n v="17089002"/>
        <n v="17089011"/>
        <n v="17089013"/>
        <n v="17089016"/>
        <n v="17089017"/>
        <n v="17094415"/>
        <n v="17094431"/>
        <n v="17094445"/>
        <n v="17094474"/>
        <n v="17094509"/>
        <n v="17102805"/>
        <n v="17107860"/>
        <n v="17112103"/>
        <n v="17112262"/>
        <n v="17112263"/>
        <n v="17112264"/>
        <n v="17112265"/>
        <n v="17112266"/>
        <n v="17114421"/>
        <n v="17116271"/>
        <n v="17116329"/>
        <n v="17116331"/>
        <n v="17116332"/>
        <n v="17116555"/>
        <n v="17118587"/>
        <n v="17118588"/>
        <n v="17118589"/>
        <n v="17118594"/>
        <n v="17118598"/>
        <n v="17121723"/>
        <n v="17127911"/>
        <n v="17157828"/>
        <n v="17162666"/>
        <n v="17162803"/>
        <n v="17162831"/>
        <n v="17164383"/>
        <n v="17164384"/>
        <n v="17173440"/>
        <n v="17175182"/>
        <n v="17188699"/>
        <n v="17188794"/>
        <n v="17189939"/>
        <n v="17192103"/>
        <n v="17242697"/>
        <n v="17252791"/>
        <n v="17256293"/>
        <n v="17257246"/>
        <n v="17276534"/>
        <n v="17307434"/>
        <n v="17307536"/>
        <n v="17314225"/>
        <n v="17317623"/>
        <n v="17317660"/>
        <n v="17321693"/>
        <n v="17348246"/>
        <n v="17348247"/>
        <n v="17348252"/>
        <n v="17381254"/>
        <n v="17386002"/>
        <n v="17393573"/>
        <n v="17398880"/>
        <n v="17399415"/>
        <n v="17399429"/>
        <n v="17415929"/>
        <n v="17415938"/>
        <n v="17416217"/>
        <n v="17416224"/>
        <n v="17450850"/>
        <n v="17451333"/>
        <n v="17452213"/>
        <n v="17458154"/>
        <n v="17459187"/>
        <n v="17459189"/>
        <n v="17463582"/>
        <n v="17463712"/>
        <n v="17463725"/>
        <n v="17463744"/>
        <n v="17463749"/>
        <n v="17463854"/>
        <n v="17463858"/>
        <n v="17463890"/>
        <n v="17463998"/>
        <n v="17463999"/>
        <n v="17465632"/>
        <n v="17467679"/>
        <n v="17479054"/>
        <n v="17479057"/>
        <n v="17479059"/>
        <n v="17479060"/>
        <n v="17479061"/>
        <n v="17479062"/>
        <n v="17479064"/>
        <n v="17479065"/>
        <n v="17479068"/>
        <n v="17479069"/>
        <n v="17479070"/>
        <n v="17479075"/>
        <n v="17479078"/>
        <n v="17479079"/>
        <n v="17479080"/>
        <n v="17479081"/>
        <n v="17479082"/>
        <n v="17481737"/>
        <n v="17481738"/>
        <n v="17481739"/>
        <n v="17481740"/>
        <n v="17481741"/>
        <n v="17481742"/>
        <n v="17481743"/>
        <n v="17481744"/>
        <n v="17481745"/>
        <n v="17481753"/>
        <n v="17481758"/>
        <n v="17481759"/>
        <n v="17481760"/>
        <n v="17485988"/>
        <n v="17486223"/>
        <n v="17487196"/>
        <n v="17491010"/>
        <n v="17491094"/>
        <n v="17491155"/>
        <n v="17491162"/>
        <n v="17524026"/>
        <n v="17524651"/>
        <n v="17530646"/>
        <n v="17538846"/>
        <n v="17546907"/>
        <n v="17546915"/>
        <n v="17551064"/>
        <n v="17551065"/>
        <n v="17554160"/>
        <n v="17555661"/>
        <n v="17562551"/>
        <n v="17567772"/>
        <n v="17567969"/>
        <n v="17603732"/>
        <n v="17603733"/>
        <n v="17605213"/>
        <n v="17606888"/>
        <n v="17606889"/>
        <n v="17612759"/>
        <n v="17614439"/>
        <n v="17619580"/>
        <n v="17625420"/>
        <n v="17625456"/>
        <n v="17625457"/>
        <n v="17625458"/>
        <n v="17625470"/>
        <n v="17625493"/>
        <n v="17625520"/>
        <n v="17625553"/>
        <n v="17626738"/>
        <n v="17626739"/>
        <n v="17631488"/>
        <n v="17631762"/>
        <n v="17633652"/>
        <n v="17633655"/>
        <n v="17633921"/>
        <n v="17633943"/>
        <n v="17633989"/>
        <n v="17633998"/>
        <n v="17634009"/>
        <n v="17634039"/>
        <n v="17636893"/>
        <n v="17637055"/>
        <n v="17637250"/>
        <n v="17638122"/>
        <n v="17678884"/>
        <n v="17680702"/>
        <n v="17681103"/>
        <n v="17691023"/>
        <n v="17696714"/>
        <n v="17696717"/>
        <n v="17696746"/>
        <n v="17696763"/>
        <n v="17696794"/>
        <n v="17696832"/>
        <n v="17696833"/>
        <n v="17703677"/>
        <n v="17703678"/>
        <n v="17707186"/>
        <n v="17708708"/>
        <n v="17711781"/>
        <n v="17717428"/>
        <n v="17717582"/>
        <n v="17717608"/>
        <n v="17717741"/>
        <n v="17757716"/>
        <n v="17757742"/>
        <n v="17757748"/>
        <n v="17757766"/>
        <n v="17758397"/>
        <n v="17765456"/>
        <n v="17770606"/>
        <n v="17770679"/>
        <n v="17771200"/>
        <n v="17771423"/>
        <n v="17771442"/>
        <n v="17771522"/>
        <n v="17774592"/>
        <n v="17785267"/>
        <n v="17786656"/>
        <n v="17786707"/>
        <n v="17786808"/>
        <n v="17786821"/>
        <n v="17786825"/>
        <n v="17786827"/>
        <n v="17786847"/>
        <n v="17788089"/>
        <n v="17795310"/>
        <n v="17833172"/>
        <n v="17847181"/>
        <n v="17853749"/>
        <n v="17858008"/>
        <n v="17860215"/>
        <n v="17860272"/>
        <n v="17860301"/>
        <n v="17860313"/>
        <n v="17860430"/>
        <n v="17860451"/>
        <n v="17860527"/>
        <n v="17860579"/>
        <n v="17861048"/>
        <n v="17861049"/>
        <n v="17863459"/>
        <n v="17863499"/>
        <n v="17864251"/>
        <n v="17865786"/>
        <n v="17865788"/>
        <n v="17865790"/>
        <n v="17865791"/>
        <n v="17869495"/>
        <n v="17871400"/>
        <n v="17871603"/>
        <n v="17876121"/>
        <n v="17914094"/>
        <n v="17914096"/>
        <n v="17915994"/>
        <n v="17917967"/>
        <n v="17925517"/>
        <n v="17926398"/>
        <n v="17926406"/>
        <n v="17926407"/>
        <n v="17926412"/>
        <n v="17927607"/>
        <n v="17930325"/>
        <n v="17932116"/>
        <n v="17932117"/>
        <n v="17932365"/>
        <n v="17933799"/>
        <n v="17934383"/>
        <n v="17934430"/>
        <n v="17936040"/>
        <n v="17936195"/>
        <n v="17937065"/>
        <n v="17937335"/>
        <n v="17937390"/>
        <n v="17938976"/>
        <n v="17939650"/>
        <n v="17939651"/>
        <n v="17940536"/>
        <n v="17943530"/>
        <n v="17943855"/>
        <n v="17944526"/>
        <n v="17944579"/>
        <n v="17944581"/>
        <n v="17944586"/>
        <n v="17944593"/>
        <n v="17944679"/>
        <n v="17944792"/>
        <n v="17947776"/>
        <n v="17947874"/>
        <n v="17950120"/>
        <n v="17950388"/>
        <n v="17951113"/>
        <n v="17952971"/>
        <n v="17952973"/>
        <n v="17952977"/>
        <n v="17958420"/>
        <n v="17968570"/>
        <n v="17990954"/>
        <n v="18000404"/>
        <n v="18000465"/>
        <n v="18000591"/>
        <n v="18005661"/>
        <n v="18006299"/>
        <n v="18006308"/>
        <n v="18007289"/>
        <n v="18007904"/>
        <n v="18008010"/>
        <n v="18008011"/>
        <n v="18008012"/>
        <n v="18010280"/>
        <n v="18010507"/>
        <n v="18010736"/>
        <n v="18010740"/>
        <n v="18010742"/>
        <n v="18013402"/>
        <n v="18013532"/>
        <n v="18013573"/>
        <n v="18013626"/>
        <n v="18013627"/>
        <n v="18013628"/>
        <n v="18013629"/>
        <n v="18017201"/>
        <n v="18017203"/>
        <n v="18017204"/>
        <n v="18017215"/>
        <n v="18017219"/>
        <n v="18017225"/>
        <n v="18017228"/>
        <n v="18017238"/>
        <n v="18017724"/>
        <n v="18017725"/>
        <n v="18019052"/>
        <n v="18021695"/>
        <n v="18021860"/>
        <n v="18022369"/>
        <n v="18022585"/>
        <n v="18023747"/>
        <n v="18025559"/>
        <n v="18025560"/>
        <n v="18025561"/>
        <n v="18027692"/>
        <n v="18030172"/>
        <n v="18031183"/>
        <n v="18031362"/>
        <n v="18035415"/>
        <n v="18039443"/>
        <n v="18041370"/>
        <n v="18042402"/>
        <n v="18042442"/>
        <n v="18042446"/>
        <n v="18042631"/>
        <n v="18042944"/>
        <n v="18042959"/>
        <n v="18046762"/>
        <n v="18051292"/>
        <n v="18080303"/>
        <n v="18082094"/>
        <n v="18085682"/>
        <n v="18087121"/>
        <n v="18098306"/>
        <n v="18101126"/>
        <n v="18103384"/>
        <n v="18103386"/>
        <n v="18104222"/>
        <n v="18104223"/>
        <n v="18104702"/>
        <n v="18106139"/>
        <n v="18108331"/>
        <n v="18108570"/>
        <n v="18109875"/>
        <n v="18109876"/>
        <n v="18115765"/>
        <n v="18116923"/>
        <n v="18119810"/>
        <n v="18119901"/>
        <n v="18120056"/>
        <n v="18122998"/>
        <n v="18123145"/>
        <n v="18130549"/>
        <n v="18132701"/>
        <n v="18133087"/>
        <n v="18137593"/>
        <n v="18137918"/>
        <n v="18137954"/>
        <n v="18137961"/>
        <n v="18150993"/>
        <n v="18155280"/>
        <n v="18155292"/>
        <n v="18155310"/>
        <n v="18155313"/>
        <n v="18171372"/>
        <n v="18172172"/>
        <n v="18174889"/>
        <n v="18175778"/>
        <n v="18175824"/>
        <n v="18175898"/>
        <n v="18176075"/>
        <n v="18176079"/>
        <n v="18176088"/>
        <n v="18176091"/>
        <n v="18176093"/>
        <n v="18176098"/>
        <n v="18176109"/>
        <n v="18178237"/>
        <n v="18178333"/>
        <n v="18179073"/>
        <n v="18180353"/>
        <n v="18184613"/>
        <n v="18187975"/>
        <n v="18188206"/>
        <n v="18192594"/>
        <n v="18193140"/>
        <n v="18193141"/>
        <n v="18193142"/>
        <n v="18194891"/>
        <n v="18195045"/>
        <n v="18196479"/>
        <n v="18196762"/>
        <n v="18197815"/>
        <n v="18197821"/>
        <n v="18198068"/>
        <n v="18198128"/>
        <n v="18198914"/>
        <n v="18199186"/>
        <n v="18200610"/>
        <n v="18201513"/>
        <n v="18201712"/>
        <n v="18202147"/>
        <n v="18203277"/>
        <n v="18203280"/>
        <n v="18203286"/>
        <n v="18203291"/>
        <n v="18203292"/>
        <n v="18203304"/>
        <n v="18203305"/>
        <n v="18203309"/>
        <n v="18203310"/>
        <n v="18203312"/>
        <n v="18203313"/>
        <n v="18203314"/>
        <n v="18203327"/>
        <n v="18203347"/>
        <n v="18205214"/>
        <n v="18205227"/>
        <n v="18205228"/>
        <n v="18205370"/>
        <n v="18205371"/>
        <n v="18205372"/>
        <n v="18205373"/>
        <n v="18205374"/>
        <n v="18205375"/>
        <n v="18205687"/>
        <n v="18207881"/>
        <n v="18207904"/>
        <n v="18208389"/>
        <n v="18208394"/>
        <n v="18208400"/>
        <n v="18208401"/>
        <n v="18208402"/>
        <n v="18208403"/>
        <n v="18208405"/>
        <n v="18208408"/>
        <n v="18209829"/>
        <n v="18209830"/>
        <n v="18209831"/>
        <n v="18209832"/>
        <n v="18209833"/>
        <n v="18210968"/>
        <n v="18213230"/>
        <n v="18214624"/>
        <n v="18216112"/>
        <n v="18216114"/>
        <n v="18218139"/>
        <n v="18223385"/>
        <n v="18226687"/>
        <n v="18227069"/>
        <n v="18230611"/>
        <n v="18230627"/>
        <n v="18242715"/>
        <n v="18255374"/>
        <n v="18255454"/>
        <n v="18255469"/>
        <n v="18258017"/>
        <n v="18259399"/>
        <n v="18268407"/>
        <n v="18269930"/>
        <n v="18272756"/>
        <n v="18274420"/>
        <n v="18279805"/>
        <n v="18279806"/>
        <n v="18280116"/>
        <n v="18280117"/>
        <n v="18280118"/>
        <n v="18280120"/>
        <n v="18280122"/>
        <n v="18280123"/>
        <n v="18280124"/>
        <n v="18280125"/>
        <n v="18280128"/>
        <n v="18280129"/>
        <n v="18280130"/>
        <n v="18281826"/>
        <n v="18282135"/>
        <n v="18282571"/>
        <n v="18282714"/>
        <n v="18282794"/>
        <n v="18284114"/>
        <n v="18285407"/>
        <n v="18285410"/>
        <n v="18285763"/>
        <n v="18285764"/>
        <n v="18285765"/>
        <n v="18286390"/>
        <n v="18287074"/>
        <n v="18287940"/>
        <n v="18290490"/>
        <n v="18290596"/>
        <n v="18291380"/>
        <n v="18291872"/>
        <n v="18291985"/>
        <n v="18292240"/>
        <n v="18292242"/>
        <n v="18292632"/>
        <n v="18294493"/>
        <n v="18294494"/>
        <n v="18296049"/>
        <n v="18296089"/>
        <n v="18296875"/>
        <n v="18296876"/>
        <n v="18297694"/>
        <n v="18297964"/>
        <n v="18298692"/>
        <n v="18300080"/>
        <n v="18300116"/>
        <n v="18300134"/>
        <n v="18300136"/>
        <n v="18301689"/>
        <n v="18301759"/>
        <n v="18301775"/>
        <n v="18301779"/>
        <n v="18301783"/>
        <n v="18301785"/>
        <n v="18301788"/>
        <n v="18301790"/>
        <n v="18301791"/>
        <n v="18301795"/>
        <n v="18301796"/>
        <n v="18301797"/>
        <n v="18301799"/>
        <n v="18301800"/>
        <n v="18301802"/>
        <n v="18301805"/>
        <n v="18301815"/>
        <n v="18301816"/>
        <n v="18301817"/>
        <n v="18301818"/>
        <n v="18301819"/>
        <n v="18302061"/>
        <n v="18303010"/>
        <n v="18303965"/>
        <n v="18306135"/>
        <n v="18307796"/>
        <n v="18307913"/>
        <n v="18308087"/>
        <n v="18308328"/>
        <n v="18308339"/>
        <n v="18310588"/>
        <n v="18317554"/>
        <n v="18320854"/>
        <n v="18349365"/>
        <n v="18351366"/>
        <n v="18351389"/>
        <n v="18351628"/>
        <n v="18353244"/>
        <n v="18357773"/>
        <n v="18357866"/>
        <n v="18358040"/>
        <n v="18358047"/>
        <n v="18358356"/>
        <n v="18359214"/>
        <n v="18359663"/>
        <n v="18360409"/>
        <n v="18361584"/>
        <n v="18366341"/>
        <n v="18366433"/>
        <n v="18366458"/>
        <n v="18366554"/>
        <n v="18366598"/>
        <n v="18366601"/>
        <n v="18366606"/>
        <n v="18366624"/>
        <n v="18366666"/>
        <n v="18368431"/>
        <n v="18369344"/>
        <n v="18370668"/>
        <n v="18370846"/>
        <n v="18371824"/>
        <n v="18373274"/>
        <n v="18374408"/>
        <n v="18374409"/>
        <n v="18374410"/>
        <n v="18374411"/>
        <n v="18376155"/>
        <n v="18376571"/>
        <n v="18376630"/>
        <n v="18376881"/>
        <n v="18377323"/>
        <n v="18378790"/>
        <n v="18379489"/>
        <n v="18379964"/>
        <n v="18379967"/>
        <n v="18380099"/>
        <n v="18380189"/>
        <n v="18380235"/>
        <n v="18380560"/>
        <n v="18380651"/>
        <n v="18380652"/>
        <n v="18381693"/>
        <n v="18381993"/>
        <n v="18382451"/>
        <n v="18384906"/>
        <n v="18384917"/>
        <n v="18385173"/>
        <n v="18385967"/>
        <n v="18385968"/>
        <n v="18385969"/>
        <n v="18385970"/>
        <n v="18386790"/>
        <n v="18386852"/>
        <n v="18386952"/>
        <n v="18387125"/>
        <n v="18390616"/>
        <n v="18390651"/>
        <n v="18390653"/>
        <n v="18390655"/>
        <n v="18390656"/>
        <n v="18390657"/>
        <n v="18390658"/>
        <n v="18392646"/>
        <n v="18392815"/>
        <n v="18392841"/>
        <n v="18393157"/>
        <n v="18395536"/>
        <n v="18395918"/>
        <n v="18396299"/>
        <n v="18397118"/>
        <n v="18399827"/>
        <n v="18399869"/>
        <n v="18399917"/>
        <n v="18402583"/>
        <n v="18403343"/>
        <n v="18405355"/>
        <n v="18405562"/>
        <n v="18405616"/>
        <n v="18409221"/>
        <n v="18409224"/>
        <n v="18409255"/>
        <n v="18410907"/>
        <n v="18411385"/>
        <n v="18416839"/>
        <n v="18431362"/>
        <n v="18434308"/>
        <n v="18439004"/>
        <n v="18439038"/>
        <n v="18439040"/>
        <n v="18439101"/>
        <n v="18439647"/>
        <n v="18439926"/>
        <n v="18442913"/>
        <n v="18443252"/>
        <n v="18443328"/>
        <n v="18447002"/>
        <n v="18447335"/>
        <n v="18449588"/>
        <m/>
      </sharedItems>
    </cacheField>
    <cacheField name="agency_code" numFmtId="0">
      <sharedItems containsBlank="1" count="13">
        <s v="AB"/>
        <s v="BC"/>
        <s v="MB"/>
        <s v="NB"/>
        <s v="NL"/>
        <s v="NS"/>
        <s v="NT"/>
        <s v="ON"/>
        <s v="PC"/>
        <s v="QC"/>
        <s v="SK"/>
        <s v="YT"/>
        <m/>
      </sharedItems>
    </cacheField>
    <cacheField name="region_code" numFmtId="0">
      <sharedItems containsBlank="1" containsMixedTypes="1" containsNumber="1" containsInteger="1" minValue="6" maxValue="9" count="72">
        <n v="6"/>
        <n v="9"/>
        <s v="BN"/>
        <s v="C1"/>
        <s v="C2"/>
        <s v="C3"/>
        <s v="C4"/>
        <s v="C5"/>
        <s v="COC"/>
        <s v="DA"/>
        <s v="DB"/>
        <s v="DRY"/>
        <s v="EA"/>
        <s v="EV"/>
        <s v="FOR"/>
        <s v="FS"/>
        <s v="G1"/>
        <s v="G4"/>
        <s v="G6"/>
        <s v="G8"/>
        <s v="G9"/>
        <s v="HJ"/>
        <s v="HWF"/>
        <s v="K2"/>
        <s v="K4"/>
        <s v="K5"/>
        <s v="K7"/>
        <s v="LA"/>
        <s v="LF"/>
        <s v="LM"/>
        <s v="LR"/>
        <s v="LWF"/>
        <s v="LX"/>
        <s v="MA"/>
        <s v="MM"/>
        <s v="MWF"/>
        <s v="N1"/>
        <s v="N2"/>
        <s v="N4"/>
        <s v="N5"/>
        <s v="N6"/>
        <s v="NA"/>
        <s v="NIP"/>
        <s v="NO"/>
        <s v="NOR"/>
        <s v="OC"/>
        <s v="OT"/>
        <s v="PWF"/>
        <s v="R9"/>
        <s v="RED"/>
        <s v="RWF"/>
        <s v="SE"/>
        <s v="SLK"/>
        <s v="SR"/>
        <s v="SS"/>
        <s v="TH"/>
        <s v="THU"/>
        <s v="TIM"/>
        <s v="V1"/>
        <s v="V3"/>
        <s v="V6"/>
        <s v="V8"/>
        <s v="VA"/>
        <s v="VQ"/>
        <s v="WA"/>
        <s v="WAW"/>
        <s v="WB"/>
        <s v="WE"/>
        <s v="WP"/>
        <s v="XY"/>
        <s v="ZF"/>
        <m/>
      </sharedItems>
    </cacheField>
    <cacheField name="national_fire_id" numFmtId="0">
      <sharedItems containsBlank="1" count="890">
        <s v="2020_QC_165"/>
        <s v="2020_QC_499"/>
        <s v="2023_QC_245"/>
        <s v="2023_QC_246"/>
        <s v="2023_QC_270"/>
        <s v="2025_BC_2025-C22352"/>
        <s v="2025_BC_2025-V32337"/>
        <s v="2026_AB_HWF-003-2026"/>
        <s v="2026_AB_HWF-005-2026"/>
        <s v="2026_AB_HWF-094-2026"/>
        <s v="2026_AB_HWF-096-2026"/>
        <s v="2026_AB_HWF-113-2026"/>
        <s v="2026_AB_HWF-114-2026"/>
        <s v="2026_AB_LWF-081-2026"/>
        <s v="2026_AB_LWF-082-2026"/>
        <s v="2026_AB_LWF-083-2026"/>
        <s v="2026_AB_LWF-084-2026"/>
        <s v="2026_AB_MWF-038-2026"/>
        <s v="2026_AB_PWF-056-2026"/>
        <s v="2026_AB_RWF-036-2026"/>
        <s v="2026_BC_2026-C10467"/>
        <s v="2026_BC_2026-C10950"/>
        <s v="2026_BC_2026-C10952"/>
        <s v="2026_BC_2026-C10964"/>
        <s v="2026_BC_2026-C10968"/>
        <s v="2026_BC_2026-C10970"/>
        <s v="2026_BC_2026-C10981"/>
        <s v="2026_BC_2026-C10988"/>
        <s v="2026_BC_2026-C20851"/>
        <s v="2026_BC_2026-C20940"/>
        <s v="2026_BC_2026-C31000"/>
        <s v="2026_BC_2026-C40784"/>
        <s v="2026_BC_2026-C40897"/>
        <s v="2026_BC_2026-C40906"/>
        <s v="2026_BC_2026-C40907"/>
        <s v="2026_BC_2026-C40923"/>
        <s v="2026_BC_2026-C40930"/>
        <s v="2026_BC_2026-C40983"/>
        <s v="2026_BC_2026-C50927"/>
        <s v="2026_BC_2026-C50929"/>
        <s v="2026_BC_2026-C50946"/>
        <s v="2026_BC_2026-C51022"/>
        <s v="2026_BC_2026-C51039"/>
        <s v="2026_BC_2026-G10951"/>
        <s v="2026_BC_2026-G40973"/>
        <s v="2026_BC_2026-G61062"/>
        <s v="2026_BC_2026-G80488"/>
        <s v="2026_BC_2026-G80916"/>
        <s v="2026_BC_2026-G90285"/>
        <s v="2026_BC_2026-G90400"/>
        <s v="2026_BC_2026-G90714"/>
        <s v="2026_BC_2026-K20949"/>
        <s v="2026_BC_2026-K40899"/>
        <s v="2026_BC_2026-K40931"/>
        <s v="2026_BC_2026-K50824"/>
        <s v="2026_BC_2026-K50869"/>
        <s v="2026_BC_2026-K50871"/>
        <s v="2026_BC_2026-K70597"/>
        <s v="2026_BC_2026-K70659"/>
        <s v="2026_BC_2026-K70748"/>
        <s v="2026_BC_2026-N10812"/>
        <s v="2026_BC_2026-N10943"/>
        <s v="2026_BC_2026-N10944"/>
        <s v="2026_BC_2026-N10947"/>
        <s v="2026_BC_2026-N10982"/>
        <s v="2026_BC_2026-N11007"/>
        <s v="2026_BC_2026-N11020"/>
        <s v="2026_BC_2026-N11027"/>
        <s v="2026_BC_2026-N11028"/>
        <s v="2026_BC_2026-N11036"/>
        <s v="2026_BC_2026-N20809"/>
        <s v="2026_BC_2026-N21071"/>
        <s v="2026_BC_2026-N40912"/>
        <s v="2026_BC_2026-N41041"/>
        <s v="2026_BC_2026-N41073"/>
        <s v="2026_BC_2026-N50870"/>
        <s v="2026_BC_2026-N50873"/>
        <s v="2026_BC_2026-N50876"/>
        <s v="2026_BC_2026-N50919"/>
        <s v="2026_BC_2026-N51014"/>
        <s v="2026_BC_2026-N51038"/>
        <s v="2026_BC_2026-N51051"/>
        <s v="2026_BC_2026-N51066"/>
        <s v="2026_BC_2026-N51068"/>
        <s v="2026_BC_2026-N61030"/>
        <s v="2026_BC_2026-N61067"/>
        <s v="2026_BC_2026-N61072"/>
        <s v="2026_BC_2026-R90834"/>
        <s v="2026_BC_2026-R91074"/>
        <s v="2026_BC_2026-V10108"/>
        <s v="2026_BC_2026-V10742"/>
        <s v="2026_BC_2026-V10755"/>
        <s v="2026_BC_2026-V10858"/>
        <s v="2026_BC_2026-V10877"/>
        <s v="2026_BC_2026-V10886"/>
        <s v="2026_BC_2026-V10898"/>
        <s v="2026_BC_2026-V10942"/>
        <s v="2026_BC_2026-V10958"/>
        <s v="2026_BC_2026-V11058"/>
        <s v="2026_BC_2026-V30852"/>
        <s v="2026_BC_2026-V30933"/>
        <s v="2026_BC_2026-V30941"/>
        <s v="2026_BC_2026-V31008"/>
        <s v="2026_BC_2026-V60767"/>
        <s v="2026_BC_2026-V80937"/>
        <s v="2026_BC_2026-VA1043"/>
        <s v="2026_BC_2026-VA1048"/>
        <s v="2026_MB_MB-EA027"/>
        <s v="2026_MB_MB-NO009"/>
        <s v="2026_MB_MB-NO012"/>
        <s v="2026_MB_MB-NO013"/>
        <s v="2026_MB_MB-NO019"/>
        <s v="2026_MB_MB-NO021"/>
        <s v="2026_MB_MB-NO023"/>
        <s v="2026_MB_MB-NO024"/>
        <s v="2026_MB_MB-NO026"/>
        <s v="2026_MB_MB-NO027"/>
        <s v="2026_MB_MB-NO028"/>
        <s v="2026_MB_MB-NO029"/>
        <s v="2026_MB_MB-NO030"/>
        <s v="2026_MB_MB-NO031"/>
        <s v="2026_MB_MB-NO032"/>
        <s v="2026_MB_MB-NO034"/>
        <s v="2026_MB_MB-NO035"/>
        <s v="2026_MB_MB-NO037"/>
        <s v="2026_MB_MB-NO038"/>
        <s v="2026_MB_MB-NO039"/>
        <s v="2026_MB_MB-NO040"/>
        <s v="2026_MB_MB-NO041"/>
        <s v="2026_MB_MB-NO042"/>
        <s v="2026_MB_MB-NO045"/>
        <s v="2026_MB_MB-NO048"/>
        <s v="2026_MB_MB-NO050"/>
        <s v="2026_MB_MB-NO053"/>
        <s v="2026_MB_MB-NO054"/>
        <s v="2026_MB_MB-NO055"/>
        <s v="2026_MB_MB-NO062"/>
        <s v="2026_MB_MB-NO065"/>
        <s v="2026_MB_MB-NO066"/>
        <s v="2026_MB_MB-NO067"/>
        <s v="2026_MB_MB-NO068"/>
        <s v="2026_MB_MB-NO069"/>
        <s v="2026_MB_MB-NO070"/>
        <s v="2026_MB_MB-NO072"/>
        <s v="2026_MB_MB-NO073"/>
        <s v="2026_MB_MB-NO076"/>
        <s v="2026_MB_MB-NO079"/>
        <s v="2026_MB_MB-NO080"/>
        <s v="2026_MB_MB-NO081"/>
        <s v="2026_MB_MB-NO082"/>
        <s v="2026_MB_MB-NO083"/>
        <s v="2026_MB_MB-NO084"/>
        <s v="2026_MB_MB-NO085"/>
        <s v="2026_MB_MB-NO086"/>
        <s v="2026_MB_MB-NO087"/>
        <s v="2026_MB_MB-NO089"/>
        <s v="2026_MB_MB-NO090"/>
        <s v="2026_MB_MB-NO091"/>
        <s v="2026_MB_MB-NO092"/>
        <s v="2026_MB_MB-NO093"/>
        <s v="2026_MB_MB-NO094"/>
        <s v="2026_MB_MB-NO095"/>
        <s v="2026_MB_MB-NO098"/>
        <s v="2026_MB_MB-NO099"/>
        <s v="2026_MB_MB-NO100"/>
        <s v="2026_MB_MB-NO101"/>
        <s v="2026_MB_MB-NO102"/>
        <s v="2026_MB_MB-NO106"/>
        <s v="2026_MB_MB-NO107"/>
        <s v="2026_MB_MB-NO108"/>
        <s v="2026_MB_MB-NO109"/>
        <s v="2026_MB_MB-NO110"/>
        <s v="2026_MB_MB-NO111"/>
        <s v="2026_MB_MB-NO112"/>
        <s v="2026_MB_MB-NO113"/>
        <s v="2026_MB_MB-NO114"/>
        <s v="2026_MB_MB-NO117"/>
        <s v="2026_MB_MB-NO118"/>
        <s v="2026_MB_MB-NO119"/>
        <s v="2026_MB_MB-NO120"/>
        <s v="2026_MB_MB-NO121"/>
        <s v="2026_MB_MB-NO127"/>
        <s v="2026_MB_MB-NO128"/>
        <s v="2026_MB_MB-NO129"/>
        <s v="2026_MB_MB-NO130"/>
        <s v="2026_MB_MB-NO131"/>
        <s v="2026_MB_MB-NO132"/>
        <s v="2026_MB_MB-NO133"/>
        <s v="2026_MB_MB-NO136"/>
        <s v="2026_MB_MB-NO137"/>
        <s v="2026_MB_MB-NO138"/>
        <s v="2026_MB_MB-NO139"/>
        <s v="2026_MB_MB-NO140"/>
        <s v="2026_MB_MB-NO142"/>
        <s v="2026_MB_MB-NO143"/>
        <s v="2026_MB_MB-NO144"/>
        <s v="2026_MB_MB-NO145"/>
        <s v="2026_MB_MB-NO146"/>
        <s v="2026_MB_MB-NO147"/>
        <s v="2026_MB_MB-NO148"/>
        <s v="2026_MB_MB-NO149"/>
        <s v="2026_MB_MB-NO151"/>
        <s v="2026_MB_MB-NO152"/>
        <s v="2026_MB_MB-NO153"/>
        <s v="2026_MB_MB-NO154"/>
        <s v="2026_MB_MB-NO155"/>
        <s v="2026_MB_MB-NO156"/>
        <s v="2026_MB_MB-NO158"/>
        <s v="2026_MB_MB-NO160"/>
        <s v="2026_MB_MB-NO161"/>
        <s v="2026_MB_MB-NO162"/>
        <s v="2026_MB_MB-NO163"/>
        <s v="2026_MB_MB-NO164"/>
        <s v="2026_MB_MB-NO165"/>
        <s v="2026_MB_MB-NO166"/>
        <s v="2026_MB_MB-NO167"/>
        <s v="2026_MB_MB-NO168"/>
        <s v="2026_MB_MB-NO169"/>
        <s v="2026_MB_MB-NO171"/>
        <s v="2026_MB_MB-NO172"/>
        <s v="2026_MB_MB-NO173"/>
        <s v="2026_MB_MB-NO174"/>
        <s v="2026_MB_MB-NO175"/>
        <s v="2026_MB_MB-NO176"/>
        <s v="2026_MB_MB-NO177"/>
        <s v="2026_MB_MB-NO178"/>
        <s v="2026_MB_MB-NO179"/>
        <s v="2026_MB_MB-NO180"/>
        <s v="2026_MB_MB-NO181"/>
        <s v="2026_MB_MB-NO182"/>
        <s v="2026_MB_MB-NO183"/>
        <s v="2026_MB_MB-NO184"/>
        <s v="2026_MB_MB-NO185"/>
        <s v="2026_MB_MB-NO186"/>
        <s v="2026_MB_MB-NO187"/>
        <s v="2026_MB_MB-NO189"/>
        <s v="2026_MB_MB-NO192"/>
        <s v="2026_MB_MB-NO193"/>
        <s v="2026_MB_MB-NO195"/>
        <s v="2026_MB_MB-NO196"/>
        <s v="2026_MB_MB-NO197"/>
        <s v="2026_MB_MB-NO198"/>
        <s v="2026_MB_MB-NO199"/>
        <s v="2026_MB_MB-NO200"/>
        <s v="2026_MB_MB-NO201"/>
        <s v="2026_MB_MB-NO202"/>
        <s v="2026_MB_MB-NO204"/>
        <s v="2026_MB_MB-NO205"/>
        <s v="2026_MB_MB-NO206"/>
        <s v="2026_MB_MB-NO207"/>
        <s v="2026_MB_MB-NO208"/>
        <s v="2026_MB_MB-NO209"/>
        <s v="2026_MB_MB-NO210"/>
        <s v="2026_MB_MB-WE027"/>
        <s v="2026_NB_2026310"/>
        <s v="2026_NL_605"/>
        <s v="2026_NL_606"/>
        <s v="2026_NL_617"/>
        <s v="2026_NL_636"/>
        <s v="2026_NL_639"/>
        <s v="2026_NS_06-013-2026"/>
        <s v="2026_NS_09-013-2026"/>
        <s v="2026_NT_EV001-26"/>
        <s v="2026_NT_EV002-26"/>
        <s v="2026_NT_EV003-26"/>
        <s v="2026_NT_EV004-26"/>
        <s v="2026_NT_EV005-26"/>
        <s v="2026_NT_EV006-26"/>
        <s v="2026_NT_EV007-26"/>
        <s v="2026_NT_EV008-26"/>
        <s v="2026_NT_EV009-26"/>
        <s v="2026_NT_EV010-26"/>
        <s v="2026_NT_FS001-26"/>
        <s v="2026_NT_FS002-26"/>
        <s v="2026_NT_FS007-26"/>
        <s v="2026_NT_FS008-26"/>
        <s v="2026_NT_FS009-26"/>
        <s v="2026_NT_FS010-26"/>
        <s v="2026_NT_FS011-26"/>
        <s v="2026_NT_FS012-26"/>
        <s v="2026_NT_FS013-26"/>
        <s v="2026_NT_FS014-26"/>
        <s v="2026_NT_FS015-26"/>
        <s v="2026_NT_FS016-26"/>
        <s v="2026_NT_FS017-26"/>
        <s v="2026_NT_FS018-26"/>
        <s v="2026_NT_FS019-26"/>
        <s v="2026_NT_FS020-26"/>
        <s v="2026_NT_FS021-26"/>
        <s v="2026_NT_FS022-26"/>
        <s v="2026_NT_FS023-26"/>
        <s v="2026_NT_FS024-26"/>
        <s v="2026_NT_FS025-26"/>
        <s v="2026_NT_FS026-26"/>
        <s v="2026_NT_FS027-26"/>
        <s v="2026_NT_FS028-26"/>
        <s v="2026_NT_FS029-26"/>
        <s v="2026_NT_FS030-26"/>
        <s v="2026_NT_FS032-26"/>
        <s v="2026_NT_FS033-26"/>
        <s v="2026_NT_FS034-26"/>
        <s v="2026_NT_FS035-26"/>
        <s v="2026_NT_FS036-26"/>
        <s v="2026_NT_FS037-26"/>
        <s v="2026_NT_FS038-26"/>
        <s v="2026_NT_FS039-26"/>
        <s v="2026_NT_FS040-26"/>
        <s v="2026_NT_FS041-26"/>
        <s v="2026_NT_FS042-26"/>
        <s v="2026_NT_FS043-26"/>
        <s v="2026_NT_FS044-26"/>
        <s v="2026_NT_FS045-26"/>
        <s v="2026_NT_SS001-26"/>
        <s v="2026_NT_SS004-26"/>
        <s v="2026_NT_SS007-26"/>
        <s v="2026_NT_SS008-26"/>
        <s v="2026_NT_SS009-26"/>
        <s v="2026_NT_SS011-26"/>
        <s v="2026_NT_SS013-26"/>
        <s v="2026_NT_SS016-26"/>
        <s v="2026_NT_SS017-26"/>
        <s v="2026_NT_SS019-26"/>
        <s v="2026_NT_SS021-26"/>
        <s v="2026_NT_SS022-26"/>
        <s v="2026_NT_SS023-26"/>
        <s v="2026_NT_SS024-26"/>
        <s v="2026_NT_SS025-26"/>
        <s v="2026_NT_SS027-26"/>
        <s v="2026_NT_SS028-26"/>
        <s v="2026_NT_SS029-26"/>
        <s v="2026_NT_SS030-26"/>
        <s v="2026_NT_SS031-26"/>
        <s v="2026_NT_SS032-26"/>
        <s v="2026_NT_SS034-26"/>
        <s v="2026_NT_SS035-26"/>
        <s v="2026_NT_SS036-26"/>
        <s v="2026_NT_SS037-26"/>
        <s v="2026_NT_SS038-26"/>
        <s v="2026_NT_SS039-26"/>
        <s v="2026_NT_SS040-26"/>
        <s v="2026_NT_SS041-26"/>
        <s v="2026_NT_SS042-26"/>
        <s v="2026_NT_SS043-26"/>
        <s v="2026_NT_SS044-26"/>
        <s v="2026_NT_SS045-26"/>
        <s v="2026_NT_SS050-26"/>
        <s v="2026_NT_VQ001-26"/>
        <s v="2026_NT_VQ002-26"/>
        <s v="2026_NT_VQ003-26"/>
        <s v="2026_NT_VQ004-26"/>
        <s v="2026_NT_VQ005-26"/>
        <s v="2026_NT_VQ006-26"/>
        <s v="2026_NT_VQ007-26"/>
        <s v="2026_NT_VQ008-26"/>
        <s v="2026_NT_VQ009-26"/>
        <s v="2026_NT_VQ010-26"/>
        <s v="2026_NT_VQ011-26"/>
        <s v="2026_NT_VQ012-26"/>
        <s v="2026_NT_VQ013-26"/>
        <s v="2026_NT_VQ014-26"/>
        <s v="2026_NT_VQ015-26"/>
        <s v="2026_NT_VQ016-26"/>
        <s v="2026_NT_VQ017-26"/>
        <s v="2026_NT_VQ018-26"/>
        <s v="2026_NT_VQ019-26"/>
        <s v="2026_NT_VQ020-26"/>
        <s v="2026_NT_VQ021-26"/>
        <s v="2026_NT_VQ022-26"/>
        <s v="2026_NT_VQ023-26"/>
        <s v="2026_NT_VQ024-26"/>
        <s v="2026_NT_VQ025-26"/>
        <s v="2026_NT_VQ026-26"/>
        <s v="2026_NT_VQ027-26"/>
        <s v="2026_NT_VQ028-26"/>
        <s v="2026_NT_VQ029-26"/>
        <s v="2026_NT_VQ030-26"/>
        <s v="2026_NT_VQ031-26"/>
        <s v="2026_NT_VQ032-26"/>
        <s v="2026_NT_VQ035-26"/>
        <s v="2026_NT_VQ036-26"/>
        <s v="2026_NT_VQ037-26"/>
        <s v="2026_NT_VQ038-26"/>
        <s v="2026_NT_VQ039-26"/>
        <s v="2026_NT_VQ040-26"/>
        <s v="2026_NT_VQ041-26"/>
        <s v="2026_NT_VQ042-26"/>
        <s v="2026_NT_VQ043-26"/>
        <s v="2026_NT_VQ044-26"/>
        <s v="2026_NT_VQ045-26"/>
        <s v="2026_NT_VQ046-26"/>
        <s v="2026_NT_VQ047-26"/>
        <s v="2026_NT_VQ048-26"/>
        <s v="2026_NT_VQ049-26"/>
        <s v="2026_NT_VQ050-26"/>
        <s v="2026_NT_VQ051-26"/>
        <s v="2026_NT_VQ052-26"/>
        <s v="2026_NT_VQ053-26"/>
        <s v="2026_NT_VQ054-26"/>
        <s v="2026_NT_VQ055-26"/>
        <s v="2026_NT_VQ056-26"/>
        <s v="2026_NT_VQ057-26"/>
        <s v="2026_NT_VQ058-26"/>
        <s v="2026_NT_VQ059-26"/>
        <s v="2026_NT_VQ060-26"/>
        <s v="2026_NT_VQ061-26"/>
        <s v="2026_NT_VQ062-26"/>
        <s v="2026_NT_VQ063-26"/>
        <s v="2026_NT_VQ064-26"/>
        <s v="2026_NT_VQ065-26"/>
        <s v="2026_NT_VQ066-26"/>
        <s v="2026_NT_VQ067-26"/>
        <s v="2026_NT_VQ068-26"/>
        <s v="2026_NT_VQ069-26"/>
        <s v="2026_NT_VQ070-26"/>
        <s v="2026_NT_VQ071-26"/>
        <s v="2026_NT_VQ072-26"/>
        <s v="2026_NT_VQ073-26"/>
        <s v="2026_NT_VQ074-26"/>
        <s v="2026_NT_VQ075-26"/>
        <s v="2026_NT_VQ076-26"/>
        <s v="2026_NT_ZF006-26"/>
        <s v="2026_NT_ZF007-26"/>
        <s v="2026_NT_ZF008-26"/>
        <s v="2026_NT_ZF009-26"/>
        <s v="2026_NT_ZF010-26"/>
        <s v="2026_NT_ZF012-26"/>
        <s v="2026_NT_ZF015-26"/>
        <s v="2026_NT_ZF017-26"/>
        <s v="2026_NT_ZF018-26"/>
        <s v="2026_NT_ZF019-26"/>
        <s v="2026_NT_ZF021-26"/>
        <s v="2026_NT_ZF022-26"/>
        <s v="2026_NT_ZF023-26"/>
        <s v="2026_NT_ZF024-26"/>
        <s v="2026_NT_ZF025-26"/>
        <s v="2026_NT_ZF028-26"/>
        <s v="2026_NT_ZF029-26"/>
        <s v="2026_NT_ZF032-26"/>
        <s v="2026_NT_ZF033-26"/>
        <s v="2026_NT_ZF037-26"/>
        <s v="2026_NT_ZF038-26"/>
        <s v="2026_NT_ZF039-26"/>
        <s v="2026_NT_ZF040-26"/>
        <s v="2026_NT_ZF041-26"/>
        <s v="2026_NT_ZF042-26"/>
        <s v="2026_NT_ZF043-26"/>
        <s v="2026_NT_ZF044-26"/>
        <s v="2026_NT_ZF045-26"/>
        <s v="2026_NT_ZF046-26"/>
        <s v="2026_NT_ZF047-26"/>
        <s v="2026_NT_ZF048-26"/>
        <s v="2026_NT_ZF049-26"/>
        <s v="2026_NT_ZF050-26"/>
        <s v="2026_NT_ZF051-26"/>
        <s v="2026_NT_ZF052-26"/>
        <s v="2026_NT_ZF053-26"/>
        <s v="2026_NT_ZF054-26"/>
        <s v="2026_NT_ZF055-26"/>
        <s v="2026_NT_ZF056-26"/>
        <s v="2026_NT_ZF057-26"/>
        <s v="2026_NT_ZF058-26"/>
        <s v="2026_NT_ZF059-26"/>
        <s v="2026_NT_ZF060-26"/>
        <s v="2026_NT_ZF061-26"/>
        <s v="2026_NT_ZF062-26"/>
        <s v="2026_NT_ZF063-26"/>
        <s v="2026_NT_ZF064-26"/>
        <s v="2026_NT_ZF065-26"/>
        <s v="2026_NT_ZF066-26"/>
        <s v="2026_NT_ZF067-26"/>
        <s v="2026_ON_COC_FIRE_007"/>
        <s v="2026_ON_COC_FIRE_008"/>
        <s v="2026_ON_COC_FIRE_009"/>
        <s v="2026_ON_COC_FIRE_010"/>
        <s v="2026_ON_COC_FIRE_011"/>
        <s v="2026_ON_COC_FIRE_012"/>
        <s v="2026_ON_COC_FIRE_013"/>
        <s v="2026_ON_COC_FIRE_014"/>
        <s v="2026_ON_COC_FIRE_015"/>
        <s v="2026_ON_COC_FIRE_016"/>
        <s v="2026_ON_COC_FIRE_018"/>
        <s v="2026_ON_COC_FIRE_019"/>
        <s v="2026_ON_COC_FIRE_020"/>
        <s v="2026_ON_COC_FIRE_021"/>
        <s v="2026_ON_COC_FIRE_022"/>
        <s v="2026_ON_COC_FIRE_023"/>
        <s v="2026_ON_COC_FIRE_024"/>
        <s v="2026_ON_COC_FIRE_025"/>
        <s v="2026_ON_COC_FIRE_027"/>
        <s v="2026_ON_COC_FIRE_028"/>
        <s v="2026_ON_COC_FIRE_029"/>
        <s v="2026_ON_COC_FIRE_030"/>
        <s v="2026_ON_COC_FIRE_031"/>
        <s v="2026_ON_COC_FIRE_033"/>
        <s v="2026_ON_COC_FIRE_034"/>
        <s v="2026_ON_COC_FIRE_038"/>
        <s v="2026_ON_COC_FIRE_039"/>
        <s v="2026_ON_COC_FIRE_040"/>
        <s v="2026_ON_COC_FIRE_043"/>
        <s v="2026_ON_COC_FIRE_044"/>
        <s v="2026_ON_COC_FIRE_045"/>
        <s v="2026_ON_DRY_FIRE_025"/>
        <s v="2026_ON_DRY_FIRE_033"/>
        <s v="2026_ON_DRY_FIRE_034"/>
        <s v="2026_ON_DRY_FIRE_035"/>
        <s v="2026_ON_DRY_FIRE_036"/>
        <s v="2026_ON_DRY_FIRE_039"/>
        <s v="2026_ON_DRY_FIRE_040"/>
        <s v="2026_ON_DRY_FIRE_041"/>
        <s v="2026_ON_DRY_FIRE_042"/>
        <s v="2026_ON_FOR_FIRE_011"/>
        <s v="2026_ON_FOR_FIRE_013"/>
        <s v="2026_ON_FOR_FIRE_014"/>
        <s v="2026_ON_FOR_FIRE_015"/>
        <s v="2026_ON_FOR_FIRE_035"/>
        <s v="2026_ON_FOR_FIRE_037"/>
        <s v="2026_ON_FOR_FIRE_038"/>
        <s v="2026_ON_FOR_FIRE_039"/>
        <s v="2026_ON_FOR_FIRE_045"/>
        <s v="2026_ON_NIP_FIRE_012"/>
        <s v="2026_ON_NIP_FIRE_013"/>
        <s v="2026_ON_NIP_FIRE_016"/>
        <s v="2026_ON_NIP_FIRE_018"/>
        <s v="2026_ON_NIP_FIRE_021"/>
        <s v="2026_ON_NIP_FIRE_025"/>
        <s v="2026_ON_NIP_FIRE_026"/>
        <s v="2026_ON_NIP_FIRE_029"/>
        <s v="2026_ON_NIP_FIRE_031"/>
        <s v="2026_ON_NIP_FIRE_032"/>
        <s v="2026_ON_NIP_FIRE_035"/>
        <s v="2026_ON_NIP_FIRE_036"/>
        <s v="2026_ON_NIP_FIRE_037"/>
        <s v="2026_ON_NIP_FIRE_038"/>
        <s v="2026_ON_NIP_FIRE_039"/>
        <s v="2026_ON_NIP_FIRE_040"/>
        <s v="2026_ON_NIP_FIRE_042"/>
        <s v="2026_ON_NIP_FIRE_043"/>
        <s v="2026_ON_NIP_FIRE_044"/>
        <s v="2026_ON_NIP_FIRE_045"/>
        <s v="2026_ON_NIP_FIRE_047"/>
        <s v="2026_ON_NIP_FIRE_048"/>
        <s v="2026_ON_NIP_FIRE_051"/>
        <s v="2026_ON_NIP_FIRE_052"/>
        <s v="2026_ON_NIP_FIRE_053"/>
        <s v="2026_ON_NIP_FIRE_054"/>
        <s v="2026_ON_NIP_FIRE_055"/>
        <s v="2026_ON_NIP_FIRE_056"/>
        <s v="2026_ON_NIP_FIRE_057"/>
        <s v="2026_ON_NIP_FIRE_058"/>
        <s v="2026_ON_NIP_FIRE_059"/>
        <s v="2026_ON_NIP_FIRE_061"/>
        <s v="2026_ON_NIP_FIRE_062"/>
        <s v="2026_ON_NIP_FIRE_063"/>
        <s v="2026_ON_NIP_FIRE_064"/>
        <s v="2026_ON_NIP_FIRE_065"/>
        <s v="2026_ON_NIP_FIRE_066"/>
        <s v="2026_ON_NIP_FIRE_068"/>
        <s v="2026_ON_NIP_FIRE_069"/>
        <s v="2026_ON_NIP_FIRE_070"/>
        <s v="2026_ON_NIP_FIRE_071"/>
        <s v="2026_ON_NIP_FIRE_072"/>
        <s v="2026_ON_NIP_FIRE_073"/>
        <s v="2026_ON_NIP_FIRE_074"/>
        <s v="2026_ON_NIP_FIRE_075"/>
        <s v="2026_ON_NOR_FIRE_027"/>
        <s v="2026_ON_NOR_FIRE_031"/>
        <s v="2026_ON_NOR_FIRE_034"/>
        <s v="2026_ON_RED_FIRE_009"/>
        <s v="2026_ON_RED_FIRE_010"/>
        <s v="2026_ON_RED_FIRE_012"/>
        <s v="2026_ON_RED_FIRE_016"/>
        <s v="2026_ON_RED_FIRE_017"/>
        <s v="2026_ON_RED_FIRE_018"/>
        <s v="2026_ON_RED_FIRE_019"/>
        <s v="2026_ON_RED_FIRE_020"/>
        <s v="2026_ON_RED_FIRE_022"/>
        <s v="2026_ON_RED_FIRE_023"/>
        <s v="2026_ON_RED_FIRE_024"/>
        <s v="2026_ON_SLK_FIRE_001"/>
        <s v="2026_ON_SLK_FIRE_003"/>
        <s v="2026_ON_SLK_FIRE_005"/>
        <s v="2026_ON_SLK_FIRE_021"/>
        <s v="2026_ON_SLK_FIRE_023"/>
        <s v="2026_ON_SLK_FIRE_024"/>
        <s v="2026_ON_SLK_FIRE_025"/>
        <s v="2026_ON_SLK_FIRE_026"/>
        <s v="2026_ON_SLK_FIRE_027"/>
        <s v="2026_ON_SLK_FIRE_028"/>
        <s v="2026_ON_SLK_FIRE_029"/>
        <s v="2026_ON_SLK_FIRE_031"/>
        <s v="2026_ON_SLK_FIRE_032"/>
        <s v="2026_ON_SLK_FIRE_033"/>
        <s v="2026_ON_SLK_FIRE_034"/>
        <s v="2026_ON_SLK_FIRE_038"/>
        <s v="2026_ON_SLK_FIRE_039"/>
        <s v="2026_ON_SLK_FIRE_040"/>
        <s v="2026_ON_SLK_FIRE_042"/>
        <s v="2026_ON_SLK_FIRE_043"/>
        <s v="2026_ON_SLK_FIRE_044"/>
        <s v="2026_ON_SLK_FIRE_045"/>
        <s v="2026_ON_SLK_FIRE_046"/>
        <s v="2026_ON_SLK_FIRE_047"/>
        <s v="2026_ON_SLK_FIRE_048"/>
        <s v="2026_ON_SLK_FIRE_049"/>
        <s v="2026_ON_SLK_FIRE_050"/>
        <s v="2026_ON_SLK_FIRE_051"/>
        <s v="2026_ON_SLK_FIRE_052"/>
        <s v="2026_ON_SLK_FIRE_053"/>
        <s v="2026_ON_SLK_FIRE_054"/>
        <s v="2026_ON_SLK_FIRE_055"/>
        <s v="2026_ON_SLK_FIRE_056"/>
        <s v="2026_ON_SLK_FIRE_057"/>
        <s v="2026_ON_SLK_FIRE_063"/>
        <s v="2026_ON_SLK_FIRE_064"/>
        <s v="2026_ON_SLK_FIRE_066"/>
        <s v="2026_ON_SLK_FIRE_070"/>
        <s v="2026_ON_SLK_FIRE_071"/>
        <s v="2026_ON_SLK_FIRE_072"/>
        <s v="2026_ON_SLK_FIRE_074"/>
        <s v="2026_ON_SLK_FIRE_083"/>
        <s v="2026_ON_SLK_FIRE_084"/>
        <s v="2026_ON_SLK_FIRE_085"/>
        <s v="2026_ON_SLK_FIRE_086"/>
        <s v="2026_ON_SLK_FIRE_087"/>
        <s v="2026_ON_SLK_FIRE_088"/>
        <s v="2026_ON_SLK_FIRE_089"/>
        <s v="2026_ON_SLK_FIRE_090"/>
        <s v="2026_ON_SLK_FIRE_091"/>
        <s v="2026_ON_SLK_FIRE_092"/>
        <s v="2026_ON_SLK_FIRE_093"/>
        <s v="2026_ON_SLK_FIRE_094"/>
        <s v="2026_ON_SLK_FIRE_095"/>
        <s v="2026_ON_SLK_FIRE_097"/>
        <s v="2026_ON_SLK_FIRE_098"/>
        <s v="2026_ON_SLK_FIRE_099"/>
        <s v="2026_ON_SLK_FIRE_102"/>
        <s v="2026_ON_THU_FIRE_036"/>
        <s v="2026_ON_THU_FIRE_048"/>
        <s v="2026_ON_THU_FIRE_051"/>
        <s v="2026_ON_THU_FIRE_054"/>
        <s v="2026_ON_THU_FIRE_056"/>
        <s v="2026_ON_THU_FIRE_059"/>
        <s v="2026_ON_THU_FIRE_060"/>
        <s v="2026_ON_TIM_FIRE_009"/>
        <s v="2026_ON_WAW_FIRE_014"/>
        <s v="2026_ON_WAW_FIRE_015"/>
        <s v="2026_ON_WAW_FIRE_017"/>
        <s v="2026_ON_WAW_FIRE_021"/>
        <s v="2026_ON_WAW_FIRE_025"/>
        <s v="2026_ON_WAW_FIRE_028"/>
        <s v="2026_PC_2026LM2"/>
        <s v="2026_PC_2026LM3"/>
        <s v="2026_PC_2026LM4"/>
        <s v="2026_PC_2026LM5"/>
        <s v="2026_PC_2026MM1"/>
        <s v="2026_PC_2026NA1"/>
        <s v="2026_PC_2026NA2"/>
        <s v="2026_PC_2026NA3"/>
        <s v="2026_PC_2026SE1"/>
        <s v="2026_PC_2026SE2"/>
        <s v="2026_PC_2026SE3"/>
        <s v="2026_PC_2026SE4"/>
        <s v="2026_PC_2026TH1"/>
        <s v="2026_PC_2026WAFU1"/>
        <s v="2026_PC_2026WB14"/>
        <s v="2026_PC_2026WB15"/>
        <s v="2026_PC_2026WB16"/>
        <s v="2026_PC_2026WB17"/>
        <s v="2026_PC_2026WB19"/>
        <s v="2026_PC_2026WB20"/>
        <s v="2026_PC_2026WB22"/>
        <s v="2026_PC_2026WB23"/>
        <s v="2026_PC_2026WB3"/>
        <s v="2026_PC_2026WB4"/>
        <s v="2026_PC_2026WB6"/>
        <s v="2026_PC_2026WB7"/>
        <s v="2026_PC_2026WB8"/>
        <s v="2026_PC_2026WB9"/>
        <s v="2026_PC_2026WP2"/>
        <s v="2026_PC_2026WP3"/>
        <s v="2026_QC_215"/>
        <s v="2026_QC_223"/>
        <s v="2026_QC_224"/>
        <s v="2026_QC_225"/>
        <s v="2026_QC_226"/>
        <s v="2026_QC_227"/>
        <s v="2026_QC_234"/>
        <s v="2026_QC_241"/>
        <s v="2026_QC_244"/>
        <s v="2026_QC_245"/>
        <s v="2026_QC_246"/>
        <s v="2026_QC_249"/>
        <s v="2026_QC_252"/>
        <s v="2026_QC_254"/>
        <s v="2026_QC_260"/>
        <s v="2026_QC_270"/>
        <s v="2026_QC_271"/>
        <s v="2026_QC_275"/>
        <s v="2026_QC_276"/>
        <s v="2026_QC_282"/>
        <s v="2026_QC_284"/>
        <s v="2026_QC_287"/>
        <s v="2026_QC_289"/>
        <s v="2026_QC_290"/>
        <s v="2026_QC_293"/>
        <s v="2026_QC_296"/>
        <s v="2026_QC_300"/>
        <s v="2026_QC_304"/>
        <s v="2026_QC_307"/>
        <s v="2026_QC_311"/>
        <s v="2026_QC_316"/>
        <s v="2026_QC_318"/>
        <s v="2026_QC_319"/>
        <s v="2026_QC_320"/>
        <s v="2026_QC_321"/>
        <s v="2026_QC_322"/>
        <s v="2026_QC_323"/>
        <s v="2026_QC_327"/>
        <s v="2026_QC_329"/>
        <s v="2026_QC_332"/>
        <s v="2026_QC_333"/>
        <s v="2026_QC_334"/>
        <s v="2026_QC_335"/>
        <s v="2026_QC_342"/>
        <s v="2026_QC_343"/>
        <s v="2026_QC_344"/>
        <s v="2026_QC_348"/>
        <s v="2026_QC_350"/>
        <s v="2026_QC_356"/>
        <s v="2026_QC_358"/>
        <s v="2026_QC_373"/>
        <s v="2026_QC_374"/>
        <s v="2026_QC_376"/>
        <s v="2026_QC_377"/>
        <s v="2026_QC_382"/>
        <s v="2026_QC_399"/>
        <s v="2026_QC_409"/>
        <s v="2026_QC_413"/>
        <s v="2026_QC_415"/>
        <s v="2026_QC_416"/>
        <s v="2026_QC_417"/>
        <s v="2026_QC_420"/>
        <s v="2026_QC_421"/>
        <s v="2026_QC_423"/>
        <s v="2026_QC_431"/>
        <s v="2026_QC_432"/>
        <s v="2026_QC_436"/>
        <s v="2026_QC_441"/>
        <s v="2026_QC_444"/>
        <s v="2026_QC_446"/>
        <s v="2026_QC_447"/>
        <s v="2026_QC_450"/>
        <s v="2026_QC_451"/>
        <s v="2026_QC_452"/>
        <s v="2026_QC_453"/>
        <s v="2026_QC_454"/>
        <s v="2026_QC_455"/>
        <s v="2026_QC_456"/>
        <s v="2026_QC_457"/>
        <s v="2026_QC_458"/>
        <s v="2026_QC_459"/>
        <s v="2026_QC_460"/>
        <s v="2026_QC_463"/>
        <s v="2026_QC_469"/>
        <s v="2026_QC_473"/>
        <s v="2026_QC_475"/>
        <s v="2026_QC_476"/>
        <s v="2026_QC_477"/>
        <s v="2026_QC_483"/>
        <s v="2026_QC_484"/>
        <s v="2026_QC_486"/>
        <s v="2026_QC_487"/>
        <s v="2026_QC_488"/>
        <s v="2026_QC_489"/>
        <s v="2026_QC_491"/>
        <s v="2026_QC_500"/>
        <s v="2026_QC_501"/>
        <s v="2026_QC_504"/>
        <s v="2026_QC_505"/>
        <s v="2026_QC_507"/>
        <s v="2026_QC_508"/>
        <s v="2026_QC_513"/>
        <s v="2026_QC_514"/>
        <s v="2026_QC_516"/>
        <s v="2026_QC_518"/>
        <s v="2026_QC_522"/>
        <s v="2026_QC_531"/>
        <s v="2026_QC_532"/>
        <s v="2026_QC_533"/>
        <s v="2026_QC_535"/>
        <s v="2026_QC_536"/>
        <s v="2026_QC_541"/>
        <s v="2026_QC_545"/>
        <s v="2026_QC_546"/>
        <s v="2026_QC_547"/>
        <s v="2026_QC_550"/>
        <s v="2026_QC_551"/>
        <s v="2026_QC_552"/>
        <s v="2026_QC_558"/>
        <s v="2026_QC_559"/>
        <s v="2026_QC_562"/>
        <s v="2026_QC_563"/>
        <s v="2026_QC_565"/>
        <s v="2026_QC_566"/>
        <s v="2026_QC_567"/>
        <s v="2026_QC_568"/>
        <s v="2026_QC_576"/>
        <s v="2026_QC_579"/>
        <s v="2026_QC_583"/>
        <s v="2026_QC_597"/>
        <s v="2026_QC_612"/>
        <s v="2026_SK_26BN-DIGBEE"/>
        <s v="2026_SK_26BN-FISSION"/>
        <s v="2026_SK_26DB-ARM"/>
        <s v="2026_SK_26DB-BORDER"/>
        <s v="2026_SK_26DB-CAMPBELL"/>
        <s v="2026_SK_26DB-CHURCH"/>
        <s v="2026_SK_26DB-COLT"/>
        <s v="2026_SK_26DB-DOUPE"/>
        <s v="2026_SK_26DB-HILL"/>
        <s v="2026_SK_26DB-MADDEN"/>
        <s v="2026_SK_26DB-MCINNIS"/>
        <s v="2026_SK_26DB-NEPE"/>
        <s v="2026_SK_26DB-PROCTOR"/>
        <s v="2026_SK_26DB-RODERICK"/>
        <s v="2026_SK_26DB-WINTEGO"/>
        <s v="2026_SK_26DB-WIR01"/>
        <s v="2026_SK_26LA-BESNARD"/>
        <s v="2026_SK_26LA-BOISE"/>
        <s v="2026_SK_26LA-BUDD"/>
        <s v="2026_SK_26LA-CRESWELL"/>
        <s v="2026_SK_26LA-EGG"/>
        <s v="2026_SK_26LA-FLEMING"/>
        <s v="2026_SK_26LA-FRENCH"/>
        <s v="2026_SK_26LA-GULAK"/>
        <s v="2026_SK_26LA-HAM"/>
        <s v="2026_SK_26LA-JANSON"/>
        <s v="2026_SK_26LA-MCDONALD"/>
        <s v="2026_SK_26LA-MILNER"/>
        <s v="2026_SK_26LA-MOOSE"/>
        <s v="2026_SK_26LA-PAUL"/>
        <s v="2026_SK_26LA-RIVER"/>
        <s v="2026_SK_26LA-SEIR01"/>
        <s v="2026_SK_26LA-SHARP"/>
        <s v="2026_SK_26LA-STUSIAK"/>
        <s v="2026_SK_26LA-TAVISH"/>
        <s v="2026_SK_26LA-TIKAN"/>
        <s v="2026_SK_26LA-TOEWS"/>
        <s v="2026_SK_26LA-WALKER"/>
        <s v="2026_SK_26LA-WAPA"/>
        <s v="2026_SK_26LA-WATTS"/>
        <s v="2026_SK_26LA-ZACK"/>
        <s v="2026_SK_26LF-DOWD"/>
        <s v="2026_SK_26LR-SANDY"/>
        <s v="2026_SK_26LX-CANOE"/>
        <s v="2026_SK_26LX-CLAWR01"/>
        <s v="2026_SK_26LX-COSTIGAN"/>
        <s v="2026_SK_26LX-HILLMAN"/>
        <s v="2026_SK_26LX-MCDONALD"/>
        <s v="2026_SK_26SR-CORSON"/>
        <s v="2026_SK_26SR-JACKPOT"/>
        <s v="2026_SK_26SR-KERSLAKE"/>
        <s v="2026_SK_26SR-PHILLIPS"/>
        <s v="2026_SK_26SR-PIMUTIK"/>
        <s v="2026_SK_26SR-PINE"/>
        <s v="2026_SK_26SR-SARUK"/>
        <s v="2026_YT_2026DA008"/>
        <s v="2026_YT_2026DA011"/>
        <s v="2026_YT_2026DA012"/>
        <s v="2026_YT_2026DA013"/>
        <s v="2026_YT_2026DA015"/>
        <s v="2026_YT_2026DA016"/>
        <s v="2026_YT_2026DA018"/>
        <s v="2026_YT_2026DA020"/>
        <s v="2026_YT_2026HJ001"/>
        <s v="2026_YT_2026MA003"/>
        <s v="2026_YT_2026MA004"/>
        <s v="2026_YT_2026OC001"/>
        <s v="2026_YT_2026OC002"/>
        <s v="2026_YT_2026OC003"/>
        <s v="2026_YT_2026OC004"/>
        <s v="2026_YT_2026OC005"/>
        <s v="2026_YT_2026OC006"/>
        <s v="2026_YT_2026OC007"/>
        <s v="2026_YT_2026OC008"/>
        <s v="2026_YT_2026OT001"/>
        <s v="2026_YT_2026OT002"/>
        <s v="2026_YT_2026XY011"/>
        <s v="2026_YT_2026XY017"/>
        <m/>
      </sharedItems>
    </cacheField>
    <cacheField name="agency_fire_id" numFmtId="0">
      <sharedItems containsBlank="1" containsMixedTypes="1" containsNumber="1" containsInteger="1" minValue="165" maxValue="2026310" count="887">
        <n v="165"/>
        <n v="215"/>
        <n v="223"/>
        <n v="224"/>
        <n v="225"/>
        <n v="226"/>
        <n v="227"/>
        <n v="234"/>
        <n v="241"/>
        <n v="244"/>
        <n v="245"/>
        <n v="246"/>
        <n v="249"/>
        <n v="252"/>
        <n v="254"/>
        <n v="260"/>
        <n v="270"/>
        <n v="271"/>
        <n v="275"/>
        <n v="276"/>
        <n v="282"/>
        <n v="284"/>
        <n v="287"/>
        <n v="289"/>
        <n v="290"/>
        <n v="293"/>
        <n v="296"/>
        <n v="300"/>
        <n v="304"/>
        <n v="307"/>
        <n v="311"/>
        <n v="316"/>
        <n v="318"/>
        <n v="319"/>
        <n v="320"/>
        <n v="321"/>
        <n v="322"/>
        <n v="323"/>
        <n v="327"/>
        <n v="329"/>
        <n v="332"/>
        <n v="333"/>
        <n v="334"/>
        <n v="335"/>
        <n v="342"/>
        <n v="343"/>
        <n v="344"/>
        <n v="348"/>
        <n v="350"/>
        <n v="356"/>
        <n v="358"/>
        <n v="373"/>
        <n v="374"/>
        <n v="376"/>
        <n v="377"/>
        <n v="382"/>
        <n v="399"/>
        <n v="409"/>
        <n v="413"/>
        <n v="415"/>
        <n v="416"/>
        <n v="417"/>
        <n v="420"/>
        <n v="421"/>
        <n v="423"/>
        <n v="431"/>
        <n v="432"/>
        <n v="436"/>
        <n v="441"/>
        <n v="444"/>
        <n v="446"/>
        <n v="447"/>
        <n v="450"/>
        <n v="451"/>
        <n v="452"/>
        <n v="453"/>
        <n v="454"/>
        <n v="455"/>
        <n v="456"/>
        <n v="457"/>
        <n v="458"/>
        <n v="459"/>
        <n v="460"/>
        <n v="463"/>
        <n v="469"/>
        <n v="473"/>
        <n v="475"/>
        <n v="476"/>
        <n v="477"/>
        <n v="483"/>
        <n v="484"/>
        <n v="486"/>
        <n v="487"/>
        <n v="488"/>
        <n v="489"/>
        <n v="491"/>
        <n v="499"/>
        <n v="500"/>
        <n v="501"/>
        <n v="504"/>
        <n v="505"/>
        <n v="507"/>
        <n v="508"/>
        <n v="513"/>
        <n v="514"/>
        <n v="516"/>
        <n v="518"/>
        <n v="522"/>
        <n v="531"/>
        <n v="532"/>
        <n v="533"/>
        <n v="535"/>
        <n v="536"/>
        <n v="541"/>
        <n v="545"/>
        <n v="546"/>
        <n v="547"/>
        <n v="550"/>
        <n v="551"/>
        <n v="552"/>
        <n v="558"/>
        <n v="559"/>
        <n v="562"/>
        <n v="563"/>
        <n v="565"/>
        <n v="566"/>
        <n v="567"/>
        <n v="568"/>
        <n v="576"/>
        <n v="579"/>
        <n v="583"/>
        <n v="597"/>
        <n v="605"/>
        <n v="606"/>
        <n v="612"/>
        <n v="617"/>
        <n v="636"/>
        <n v="639"/>
        <n v="2026310"/>
        <s v="06-013-2026"/>
        <s v="09-013-2026"/>
        <s v="2025-C22352"/>
        <s v="2025-V32337"/>
        <s v="2026-C10467"/>
        <s v="2026-C10950"/>
        <s v="2026-C10952"/>
        <s v="2026-C10964"/>
        <s v="2026-C10968"/>
        <s v="2026-C10970"/>
        <s v="2026-C10981"/>
        <s v="2026-C10988"/>
        <s v="2026-C20851"/>
        <s v="2026-C20940"/>
        <s v="2026-C31000"/>
        <s v="2026-C40784"/>
        <s v="2026-C40897"/>
        <s v="2026-C40906"/>
        <s v="2026-C40907"/>
        <s v="2026-C40923"/>
        <s v="2026-C40930"/>
        <s v="2026-C40983"/>
        <s v="2026-C50927"/>
        <s v="2026-C50929"/>
        <s v="2026-C50946"/>
        <s v="2026-C51022"/>
        <s v="2026-C51039"/>
        <s v="2026-G10951"/>
        <s v="2026-G40973"/>
        <s v="2026-G61062"/>
        <s v="2026-G80488"/>
        <s v="2026-G80916"/>
        <s v="2026-G90285"/>
        <s v="2026-G90400"/>
        <s v="2026-G90714"/>
        <s v="2026-K20949"/>
        <s v="2026-K40899"/>
        <s v="2026-K40931"/>
        <s v="2026-K50824"/>
        <s v="2026-K50869"/>
        <s v="2026-K50871"/>
        <s v="2026-K70597"/>
        <s v="2026-K70659"/>
        <s v="2026-K70748"/>
        <s v="2026-N10812"/>
        <s v="2026-N10943"/>
        <s v="2026-N10944"/>
        <s v="2026-N10947"/>
        <s v="2026-N10982"/>
        <s v="2026-N11007"/>
        <s v="2026-N11020"/>
        <s v="2026-N11027"/>
        <s v="2026-N11028"/>
        <s v="2026-N11036"/>
        <s v="2026-N20809"/>
        <s v="2026-N21071"/>
        <s v="2026-N40912"/>
        <s v="2026-N41041"/>
        <s v="2026-N41073"/>
        <s v="2026-N50870"/>
        <s v="2026-N50873"/>
        <s v="2026-N50876"/>
        <s v="2026-N50919"/>
        <s v="2026-N51014"/>
        <s v="2026-N51038"/>
        <s v="2026-N51051"/>
        <s v="2026-N51066"/>
        <s v="2026-N51068"/>
        <s v="2026-N61030"/>
        <s v="2026-N61067"/>
        <s v="2026-N61072"/>
        <s v="2026-R90834"/>
        <s v="2026-R91074"/>
        <s v="2026-V10108"/>
        <s v="2026-V10742"/>
        <s v="2026-V10755"/>
        <s v="2026-V10858"/>
        <s v="2026-V10877"/>
        <s v="2026-V10886"/>
        <s v="2026-V10898"/>
        <s v="2026-V10942"/>
        <s v="2026-V10958"/>
        <s v="2026-V11058"/>
        <s v="2026-V30852"/>
        <s v="2026-V30933"/>
        <s v="2026-V30941"/>
        <s v="2026-V31008"/>
        <s v="2026-V60767"/>
        <s v="2026-V80937"/>
        <s v="2026-VA1043"/>
        <s v="2026-VA1048"/>
        <s v="2026DA008"/>
        <s v="2026DA011"/>
        <s v="2026DA012"/>
        <s v="2026DA013"/>
        <s v="2026DA015"/>
        <s v="2026DA016"/>
        <s v="2026DA018"/>
        <s v="2026DA020"/>
        <s v="2026HJ001"/>
        <s v="2026LM2"/>
        <s v="2026LM3"/>
        <s v="2026LM4"/>
        <s v="2026LM5"/>
        <s v="2026MA003"/>
        <s v="2026MA004"/>
        <s v="2026MM1"/>
        <s v="2026NA1"/>
        <s v="2026NA2"/>
        <s v="2026NA3"/>
        <s v="2026OC001"/>
        <s v="2026OC002"/>
        <s v="2026OC003"/>
        <s v="2026OC004"/>
        <s v="2026OC005"/>
        <s v="2026OC006"/>
        <s v="2026OC007"/>
        <s v="2026OC008"/>
        <s v="2026OT001"/>
        <s v="2026OT002"/>
        <s v="2026SE1"/>
        <s v="2026SE2"/>
        <s v="2026SE3"/>
        <s v="2026SE4"/>
        <s v="2026TH1"/>
        <s v="2026WAFU1"/>
        <s v="2026WB14"/>
        <s v="2026WB15"/>
        <s v="2026WB16"/>
        <s v="2026WB17"/>
        <s v="2026WB19"/>
        <s v="2026WB20"/>
        <s v="2026WB22"/>
        <s v="2026WB23"/>
        <s v="2026WB3"/>
        <s v="2026WB4"/>
        <s v="2026WB6"/>
        <s v="2026WB7"/>
        <s v="2026WB8"/>
        <s v="2026WB9"/>
        <s v="2026WP2"/>
        <s v="2026WP3"/>
        <s v="2026XY011"/>
        <s v="2026XY017"/>
        <s v="26BN-DIGBEE"/>
        <s v="26BN-FISSION"/>
        <s v="26DB-ARM"/>
        <s v="26DB-BORDER"/>
        <s v="26DB-CAMPBELL"/>
        <s v="26DB-CHURCH"/>
        <s v="26DB-COLT"/>
        <s v="26DB-DOUPE"/>
        <s v="26DB-HILL"/>
        <s v="26DB-MADDEN"/>
        <s v="26DB-MCINNIS"/>
        <s v="26DB-NEPE"/>
        <s v="26DB-PROCTOR"/>
        <s v="26DB-RODERICK"/>
        <s v="26DB-WINTEGO"/>
        <s v="26DB-WIR01"/>
        <s v="26LA-BESNARD"/>
        <s v="26LA-BOISE"/>
        <s v="26LA-BUDD"/>
        <s v="26LA-CRESWELL"/>
        <s v="26LA-EGG"/>
        <s v="26LA-FLEMING"/>
        <s v="26LA-FRENCH"/>
        <s v="26LA-GULAK"/>
        <s v="26LA-HAM"/>
        <s v="26LA-JANSON"/>
        <s v="26LA-MCDONALD"/>
        <s v="26LA-MILNER"/>
        <s v="26LA-MOOSE"/>
        <s v="26LA-PAUL"/>
        <s v="26LA-RIVER"/>
        <s v="26LA-SEIR01"/>
        <s v="26LA-SHARP"/>
        <s v="26LA-STUSIAK"/>
        <s v="26LA-TAVISH"/>
        <s v="26LA-TIKAN"/>
        <s v="26LA-TOEWS"/>
        <s v="26LA-WALKER"/>
        <s v="26LA-WAPA"/>
        <s v="26LA-WATTS"/>
        <s v="26LA-ZACK"/>
        <s v="26LF-DOWD"/>
        <s v="26LR-SANDY"/>
        <s v="26LX-CANOE"/>
        <s v="26LX-CLAWR01"/>
        <s v="26LX-COSTIGAN"/>
        <s v="26LX-HILLMAN"/>
        <s v="26LX-MCDONALD"/>
        <s v="26SR-CORSON"/>
        <s v="26SR-JACKPOT"/>
        <s v="26SR-KERSLAKE"/>
        <s v="26SR-PHILLIPS"/>
        <s v="26SR-PIMUTIK"/>
        <s v="26SR-PINE"/>
        <s v="26SR-SARUK"/>
        <s v="COC_FIRE_007"/>
        <s v="COC_FIRE_008"/>
        <s v="COC_FIRE_009"/>
        <s v="COC_FIRE_010"/>
        <s v="COC_FIRE_011"/>
        <s v="COC_FIRE_012"/>
        <s v="COC_FIRE_013"/>
        <s v="COC_FIRE_014"/>
        <s v="COC_FIRE_015"/>
        <s v="COC_FIRE_016"/>
        <s v="COC_FIRE_018"/>
        <s v="COC_FIRE_019"/>
        <s v="COC_FIRE_020"/>
        <s v="COC_FIRE_021"/>
        <s v="COC_FIRE_022"/>
        <s v="COC_FIRE_023"/>
        <s v="COC_FIRE_024"/>
        <s v="COC_FIRE_025"/>
        <s v="COC_FIRE_027"/>
        <s v="COC_FIRE_028"/>
        <s v="COC_FIRE_029"/>
        <s v="COC_FIRE_030"/>
        <s v="COC_FIRE_031"/>
        <s v="COC_FIRE_033"/>
        <s v="COC_FIRE_034"/>
        <s v="COC_FIRE_038"/>
        <s v="COC_FIRE_039"/>
        <s v="COC_FIRE_040"/>
        <s v="COC_FIRE_043"/>
        <s v="COC_FIRE_044"/>
        <s v="COC_FIRE_045"/>
        <s v="DRY_FIRE_025"/>
        <s v="DRY_FIRE_033"/>
        <s v="DRY_FIRE_034"/>
        <s v="DRY_FIRE_035"/>
        <s v="DRY_FIRE_036"/>
        <s v="DRY_FIRE_039"/>
        <s v="DRY_FIRE_040"/>
        <s v="DRY_FIRE_041"/>
        <s v="DRY_FIRE_042"/>
        <s v="EV001-26"/>
        <s v="EV002-26"/>
        <s v="EV003-26"/>
        <s v="EV004-26"/>
        <s v="EV005-26"/>
        <s v="EV006-26"/>
        <s v="EV007-26"/>
        <s v="EV008-26"/>
        <s v="EV009-26"/>
        <s v="EV010-26"/>
        <s v="FOR_FIRE_011"/>
        <s v="FOR_FIRE_013"/>
        <s v="FOR_FIRE_014"/>
        <s v="FOR_FIRE_015"/>
        <s v="FOR_FIRE_035"/>
        <s v="FOR_FIRE_037"/>
        <s v="FOR_FIRE_038"/>
        <s v="FOR_FIRE_039"/>
        <s v="FOR_FIRE_045"/>
        <s v="FS001-26"/>
        <s v="FS002-26"/>
        <s v="FS007-26"/>
        <s v="FS008-26"/>
        <s v="FS009-26"/>
        <s v="FS010-26"/>
        <s v="FS011-26"/>
        <s v="FS012-26"/>
        <s v="FS013-26"/>
        <s v="FS014-26"/>
        <s v="FS015-26"/>
        <s v="FS016-26"/>
        <s v="FS017-26"/>
        <s v="FS018-26"/>
        <s v="FS019-26"/>
        <s v="FS020-26"/>
        <s v="FS021-26"/>
        <s v="FS022-26"/>
        <s v="FS023-26"/>
        <s v="FS024-26"/>
        <s v="FS025-26"/>
        <s v="FS026-26"/>
        <s v="FS027-26"/>
        <s v="FS028-26"/>
        <s v="FS029-26"/>
        <s v="FS030-26"/>
        <s v="FS032-26"/>
        <s v="FS033-26"/>
        <s v="FS034-26"/>
        <s v="FS035-26"/>
        <s v="FS036-26"/>
        <s v="FS037-26"/>
        <s v="FS038-26"/>
        <s v="FS039-26"/>
        <s v="FS040-26"/>
        <s v="FS041-26"/>
        <s v="FS042-26"/>
        <s v="FS043-26"/>
        <s v="FS044-26"/>
        <s v="FS045-26"/>
        <s v="HWF-003-2026"/>
        <s v="HWF-005-2026"/>
        <s v="HWF-094-2026"/>
        <s v="HWF-096-2026"/>
        <s v="HWF-113-2026"/>
        <s v="HWF-114-2026"/>
        <s v="LWF-081-2026"/>
        <s v="LWF-082-2026"/>
        <s v="LWF-083-2026"/>
        <s v="LWF-084-2026"/>
        <s v="MB-EA027"/>
        <s v="MB-NO009"/>
        <s v="MB-NO012"/>
        <s v="MB-NO013"/>
        <s v="MB-NO019"/>
        <s v="MB-NO021"/>
        <s v="MB-NO023"/>
        <s v="MB-NO024"/>
        <s v="MB-NO026"/>
        <s v="MB-NO027"/>
        <s v="MB-NO028"/>
        <s v="MB-NO029"/>
        <s v="MB-NO030"/>
        <s v="MB-NO031"/>
        <s v="MB-NO032"/>
        <s v="MB-NO034"/>
        <s v="MB-NO035"/>
        <s v="MB-NO037"/>
        <s v="MB-NO038"/>
        <s v="MB-NO039"/>
        <s v="MB-NO040"/>
        <s v="MB-NO041"/>
        <s v="MB-NO042"/>
        <s v="MB-NO045"/>
        <s v="MB-NO048"/>
        <s v="MB-NO050"/>
        <s v="MB-NO053"/>
        <s v="MB-NO054"/>
        <s v="MB-NO055"/>
        <s v="MB-NO062"/>
        <s v="MB-NO065"/>
        <s v="MB-NO066"/>
        <s v="MB-NO067"/>
        <s v="MB-NO068"/>
        <s v="MB-NO069"/>
        <s v="MB-NO070"/>
        <s v="MB-NO072"/>
        <s v="MB-NO073"/>
        <s v="MB-NO076"/>
        <s v="MB-NO079"/>
        <s v="MB-NO080"/>
        <s v="MB-NO081"/>
        <s v="MB-NO082"/>
        <s v="MB-NO083"/>
        <s v="MB-NO084"/>
        <s v="MB-NO085"/>
        <s v="MB-NO086"/>
        <s v="MB-NO087"/>
        <s v="MB-NO089"/>
        <s v="MB-NO090"/>
        <s v="MB-NO091"/>
        <s v="MB-NO092"/>
        <s v="MB-NO093"/>
        <s v="MB-NO094"/>
        <s v="MB-NO095"/>
        <s v="MB-NO098"/>
        <s v="MB-NO099"/>
        <s v="MB-NO100"/>
        <s v="MB-NO101"/>
        <s v="MB-NO102"/>
        <s v="MB-NO106"/>
        <s v="MB-NO107"/>
        <s v="MB-NO108"/>
        <s v="MB-NO109"/>
        <s v="MB-NO110"/>
        <s v="MB-NO111"/>
        <s v="MB-NO112"/>
        <s v="MB-NO113"/>
        <s v="MB-NO114"/>
        <s v="MB-NO117"/>
        <s v="MB-NO118"/>
        <s v="MB-NO119"/>
        <s v="MB-NO120"/>
        <s v="MB-NO121"/>
        <s v="MB-NO127"/>
        <s v="MB-NO128"/>
        <s v="MB-NO129"/>
        <s v="MB-NO130"/>
        <s v="MB-NO131"/>
        <s v="MB-NO132"/>
        <s v="MB-NO133"/>
        <s v="MB-NO136"/>
        <s v="MB-NO137"/>
        <s v="MB-NO138"/>
        <s v="MB-NO139"/>
        <s v="MB-NO140"/>
        <s v="MB-NO142"/>
        <s v="MB-NO143"/>
        <s v="MB-NO144"/>
        <s v="MB-NO145"/>
        <s v="MB-NO146"/>
        <s v="MB-NO147"/>
        <s v="MB-NO148"/>
        <s v="MB-NO149"/>
        <s v="MB-NO151"/>
        <s v="MB-NO152"/>
        <s v="MB-NO153"/>
        <s v="MB-NO154"/>
        <s v="MB-NO155"/>
        <s v="MB-NO156"/>
        <s v="MB-NO158"/>
        <s v="MB-NO160"/>
        <s v="MB-NO161"/>
        <s v="MB-NO162"/>
        <s v="MB-NO163"/>
        <s v="MB-NO164"/>
        <s v="MB-NO165"/>
        <s v="MB-NO166"/>
        <s v="MB-NO167"/>
        <s v="MB-NO168"/>
        <s v="MB-NO169"/>
        <s v="MB-NO171"/>
        <s v="MB-NO172"/>
        <s v="MB-NO173"/>
        <s v="MB-NO174"/>
        <s v="MB-NO175"/>
        <s v="MB-NO176"/>
        <s v="MB-NO177"/>
        <s v="MB-NO178"/>
        <s v="MB-NO179"/>
        <s v="MB-NO180"/>
        <s v="MB-NO181"/>
        <s v="MB-NO182"/>
        <s v="MB-NO183"/>
        <s v="MB-NO184"/>
        <s v="MB-NO185"/>
        <s v="MB-NO186"/>
        <s v="MB-NO187"/>
        <s v="MB-NO189"/>
        <s v="MB-NO192"/>
        <s v="MB-NO193"/>
        <s v="MB-NO195"/>
        <s v="MB-NO196"/>
        <s v="MB-NO197"/>
        <s v="MB-NO198"/>
        <s v="MB-NO199"/>
        <s v="MB-NO200"/>
        <s v="MB-NO201"/>
        <s v="MB-NO202"/>
        <s v="MB-NO204"/>
        <s v="MB-NO205"/>
        <s v="MB-NO206"/>
        <s v="MB-NO207"/>
        <s v="MB-NO208"/>
        <s v="MB-NO209"/>
        <s v="MB-NO210"/>
        <s v="MB-WE027"/>
        <s v="MWF-038-2026"/>
        <s v="NIP_FIRE_012"/>
        <s v="NIP_FIRE_013"/>
        <s v="NIP_FIRE_016"/>
        <s v="NIP_FIRE_018"/>
        <s v="NIP_FIRE_021"/>
        <s v="NIP_FIRE_025"/>
        <s v="NIP_FIRE_026"/>
        <s v="NIP_FIRE_029"/>
        <s v="NIP_FIRE_031"/>
        <s v="NIP_FIRE_032"/>
        <s v="NIP_FIRE_035"/>
        <s v="NIP_FIRE_036"/>
        <s v="NIP_FIRE_037"/>
        <s v="NIP_FIRE_038"/>
        <s v="NIP_FIRE_039"/>
        <s v="NIP_FIRE_040"/>
        <s v="NIP_FIRE_042"/>
        <s v="NIP_FIRE_043"/>
        <s v="NIP_FIRE_044"/>
        <s v="NIP_FIRE_045"/>
        <s v="NIP_FIRE_047"/>
        <s v="NIP_FIRE_048"/>
        <s v="NIP_FIRE_051"/>
        <s v="NIP_FIRE_052"/>
        <s v="NIP_FIRE_053"/>
        <s v="NIP_FIRE_054"/>
        <s v="NIP_FIRE_055"/>
        <s v="NIP_FIRE_056"/>
        <s v="NIP_FIRE_057"/>
        <s v="NIP_FIRE_058"/>
        <s v="NIP_FIRE_059"/>
        <s v="NIP_FIRE_061"/>
        <s v="NIP_FIRE_062"/>
        <s v="NIP_FIRE_063"/>
        <s v="NIP_FIRE_064"/>
        <s v="NIP_FIRE_065"/>
        <s v="NIP_FIRE_066"/>
        <s v="NIP_FIRE_068"/>
        <s v="NIP_FIRE_069"/>
        <s v="NIP_FIRE_070"/>
        <s v="NIP_FIRE_071"/>
        <s v="NIP_FIRE_072"/>
        <s v="NIP_FIRE_073"/>
        <s v="NIP_FIRE_074"/>
        <s v="NIP_FIRE_075"/>
        <s v="NOR_FIRE_027"/>
        <s v="NOR_FIRE_031"/>
        <s v="NOR_FIRE_034"/>
        <s v="PWF-056-2026"/>
        <s v="RED_FIRE_009"/>
        <s v="RED_FIRE_010"/>
        <s v="RED_FIRE_012"/>
        <s v="RED_FIRE_016"/>
        <s v="RED_FIRE_017"/>
        <s v="RED_FIRE_018"/>
        <s v="RED_FIRE_019"/>
        <s v="RED_FIRE_020"/>
        <s v="RED_FIRE_022"/>
        <s v="RED_FIRE_023"/>
        <s v="RED_FIRE_024"/>
        <s v="RWF-036-2026"/>
        <s v="SLK_FIRE_001"/>
        <s v="SLK_FIRE_003"/>
        <s v="SLK_FIRE_005"/>
        <s v="SLK_FIRE_021"/>
        <s v="SLK_FIRE_023"/>
        <s v="SLK_FIRE_024"/>
        <s v="SLK_FIRE_025"/>
        <s v="SLK_FIRE_026"/>
        <s v="SLK_FIRE_027"/>
        <s v="SLK_FIRE_028"/>
        <s v="SLK_FIRE_029"/>
        <s v="SLK_FIRE_031"/>
        <s v="SLK_FIRE_032"/>
        <s v="SLK_FIRE_033"/>
        <s v="SLK_FIRE_034"/>
        <s v="SLK_FIRE_038"/>
        <s v="SLK_FIRE_039"/>
        <s v="SLK_FIRE_040"/>
        <s v="SLK_FIRE_042"/>
        <s v="SLK_FIRE_043"/>
        <s v="SLK_FIRE_044"/>
        <s v="SLK_FIRE_045"/>
        <s v="SLK_FIRE_046"/>
        <s v="SLK_FIRE_047"/>
        <s v="SLK_FIRE_048"/>
        <s v="SLK_FIRE_049"/>
        <s v="SLK_FIRE_050"/>
        <s v="SLK_FIRE_051"/>
        <s v="SLK_FIRE_052"/>
        <s v="SLK_FIRE_053"/>
        <s v="SLK_FIRE_054"/>
        <s v="SLK_FIRE_055"/>
        <s v="SLK_FIRE_056"/>
        <s v="SLK_FIRE_057"/>
        <s v="SLK_FIRE_063"/>
        <s v="SLK_FIRE_064"/>
        <s v="SLK_FIRE_066"/>
        <s v="SLK_FIRE_070"/>
        <s v="SLK_FIRE_071"/>
        <s v="SLK_FIRE_072"/>
        <s v="SLK_FIRE_074"/>
        <s v="SLK_FIRE_083"/>
        <s v="SLK_FIRE_084"/>
        <s v="SLK_FIRE_085"/>
        <s v="SLK_FIRE_086"/>
        <s v="SLK_FIRE_087"/>
        <s v="SLK_FIRE_088"/>
        <s v="SLK_FIRE_089"/>
        <s v="SLK_FIRE_090"/>
        <s v="SLK_FIRE_091"/>
        <s v="SLK_FIRE_092"/>
        <s v="SLK_FIRE_093"/>
        <s v="SLK_FIRE_094"/>
        <s v="SLK_FIRE_095"/>
        <s v="SLK_FIRE_097"/>
        <s v="SLK_FIRE_098"/>
        <s v="SLK_FIRE_099"/>
        <s v="SLK_FIRE_102"/>
        <s v="SS001-26"/>
        <s v="SS004-26"/>
        <s v="SS007-26"/>
        <s v="SS008-26"/>
        <s v="SS009-26"/>
        <s v="SS011-26"/>
        <s v="SS013-26"/>
        <s v="SS016-26"/>
        <s v="SS017-26"/>
        <s v="SS019-26"/>
        <s v="SS021-26"/>
        <s v="SS022-26"/>
        <s v="SS023-26"/>
        <s v="SS024-26"/>
        <s v="SS025-26"/>
        <s v="SS027-26"/>
        <s v="SS028-26"/>
        <s v="SS029-26"/>
        <s v="SS030-26"/>
        <s v="SS031-26"/>
        <s v="SS032-26"/>
        <s v="SS034-26"/>
        <s v="SS035-26"/>
        <s v="SS036-26"/>
        <s v="SS037-26"/>
        <s v="SS038-26"/>
        <s v="SS039-26"/>
        <s v="SS040-26"/>
        <s v="SS041-26"/>
        <s v="SS042-26"/>
        <s v="SS043-26"/>
        <s v="SS044-26"/>
        <s v="SS045-26"/>
        <s v="SS050-26"/>
        <s v="THU_FIRE_036"/>
        <s v="THU_FIRE_048"/>
        <s v="THU_FIRE_051"/>
        <s v="THU_FIRE_054"/>
        <s v="THU_FIRE_056"/>
        <s v="THU_FIRE_059"/>
        <s v="THU_FIRE_060"/>
        <s v="TIM_FIRE_009"/>
        <s v="VQ001-26"/>
        <s v="VQ002-26"/>
        <s v="VQ003-26"/>
        <s v="VQ004-26"/>
        <s v="VQ005-26"/>
        <s v="VQ006-26"/>
        <s v="VQ007-26"/>
        <s v="VQ008-26"/>
        <s v="VQ009-26"/>
        <s v="VQ010-26"/>
        <s v="VQ011-26"/>
        <s v="VQ012-26"/>
        <s v="VQ013-26"/>
        <s v="VQ014-26"/>
        <s v="VQ015-26"/>
        <s v="VQ016-26"/>
        <s v="VQ017-26"/>
        <s v="VQ018-26"/>
        <s v="VQ019-26"/>
        <s v="VQ020-26"/>
        <s v="VQ021-26"/>
        <s v="VQ022-26"/>
        <s v="VQ023-26"/>
        <s v="VQ024-26"/>
        <s v="VQ025-26"/>
        <s v="VQ026-26"/>
        <s v="VQ027-26"/>
        <s v="VQ028-26"/>
        <s v="VQ029-26"/>
        <s v="VQ030-26"/>
        <s v="VQ031-26"/>
        <s v="VQ032-26"/>
        <s v="VQ035-26"/>
        <s v="VQ036-26"/>
        <s v="VQ037-26"/>
        <s v="VQ038-26"/>
        <s v="VQ039-26"/>
        <s v="VQ040-26"/>
        <s v="VQ041-26"/>
        <s v="VQ042-26"/>
        <s v="VQ043-26"/>
        <s v="VQ044-26"/>
        <s v="VQ045-26"/>
        <s v="VQ046-26"/>
        <s v="VQ047-26"/>
        <s v="VQ048-26"/>
        <s v="VQ049-26"/>
        <s v="VQ050-26"/>
        <s v="VQ051-26"/>
        <s v="VQ052-26"/>
        <s v="VQ053-26"/>
        <s v="VQ054-26"/>
        <s v="VQ055-26"/>
        <s v="VQ056-26"/>
        <s v="VQ057-26"/>
        <s v="VQ058-26"/>
        <s v="VQ059-26"/>
        <s v="VQ060-26"/>
        <s v="VQ061-26"/>
        <s v="VQ062-26"/>
        <s v="VQ063-26"/>
        <s v="VQ064-26"/>
        <s v="VQ065-26"/>
        <s v="VQ066-26"/>
        <s v="VQ067-26"/>
        <s v="VQ068-26"/>
        <s v="VQ069-26"/>
        <s v="VQ070-26"/>
        <s v="VQ071-26"/>
        <s v="VQ072-26"/>
        <s v="VQ073-26"/>
        <s v="VQ074-26"/>
        <s v="VQ075-26"/>
        <s v="VQ076-26"/>
        <s v="WAW_FIRE_014"/>
        <s v="WAW_FIRE_015"/>
        <s v="WAW_FIRE_017"/>
        <s v="WAW_FIRE_021"/>
        <s v="WAW_FIRE_025"/>
        <s v="WAW_FIRE_028"/>
        <s v="ZF006-26"/>
        <s v="ZF007-26"/>
        <s v="ZF008-26"/>
        <s v="ZF009-26"/>
        <s v="ZF010-26"/>
        <s v="ZF012-26"/>
        <s v="ZF015-26"/>
        <s v="ZF017-26"/>
        <s v="ZF018-26"/>
        <s v="ZF019-26"/>
        <s v="ZF021-26"/>
        <s v="ZF022-26"/>
        <s v="ZF023-26"/>
        <s v="ZF024-26"/>
        <s v="ZF025-26"/>
        <s v="ZF028-26"/>
        <s v="ZF029-26"/>
        <s v="ZF032-26"/>
        <s v="ZF033-26"/>
        <s v="ZF037-26"/>
        <s v="ZF038-26"/>
        <s v="ZF039-26"/>
        <s v="ZF040-26"/>
        <s v="ZF041-26"/>
        <s v="ZF042-26"/>
        <s v="ZF043-26"/>
        <s v="ZF044-26"/>
        <s v="ZF045-26"/>
        <s v="ZF046-26"/>
        <s v="ZF047-26"/>
        <s v="ZF048-26"/>
        <s v="ZF049-26"/>
        <s v="ZF050-26"/>
        <s v="ZF051-26"/>
        <s v="ZF052-26"/>
        <s v="ZF053-26"/>
        <s v="ZF054-26"/>
        <s v="ZF055-26"/>
        <s v="ZF056-26"/>
        <s v="ZF057-26"/>
        <s v="ZF058-26"/>
        <s v="ZF059-26"/>
        <s v="ZF060-26"/>
        <s v="ZF061-26"/>
        <s v="ZF062-26"/>
        <s v="ZF063-26"/>
        <s v="ZF064-26"/>
        <s v="ZF065-26"/>
        <s v="ZF066-26"/>
        <s v="ZF067-26"/>
        <m/>
      </sharedItems>
    </cacheField>
    <cacheField name="national_fire_cause" numFmtId="0">
      <sharedItems containsBlank="1" count="4">
        <s v="H"/>
        <s v="N"/>
        <s v="U"/>
        <m/>
      </sharedItems>
    </cacheField>
    <cacheField name="fire_type_ics" numFmtId="0">
      <sharedItems containsString="0" containsBlank="1" containsNumber="1" containsInteger="1" minValue="-1" maxValue="5" count="7">
        <n v="-1"/>
        <n v="1"/>
        <n v="2"/>
        <n v="3"/>
        <n v="4"/>
        <n v="5"/>
        <m/>
      </sharedItems>
    </cacheField>
    <cacheField name="severity_nearest_dsr" numFmtId="0">
      <sharedItems containsString="0" containsBlank="1" containsNumber="1" containsInteger="1" minValue="-1" maxValue="16" count="15">
        <n v="-1"/>
        <n v="0"/>
        <n v="1"/>
        <n v="2"/>
        <n v="3"/>
        <n v="4"/>
        <n v="5"/>
        <n v="6"/>
        <n v="7"/>
        <n v="8"/>
        <n v="9"/>
        <n v="10"/>
        <n v="13"/>
        <n v="16"/>
        <m/>
      </sharedItems>
    </cacheField>
    <cacheField name="fire_was_prescribed" numFmtId="0">
      <sharedItems containsString="0" containsBlank="1" containsNumber="1" containsInteger="1" minValue="-1" maxValue="0" count="3">
        <n v="-1"/>
        <n v="0"/>
        <m/>
      </sharedItems>
    </cacheField>
    <cacheField name="percent_contained" numFmtId="0">
      <sharedItems containsBlank="1" containsMixedTypes="1" containsNumber="1" containsInteger="1" minValue="-1" maxValue="100" count="4">
        <n v="-1"/>
        <n v="100"/>
        <s v="o"/>
        <m/>
      </sharedItems>
    </cacheField>
    <cacheField name="fire_size" numFmtId="0">
      <sharedItems containsString="0" containsBlank="1" containsNumber="1" minValue="-1" maxValue="318812.7" count="536">
        <n v="-1"/>
        <n v="0"/>
        <n v="0.001"/>
        <n v="0.009"/>
        <n v="0.01"/>
        <n v="0.04"/>
        <n v="0.08"/>
        <n v="0.09"/>
        <n v="0.1"/>
        <n v="0.16"/>
        <n v="0.18"/>
        <n v="0.2"/>
        <n v="0.25"/>
        <n v="0.3"/>
        <n v="0.31"/>
        <n v="0.5"/>
        <n v="0.6"/>
        <n v="0.65"/>
        <n v="0.68"/>
        <n v="0.7"/>
        <n v="0.75"/>
        <n v="0.8"/>
        <n v="1"/>
        <n v="1.1"/>
        <n v="1.2"/>
        <n v="1.44"/>
        <n v="1.5"/>
        <n v="1.8"/>
        <n v="2"/>
        <n v="2.2"/>
        <n v="2.23"/>
        <n v="2.3"/>
        <n v="2.4"/>
        <n v="2.5"/>
        <n v="2.65"/>
        <n v="2.87"/>
        <n v="2.9"/>
        <n v="3"/>
        <n v="3.1"/>
        <n v="3.3"/>
        <n v="3.5"/>
        <n v="4"/>
        <n v="4.1"/>
        <n v="4.7"/>
        <n v="4.83"/>
        <n v="5"/>
        <n v="5.1"/>
        <n v="5.3"/>
        <n v="5.7"/>
        <n v="5.9"/>
        <n v="6"/>
        <n v="7"/>
        <n v="7.2"/>
        <n v="8"/>
        <n v="8.1"/>
        <n v="9"/>
        <n v="9.8"/>
        <n v="10"/>
        <n v="10.766"/>
        <n v="11"/>
        <n v="11.1"/>
        <n v="11.8"/>
        <n v="12"/>
        <n v="12.5"/>
        <n v="12.8"/>
        <n v="13"/>
        <n v="13.8"/>
        <n v="14"/>
        <n v="14.2"/>
        <n v="15"/>
        <n v="16"/>
        <n v="16.6"/>
        <n v="16.8"/>
        <n v="17"/>
        <n v="17.5"/>
        <n v="18"/>
        <n v="19"/>
        <n v="20"/>
        <n v="21"/>
        <n v="22"/>
        <n v="22.3"/>
        <n v="22.4"/>
        <n v="23"/>
        <n v="23.7"/>
        <n v="24"/>
        <n v="24.5"/>
        <n v="25"/>
        <n v="26"/>
        <n v="26.8"/>
        <n v="27"/>
        <n v="27.7"/>
        <n v="27.8"/>
        <n v="28"/>
        <n v="28.48"/>
        <n v="29"/>
        <n v="30"/>
        <n v="31"/>
        <n v="32"/>
        <n v="33"/>
        <n v="34"/>
        <n v="34.1"/>
        <n v="35"/>
        <n v="36"/>
        <n v="37"/>
        <n v="37.2"/>
        <n v="37.5"/>
        <n v="38"/>
        <n v="39"/>
        <n v="40"/>
        <n v="42"/>
        <n v="42.2"/>
        <n v="42.4"/>
        <n v="43"/>
        <n v="44.2"/>
        <n v="45"/>
        <n v="45.5"/>
        <n v="46"/>
        <n v="46.6"/>
        <n v="47"/>
        <n v="48"/>
        <n v="49"/>
        <n v="50"/>
        <n v="51"/>
        <n v="51.8"/>
        <n v="52"/>
        <n v="54.5"/>
        <n v="55"/>
        <n v="55.7"/>
        <n v="57"/>
        <n v="57.5"/>
        <n v="57.7"/>
        <n v="59.4"/>
        <n v="60"/>
        <n v="64"/>
        <n v="65"/>
        <n v="66"/>
        <n v="67"/>
        <n v="70"/>
        <n v="70.3"/>
        <n v="72"/>
        <n v="73"/>
        <n v="75"/>
        <n v="76"/>
        <n v="77"/>
        <n v="79"/>
        <n v="79.809"/>
        <n v="80"/>
        <n v="82"/>
        <n v="86"/>
        <n v="88"/>
        <n v="90"/>
        <n v="93"/>
        <n v="94.7"/>
        <n v="95"/>
        <n v="95.7"/>
        <n v="97.52"/>
        <n v="100"/>
        <n v="101"/>
        <n v="102"/>
        <n v="102.26"/>
        <n v="103.3"/>
        <n v="103.9"/>
        <n v="105.5"/>
        <n v="106.1"/>
        <n v="107"/>
        <n v="108"/>
        <n v="110"/>
        <n v="111.2"/>
        <n v="113.1"/>
        <n v="114.5"/>
        <n v="115"/>
        <n v="117"/>
        <n v="119.2"/>
        <n v="120"/>
        <n v="122.3"/>
        <n v="122.9"/>
        <n v="125"/>
        <n v="125.85"/>
        <n v="127"/>
        <n v="128"/>
        <n v="132"/>
        <n v="134"/>
        <n v="134.5"/>
        <n v="136.6"/>
        <n v="137"/>
        <n v="137.5"/>
        <n v="139.1"/>
        <n v="140"/>
        <n v="150"/>
        <n v="153"/>
        <n v="155"/>
        <n v="156"/>
        <n v="160"/>
        <n v="163.8"/>
        <n v="170.6"/>
        <n v="173"/>
        <n v="174"/>
        <n v="175"/>
        <n v="179.6"/>
        <n v="180"/>
        <n v="181"/>
        <n v="182.9"/>
        <n v="190"/>
        <n v="197.1"/>
        <n v="197.91"/>
        <n v="200"/>
        <n v="200.8"/>
        <n v="205"/>
        <n v="211"/>
        <n v="211.8"/>
        <n v="212.5"/>
        <n v="215"/>
        <n v="219.6"/>
        <n v="225"/>
        <n v="226"/>
        <n v="229"/>
        <n v="230"/>
        <n v="232.9"/>
        <n v="234"/>
        <n v="237.5"/>
        <n v="240"/>
        <n v="243"/>
        <n v="250"/>
        <n v="260"/>
        <n v="265"/>
        <n v="275"/>
        <n v="280"/>
        <n v="283"/>
        <n v="300"/>
        <n v="302.2"/>
        <n v="309"/>
        <n v="310"/>
        <n v="319"/>
        <n v="320"/>
        <n v="323"/>
        <n v="327.1"/>
        <n v="337.4"/>
        <n v="340"/>
        <n v="340.7"/>
        <n v="342"/>
        <n v="343"/>
        <n v="348.2"/>
        <n v="350"/>
        <n v="354.1"/>
        <n v="360"/>
        <n v="370.7"/>
        <n v="375"/>
        <n v="378"/>
        <n v="382.7"/>
        <n v="388"/>
        <n v="400"/>
        <n v="403"/>
        <n v="406.2"/>
        <n v="407"/>
        <n v="418.1"/>
        <n v="425"/>
        <n v="432"/>
        <n v="441.1"/>
        <n v="442"/>
        <n v="444"/>
        <n v="449.83"/>
        <n v="450"/>
        <n v="459.6"/>
        <n v="475"/>
        <n v="483.8"/>
        <n v="488.8"/>
        <n v="492.9"/>
        <n v="500"/>
        <n v="500.4"/>
        <n v="507.7"/>
        <n v="527.1"/>
        <n v="545.7"/>
        <n v="550"/>
        <n v="558.8"/>
        <n v="567"/>
        <n v="576"/>
        <n v="586"/>
        <n v="591"/>
        <n v="600"/>
        <n v="606.3"/>
        <n v="610"/>
        <n v="610.8"/>
        <n v="638"/>
        <n v="650"/>
        <n v="652"/>
        <n v="659"/>
        <n v="663"/>
        <n v="685.8"/>
        <n v="700"/>
        <n v="710.3"/>
        <n v="716.2"/>
        <n v="737"/>
        <n v="739"/>
        <n v="750"/>
        <n v="760"/>
        <n v="763"/>
        <n v="768.8"/>
        <n v="800"/>
        <n v="803"/>
        <n v="810.3"/>
        <n v="813"/>
        <n v="817.3"/>
        <n v="818.1"/>
        <n v="830"/>
        <n v="850"/>
        <n v="890.9"/>
        <n v="891"/>
        <n v="897"/>
        <n v="900"/>
        <n v="908"/>
        <n v="911.9"/>
        <n v="930"/>
        <n v="938"/>
        <n v="950"/>
        <n v="957.19"/>
        <n v="968.2"/>
        <n v="1000"/>
        <n v="1030"/>
        <n v="1057"/>
        <n v="1075"/>
        <n v="1078"/>
        <n v="1082.6"/>
        <n v="1083"/>
        <n v="1085.7"/>
        <n v="1088.2"/>
        <n v="1089"/>
        <n v="1098.1"/>
        <n v="1103"/>
        <n v="1124"/>
        <n v="1181.2"/>
        <n v="1200"/>
        <n v="1200.6"/>
        <n v="1220.4"/>
        <n v="1220.5"/>
        <n v="1233.4"/>
        <n v="1280"/>
        <n v="1286.8"/>
        <n v="1344"/>
        <n v="1345"/>
        <n v="1356"/>
        <n v="1357"/>
        <n v="1372.3"/>
        <n v="1372.8"/>
        <n v="1385.5"/>
        <n v="1396.5"/>
        <n v="1400"/>
        <n v="1415"/>
        <n v="1434.2"/>
        <n v="1447"/>
        <n v="1474.2"/>
        <n v="1482"/>
        <n v="1493.6"/>
        <n v="1500"/>
        <n v="1517.8"/>
        <n v="1584.2"/>
        <n v="1640"/>
        <n v="1700"/>
        <n v="1738"/>
        <n v="1803"/>
        <n v="1811"/>
        <n v="1815"/>
        <n v="1818.6"/>
        <n v="1832.8"/>
        <n v="1900"/>
        <n v="1907.8"/>
        <n v="1997"/>
        <n v="2000"/>
        <n v="2030"/>
        <n v="2111.7"/>
        <n v="2119"/>
        <n v="2142"/>
        <n v="2195"/>
        <n v="2283.3"/>
        <n v="2310.8"/>
        <n v="2400"/>
        <n v="2405"/>
        <n v="2455"/>
        <n v="2478"/>
        <n v="2500"/>
        <n v="2575.5"/>
        <n v="2615"/>
        <n v="2657.8"/>
        <n v="2677"/>
        <n v="2703.7"/>
        <n v="2707"/>
        <n v="2723.6"/>
        <n v="2807.7"/>
        <n v="2912.4"/>
        <n v="2970"/>
        <n v="2972"/>
        <n v="2980"/>
        <n v="2986.1"/>
        <n v="3000"/>
        <n v="3000.3"/>
        <n v="3009"/>
        <n v="3056.3"/>
        <n v="3100.6"/>
        <n v="3146.6"/>
        <n v="3151"/>
        <n v="3163"/>
        <n v="3165.9"/>
        <n v="3249.9"/>
        <n v="3250"/>
        <n v="3305.3"/>
        <n v="3334"/>
        <n v="3380.3"/>
        <n v="3405"/>
        <n v="3448"/>
        <n v="3461.4"/>
        <n v="3471.3"/>
        <n v="3500"/>
        <n v="3535.3"/>
        <n v="3779"/>
        <n v="3850"/>
        <n v="3926"/>
        <n v="3960"/>
        <n v="4261"/>
        <n v="4310.3"/>
        <n v="4314.4"/>
        <n v="4572"/>
        <n v="4587"/>
        <n v="4732.2"/>
        <n v="4733.6"/>
        <n v="4791"/>
        <n v="4796.6"/>
        <n v="5000"/>
        <n v="5035.4"/>
        <n v="5089"/>
        <n v="5210"/>
        <n v="5305.8"/>
        <n v="5393"/>
        <n v="5683"/>
        <n v="5848.1"/>
        <n v="5970.9"/>
        <n v="6000"/>
        <n v="6113.5"/>
        <n v="6167.4"/>
        <n v="6195"/>
        <n v="6397"/>
        <n v="6711"/>
        <n v="6855.4"/>
        <n v="6909.9"/>
        <n v="7044"/>
        <n v="7190.1"/>
        <n v="7300"/>
        <n v="7554.9"/>
        <n v="7830"/>
        <n v="7859.1"/>
        <n v="7878"/>
        <n v="7947"/>
        <n v="8106"/>
        <n v="8157"/>
        <n v="8160"/>
        <n v="8417.9"/>
        <n v="8683"/>
        <n v="8698.2"/>
        <n v="9000"/>
        <n v="9072"/>
        <n v="9278.4"/>
        <n v="9296.6"/>
        <n v="9347"/>
        <n v="9411.2"/>
        <n v="9630"/>
        <n v="9922"/>
        <n v="9972"/>
        <n v="10277"/>
        <n v="10416.6"/>
        <n v="10461"/>
        <n v="10832.5"/>
        <n v="11002"/>
        <n v="11096.2"/>
        <n v="11207.9"/>
        <n v="11300"/>
        <n v="11655.4"/>
        <n v="11674"/>
        <n v="11801.6"/>
        <n v="11984"/>
        <n v="12100"/>
        <n v="12315"/>
        <n v="12587.4"/>
        <n v="12919.3"/>
        <n v="12950"/>
        <n v="13089"/>
        <n v="13200"/>
        <n v="13434"/>
        <n v="13492"/>
        <n v="13500"/>
        <n v="13744"/>
        <n v="14000"/>
        <n v="14344.3"/>
        <n v="14413"/>
        <n v="15065"/>
        <n v="15555"/>
        <n v="15702"/>
        <n v="15727"/>
        <n v="16006"/>
        <n v="16093"/>
        <n v="16271.9"/>
        <n v="16499"/>
        <n v="16839"/>
        <n v="17248.1"/>
        <n v="17275.1"/>
        <n v="17716.2"/>
        <n v="17878"/>
        <n v="18000"/>
        <n v="19513"/>
        <n v="19562.4"/>
        <n v="19717"/>
        <n v="20134"/>
        <n v="22461"/>
        <n v="22780.6"/>
        <n v="23123.7"/>
        <n v="23597"/>
        <n v="25049.5"/>
        <n v="25279"/>
        <n v="26573.5"/>
        <n v="27942.9"/>
        <n v="29976.5"/>
        <n v="31100"/>
        <n v="33501"/>
        <n v="37000"/>
        <n v="38305.7"/>
        <n v="39797.4"/>
        <n v="41830.2"/>
        <n v="43325.8"/>
        <n v="44954"/>
        <n v="49662.4"/>
        <n v="51780"/>
        <n v="51806"/>
        <n v="55403"/>
        <n v="76717"/>
        <n v="100007"/>
        <n v="107721.3"/>
        <n v="144546"/>
        <n v="318812.7"/>
        <m/>
      </sharedItems>
    </cacheField>
    <cacheField name="response_type" numFmtId="0">
      <sharedItems containsBlank="1" count="4">
        <s v="FUL"/>
        <s v="MOD"/>
        <s v="MON"/>
        <m/>
      </sharedItems>
    </cacheField>
    <cacheField name="stage_of_control_status" numFmtId="0">
      <sharedItems containsBlank="1" count="4">
        <s v="BH"/>
        <s v="OC"/>
        <s v="UC"/>
        <m/>
      </sharedItems>
    </cacheField>
    <cacheField name="situation_report_date" numFmtId="0">
      <sharedItems containsNonDate="0" containsDate="1" containsString="0" containsBlank="1" minDate="2020-05-26T22:32:00" maxDate="2026-07-21T14:07:00" count="737">
        <d v="2020-05-26T22:32:00"/>
        <d v="2020-06-30T00:16:00"/>
        <d v="2023-05-25T18:20:00"/>
        <d v="2023-06-23T12:00:00"/>
        <d v="2026-03-16T10:33:00"/>
        <d v="2026-03-23T14:47:00"/>
        <d v="2026-04-01T14:00:00"/>
        <d v="2026-04-09T21:54:00"/>
        <d v="2026-04-23T12:17:00"/>
        <d v="2026-04-25T18:48:00"/>
        <d v="2026-05-08T09:38:00"/>
        <d v="2026-05-10T04:00:00"/>
        <d v="2026-05-14T13:03:00"/>
        <d v="2026-05-21T17:13:00"/>
        <d v="2026-05-22T00:07:00"/>
        <d v="2026-05-22T00:16:00"/>
        <d v="2026-05-25T18:20:00"/>
        <d v="2026-05-25T21:48:00"/>
        <d v="2026-05-28T00:48:00"/>
        <d v="2026-05-28T18:48:00"/>
        <d v="2026-05-28T23:43:00"/>
        <d v="2026-05-30T17:38:00"/>
        <d v="2026-05-30T19:24:00"/>
        <d v="2026-05-30T19:49:00"/>
        <d v="2026-05-31T20:33:00"/>
        <d v="2026-06-01T05:00:00"/>
        <d v="2026-06-01T15:07:00"/>
        <d v="2026-06-02T05:00:00"/>
        <d v="2026-06-02T20:50:00"/>
        <d v="2026-06-03T12:45:00"/>
        <d v="2026-06-03T22:00:00"/>
        <d v="2026-06-06T02:26:00"/>
        <d v="2026-06-06T05:00:00"/>
        <d v="2026-06-06T22:08:00"/>
        <d v="2026-06-09T05:00:00"/>
        <d v="2026-06-09T17:58:00"/>
        <d v="2026-06-09T18:52:00"/>
        <d v="2026-06-10T22:31:00"/>
        <d v="2026-06-13T23:30:00"/>
        <d v="2026-06-14T00:15:00"/>
        <d v="2026-06-14T00:39:00"/>
        <d v="2026-06-14T19:15:00"/>
        <d v="2026-06-14T20:01:00"/>
        <d v="2026-06-14T23:13:00"/>
        <d v="2026-06-14T23:34:00"/>
        <d v="2026-06-15T00:22:00"/>
        <d v="2026-06-15T19:34:00"/>
        <d v="2026-06-16T22:15:00"/>
        <d v="2026-06-17T02:05:00"/>
        <d v="2026-06-17T16:56:00"/>
        <d v="2026-06-18T22:00:00"/>
        <d v="2026-06-19T16:46:00"/>
        <d v="2026-06-19T18:02:00"/>
        <d v="2026-06-19T18:23:00"/>
        <d v="2026-06-19T18:49:00"/>
        <d v="2026-06-19T19:34:00"/>
        <d v="2026-06-19T19:43:00"/>
        <d v="2026-06-19T23:34:00"/>
        <d v="2026-06-20T19:09:00"/>
        <d v="2026-06-21T22:47:00"/>
        <d v="2026-06-21T22:49:00"/>
        <d v="2026-06-22T01:33:00"/>
        <d v="2026-06-22T03:28:00"/>
        <d v="2026-06-22T05:12:00"/>
        <d v="2026-06-22T17:52:00"/>
        <d v="2026-06-22T18:04:00"/>
        <d v="2026-06-22T18:14:00"/>
        <d v="2026-06-22T18:35:00"/>
        <d v="2026-06-22T20:47:00"/>
        <d v="2026-06-22T21:30:00"/>
        <d v="2026-06-22T22:11:00"/>
        <d v="2026-06-22T22:27:00"/>
        <d v="2026-06-23T02:47:00"/>
        <d v="2026-06-23T02:57:00"/>
        <d v="2026-06-23T15:00:00"/>
        <d v="2026-06-23T15:59:00"/>
        <d v="2026-06-23T16:17:00"/>
        <d v="2026-06-23T17:27:00"/>
        <d v="2026-06-23T18:39:00"/>
        <d v="2026-06-23T18:45:00"/>
        <d v="2026-06-23T19:36:00"/>
        <d v="2026-06-23T21:35:00"/>
        <d v="2026-06-23T21:39:00"/>
        <d v="2026-06-23T21:49:00"/>
        <d v="2026-06-23T22:00:00"/>
        <d v="2026-06-23T22:24:00"/>
        <d v="2026-06-23T23:33:00"/>
        <d v="2026-06-23T23:46:00"/>
        <d v="2026-06-24T00:28:00"/>
        <d v="2026-06-24T01:22:00"/>
        <d v="2026-06-24T01:30:00"/>
        <d v="2026-06-24T01:35:00"/>
        <d v="2026-06-24T01:37:00"/>
        <d v="2026-06-24T03:00:00"/>
        <d v="2026-06-24T03:12:00"/>
        <d v="2026-06-24T03:24:00"/>
        <d v="2026-06-24T05:00:00"/>
        <d v="2026-06-24T13:44:00"/>
        <d v="2026-06-24T14:21:00"/>
        <d v="2026-06-24T17:09:00"/>
        <d v="2026-06-24T18:02:00"/>
        <d v="2026-06-24T19:12:00"/>
        <d v="2026-06-24T19:17:00"/>
        <d v="2026-06-24T19:20:00"/>
        <d v="2026-06-24T21:03:00"/>
        <d v="2026-06-24T21:14:00"/>
        <d v="2026-06-24T21:29:00"/>
        <d v="2026-06-24T22:30:00"/>
        <d v="2026-06-24T23:28:00"/>
        <d v="2026-06-25T00:00:00"/>
        <d v="2026-06-25T00:05:00"/>
        <d v="2026-06-25T00:34:00"/>
        <d v="2026-06-25T00:45:00"/>
        <d v="2026-06-25T01:01:00"/>
        <d v="2026-06-25T01:16:00"/>
        <d v="2026-06-25T02:30:00"/>
        <d v="2026-06-25T04:06:00"/>
        <d v="2026-06-25T05:00:00"/>
        <d v="2026-06-25T12:00:00"/>
        <d v="2026-06-25T12:07:00"/>
        <d v="2026-06-25T13:35:00"/>
        <d v="2026-06-25T17:44:00"/>
        <d v="2026-06-25T19:15:00"/>
        <d v="2026-06-25T19:57:00"/>
        <d v="2026-06-25T20:11:00"/>
        <d v="2026-06-25T20:13:00"/>
        <d v="2026-06-25T20:33:00"/>
        <d v="2026-06-25T20:42:00"/>
        <d v="2026-06-25T21:42:00"/>
        <d v="2026-06-25T21:57:00"/>
        <d v="2026-06-25T22:05:00"/>
        <d v="2026-06-25T22:17:00"/>
        <d v="2026-06-25T22:37:00"/>
        <d v="2026-06-25T22:52:00"/>
        <d v="2026-06-25T23:35:00"/>
        <d v="2026-06-25T23:45:00"/>
        <d v="2026-06-26T00:34:00"/>
        <d v="2026-06-26T01:04:00"/>
        <d v="2026-06-26T01:12:00"/>
        <d v="2026-06-26T02:15:00"/>
        <d v="2026-06-26T02:24:00"/>
        <d v="2026-06-26T02:30:00"/>
        <d v="2026-06-26T05:00:00"/>
        <d v="2026-06-26T14:54:00"/>
        <d v="2026-06-26T16:00:00"/>
        <d v="2026-06-26T16:03:00"/>
        <d v="2026-06-26T16:22:00"/>
        <d v="2026-06-26T16:59:00"/>
        <d v="2026-06-26T17:02:00"/>
        <d v="2026-06-26T17:04:00"/>
        <d v="2026-06-26T17:58:00"/>
        <d v="2026-06-26T18:26:00"/>
        <d v="2026-06-26T18:29:00"/>
        <d v="2026-06-26T18:47:00"/>
        <d v="2026-06-26T18:52:00"/>
        <d v="2026-06-26T18:53:00"/>
        <d v="2026-06-26T19:01:00"/>
        <d v="2026-06-26T19:08:00"/>
        <d v="2026-06-26T19:13:00"/>
        <d v="2026-06-26T19:35:00"/>
        <d v="2026-06-26T19:48:00"/>
        <d v="2026-06-26T20:04:00"/>
        <d v="2026-06-26T20:56:00"/>
        <d v="2026-06-26T21:05:00"/>
        <d v="2026-06-26T21:34:00"/>
        <d v="2026-06-26T21:48:00"/>
        <d v="2026-06-26T22:37:00"/>
        <d v="2026-06-26T22:51:00"/>
        <d v="2026-06-26T23:06:00"/>
        <d v="2026-06-26T23:15:00"/>
        <d v="2026-06-26T23:44:00"/>
        <d v="2026-06-26T23:48:00"/>
        <d v="2026-06-27T00:17:00"/>
        <d v="2026-06-27T00:18:00"/>
        <d v="2026-06-27T00:21:00"/>
        <d v="2026-06-27T00:26:00"/>
        <d v="2026-06-27T00:30:00"/>
        <d v="2026-06-27T00:32:00"/>
        <d v="2026-06-27T00:36:00"/>
        <d v="2026-06-27T00:42:00"/>
        <d v="2026-06-27T00:56:00"/>
        <d v="2026-06-27T01:01:00"/>
        <d v="2026-06-27T01:14:00"/>
        <d v="2026-06-27T05:00:00"/>
        <d v="2026-06-27T14:00:00"/>
        <d v="2026-06-27T15:00:00"/>
        <d v="2026-06-27T15:46:00"/>
        <d v="2026-06-27T16:00:00"/>
        <d v="2026-06-27T16:26:00"/>
        <d v="2026-06-27T17:04:00"/>
        <d v="2026-06-27T17:10:00"/>
        <d v="2026-06-27T17:23:00"/>
        <d v="2026-06-27T17:39:00"/>
        <d v="2026-06-27T17:47:00"/>
        <d v="2026-06-27T17:51:00"/>
        <d v="2026-06-27T18:25:00"/>
        <d v="2026-06-27T18:28:00"/>
        <d v="2026-06-27T19:11:00"/>
        <d v="2026-06-27T19:18:00"/>
        <d v="2026-06-27T19:25:00"/>
        <d v="2026-06-27T19:30:00"/>
        <d v="2026-06-27T19:35:00"/>
        <d v="2026-06-27T19:59:00"/>
        <d v="2026-06-27T20:00:00"/>
        <d v="2026-06-27T20:01:00"/>
        <d v="2026-06-27T20:02:00"/>
        <d v="2026-06-27T20:41:00"/>
        <d v="2026-06-27T20:42:00"/>
        <d v="2026-06-27T20:46:00"/>
        <d v="2026-06-27T20:49:00"/>
        <d v="2026-06-27T20:53:00"/>
        <d v="2026-06-27T20:54:00"/>
        <d v="2026-06-27T21:07:00"/>
        <d v="2026-06-27T21:10:00"/>
        <d v="2026-06-27T21:32:00"/>
        <d v="2026-06-27T21:34:00"/>
        <d v="2026-06-27T22:06:00"/>
        <d v="2026-06-27T22:13:00"/>
        <d v="2026-06-27T22:18:00"/>
        <d v="2026-06-27T22:23:00"/>
        <d v="2026-06-27T22:36:00"/>
        <d v="2026-06-27T22:37:00"/>
        <d v="2026-06-27T22:42:00"/>
        <d v="2026-06-27T22:52:00"/>
        <d v="2026-06-27T23:04:00"/>
        <d v="2026-06-27T23:14:00"/>
        <d v="2026-06-27T23:47:00"/>
        <d v="2026-06-27T23:50:00"/>
        <d v="2026-06-27T23:59:00"/>
        <d v="2026-06-28T00:04:00"/>
        <d v="2026-06-28T00:15:00"/>
        <d v="2026-06-28T00:18:00"/>
        <d v="2026-06-28T00:21:00"/>
        <d v="2026-06-28T00:37:00"/>
        <d v="2026-06-28T00:40:00"/>
        <d v="2026-06-28T00:46:00"/>
        <d v="2026-06-28T00:48:00"/>
        <d v="2026-06-28T00:51:00"/>
        <d v="2026-06-28T01:01:00"/>
        <d v="2026-06-28T01:15:00"/>
        <d v="2026-06-28T01:34:00"/>
        <d v="2026-06-28T02:30:00"/>
        <d v="2026-06-28T05:00:00"/>
        <d v="2026-06-28T14:09:00"/>
        <d v="2026-06-28T14:14:00"/>
        <d v="2026-06-28T14:17:00"/>
        <d v="2026-06-28T14:22:00"/>
        <d v="2026-06-28T14:26:00"/>
        <d v="2026-06-28T14:30:00"/>
        <d v="2026-06-28T14:33:00"/>
        <d v="2026-06-28T14:42:00"/>
        <d v="2026-06-28T14:54:00"/>
        <d v="2026-06-28T14:56:00"/>
        <d v="2026-06-28T14:58:00"/>
        <d v="2026-06-28T15:18:00"/>
        <d v="2026-06-28T15:29:00"/>
        <d v="2026-06-28T16:02:00"/>
        <d v="2026-06-28T16:04:00"/>
        <d v="2026-06-28T16:24:00"/>
        <d v="2026-06-28T16:26:00"/>
        <d v="2026-06-28T16:35:00"/>
        <d v="2026-06-28T16:45:00"/>
        <d v="2026-06-28T17:04:00"/>
        <d v="2026-06-28T17:11:00"/>
        <d v="2026-06-28T17:16:00"/>
        <d v="2026-06-28T17:30:00"/>
        <d v="2026-06-28T17:42:00"/>
        <d v="2026-06-28T17:43:00"/>
        <d v="2026-06-28T17:45:00"/>
        <d v="2026-06-28T17:46:00"/>
        <d v="2026-06-28T17:47:00"/>
        <d v="2026-06-28T17:49:00"/>
        <d v="2026-06-28T17:50:00"/>
        <d v="2026-06-28T17:52:00"/>
        <d v="2026-06-28T17:55:00"/>
        <d v="2026-06-28T17:57:00"/>
        <d v="2026-06-28T17:59:00"/>
        <d v="2026-06-28T18:44:00"/>
        <d v="2026-06-28T18:53:00"/>
        <d v="2026-06-28T19:02:00"/>
        <d v="2026-06-28T19:14:00"/>
        <d v="2026-06-28T19:16:00"/>
        <d v="2026-06-28T19:20:00"/>
        <d v="2026-06-28T20:01:00"/>
        <d v="2026-06-28T20:05:00"/>
        <d v="2026-06-28T20:32:00"/>
        <d v="2026-06-28T20:44:00"/>
        <d v="2026-06-28T21:06:00"/>
        <d v="2026-06-28T21:47:00"/>
        <d v="2026-06-28T22:00:00"/>
        <d v="2026-06-28T22:01:00"/>
        <d v="2026-06-28T22:02:00"/>
        <d v="2026-06-28T22:28:00"/>
        <d v="2026-06-28T22:36:00"/>
        <d v="2026-06-28T22:58:00"/>
        <d v="2026-06-28T23:45:00"/>
        <d v="2026-06-28T23:46:00"/>
        <d v="2026-06-28T23:58:00"/>
        <d v="2026-06-29T00:00:00"/>
        <d v="2026-06-29T00:09:00"/>
        <d v="2026-06-29T00:22:00"/>
        <d v="2026-06-29T05:00:00"/>
        <d v="2026-06-29T11:48:00"/>
        <d v="2026-06-29T14:27:00"/>
        <d v="2026-06-29T14:50:00"/>
        <d v="2026-06-29T15:20:00"/>
        <d v="2026-06-29T15:25:00"/>
        <d v="2026-06-29T15:29:00"/>
        <d v="2026-06-29T15:37:00"/>
        <d v="2026-06-29T15:40:00"/>
        <d v="2026-06-29T16:00:00"/>
        <d v="2026-06-29T16:02:00"/>
        <d v="2026-06-29T16:09:00"/>
        <d v="2026-06-29T16:15:00"/>
        <d v="2026-06-29T16:20:00"/>
        <d v="2026-06-29T16:32:00"/>
        <d v="2026-06-29T16:48:00"/>
        <d v="2026-06-29T17:06:00"/>
        <d v="2026-06-29T17:13:00"/>
        <d v="2026-06-29T17:16:00"/>
        <d v="2026-06-29T17:38:00"/>
        <d v="2026-06-29T18:01:00"/>
        <d v="2026-06-29T18:02:00"/>
        <d v="2026-06-29T18:03:00"/>
        <d v="2026-06-29T18:10:00"/>
        <d v="2026-06-29T18:37:00"/>
        <d v="2026-06-29T18:38:00"/>
        <d v="2026-06-29T18:41:00"/>
        <d v="2026-06-29T19:11:00"/>
        <d v="2026-06-29T19:24:00"/>
        <d v="2026-06-29T19:30:00"/>
        <d v="2026-06-29T19:33:00"/>
        <d v="2026-06-29T20:02:00"/>
        <d v="2026-06-29T20:09:00"/>
        <d v="2026-06-29T20:13:00"/>
        <d v="2026-06-29T20:22:00"/>
        <d v="2026-06-29T20:26:00"/>
        <d v="2026-06-29T20:30:00"/>
        <d v="2026-06-29T20:33:00"/>
        <d v="2026-06-29T20:44:00"/>
        <d v="2026-06-30T00:03:00"/>
        <d v="2026-06-30T00:52:00"/>
        <d v="2026-06-30T00:53:00"/>
        <d v="2026-06-30T00:54:00"/>
        <d v="2026-06-30T00:55:00"/>
        <d v="2026-06-30T00:56:00"/>
        <d v="2026-06-30T00:57:00"/>
        <d v="2026-06-30T01:00:00"/>
        <d v="2026-06-30T01:01:00"/>
        <d v="2026-06-30T01:02:00"/>
        <d v="2026-06-30T01:03:00"/>
        <d v="2026-06-30T01:07:00"/>
        <d v="2026-06-30T01:16:00"/>
        <d v="2026-06-30T05:00:00"/>
        <d v="2026-06-30T16:57:00"/>
        <d v="2026-06-30T17:31:00"/>
        <d v="2026-06-30T18:00:00"/>
        <d v="2026-06-30T18:42:00"/>
        <d v="2026-06-30T20:01:00"/>
        <d v="2026-06-30T20:13:00"/>
        <d v="2026-06-30T20:45:00"/>
        <d v="2026-06-30T21:24:00"/>
        <d v="2026-06-30T22:44:00"/>
        <d v="2026-06-30T23:23:00"/>
        <d v="2026-07-01T05:00:00"/>
        <d v="2026-07-01T05:37:00"/>
        <d v="2026-07-01T06:35:00"/>
        <d v="2026-07-01T07:12:00"/>
        <d v="2026-07-01T08:29:00"/>
        <d v="2026-07-01T09:28:00"/>
        <d v="2026-07-01T12:00:00"/>
        <d v="2026-07-01T16:14:00"/>
        <d v="2026-07-01T16:40:00"/>
        <d v="2026-07-01T16:52:00"/>
        <d v="2026-07-01T16:54:00"/>
        <d v="2026-07-01T16:55:00"/>
        <d v="2026-07-01T16:57:00"/>
        <d v="2026-07-01T16:58:00"/>
        <d v="2026-07-01T17:02:00"/>
        <d v="2026-07-01T17:07:00"/>
        <d v="2026-07-01T18:55:00"/>
        <d v="2026-07-01T18:57:00"/>
        <d v="2026-07-01T19:18:00"/>
        <d v="2026-07-01T20:34:00"/>
        <d v="2026-07-01T21:17:00"/>
        <d v="2026-07-01T21:39:00"/>
        <d v="2026-07-01T21:57:00"/>
        <d v="2026-07-02T05:00:00"/>
        <d v="2026-07-02T12:21:00"/>
        <d v="2026-07-02T16:00:00"/>
        <d v="2026-07-02T16:05:00"/>
        <d v="2026-07-02T16:10:00"/>
        <d v="2026-07-02T16:15:00"/>
        <d v="2026-07-02T20:15:00"/>
        <d v="2026-07-02T20:37:00"/>
        <d v="2026-07-02T20:45:00"/>
        <d v="2026-07-02T21:56:00"/>
        <d v="2026-07-03T05:00:00"/>
        <d v="2026-07-03T16:33:00"/>
        <d v="2026-07-03T21:21:00"/>
        <d v="2026-07-03T23:48:00"/>
        <d v="2026-07-04T00:25:00"/>
        <d v="2026-07-04T03:03:00"/>
        <d v="2026-07-04T05:00:00"/>
        <d v="2026-07-04T12:26:00"/>
        <d v="2026-07-04T19:11:00"/>
        <d v="2026-07-04T19:53:00"/>
        <d v="2026-07-04T20:58:00"/>
        <d v="2026-07-04T21:28:00"/>
        <d v="2026-07-04T21:36:00"/>
        <d v="2026-07-04T22:24:00"/>
        <d v="2026-07-04T22:55:00"/>
        <d v="2026-07-05T05:00:00"/>
        <d v="2026-07-05T14:00:00"/>
        <d v="2026-07-05T14:51:00"/>
        <d v="2026-07-05T19:31:00"/>
        <d v="2026-07-05T20:53:00"/>
        <d v="2026-07-05T22:31:00"/>
        <d v="2026-07-06T05:00:00"/>
        <d v="2026-07-06T12:22:00"/>
        <d v="2026-07-06T21:29:00"/>
        <d v="2026-07-07T02:30:00"/>
        <d v="2026-07-07T18:13:00"/>
        <d v="2026-07-07T20:00:00"/>
        <d v="2026-07-07T20:10:00"/>
        <d v="2026-07-08T02:16:00"/>
        <d v="2026-07-08T02:30:00"/>
        <d v="2026-07-08T03:30:00"/>
        <d v="2026-07-08T07:04:00"/>
        <d v="2026-07-08T11:40:00"/>
        <d v="2026-07-08T13:17:00"/>
        <d v="2026-07-08T14:09:00"/>
        <d v="2026-07-08T15:50:00"/>
        <d v="2026-07-08T18:42:00"/>
        <d v="2026-07-08T19:43:00"/>
        <d v="2026-07-08T19:44:00"/>
        <d v="2026-07-08T19:46:00"/>
        <d v="2026-07-08T19:51:00"/>
        <d v="2026-07-08T20:29:00"/>
        <d v="2026-07-08T20:38:00"/>
        <d v="2026-07-08T22:31:00"/>
        <d v="2026-07-09T01:03:00"/>
        <d v="2026-07-09T01:10:00"/>
        <d v="2026-07-09T14:14:00"/>
        <d v="2026-07-09T14:45:00"/>
        <d v="2026-07-09T20:36:00"/>
        <d v="2026-07-09T22:05:00"/>
        <d v="2026-07-10T05:00:00"/>
        <d v="2026-07-10T17:58:00"/>
        <d v="2026-07-10T18:50:00"/>
        <d v="2026-07-10T19:30:00"/>
        <d v="2026-07-10T20:59:00"/>
        <d v="2026-07-11T16:10:00"/>
        <d v="2026-07-11T18:01:00"/>
        <d v="2026-07-11T18:09:00"/>
        <d v="2026-07-11T18:13:00"/>
        <d v="2026-07-11T18:37:00"/>
        <d v="2026-07-11T21:35:00"/>
        <d v="2026-07-11T21:54:00"/>
        <d v="2026-07-11T22:18:00"/>
        <d v="2026-07-11T22:43:00"/>
        <d v="2026-07-11T22:58:00"/>
        <d v="2026-07-11T23:14:00"/>
        <d v="2026-07-12T00:02:00"/>
        <d v="2026-07-12T00:40:00"/>
        <d v="2026-07-12T05:00:00"/>
        <d v="2026-07-12T11:50:00"/>
        <d v="2026-07-12T14:07:00"/>
        <d v="2026-07-12T16:57:00"/>
        <d v="2026-07-12T17:21:00"/>
        <d v="2026-07-12T17:53:00"/>
        <d v="2026-07-12T18:36:00"/>
        <d v="2026-07-12T19:52:00"/>
        <d v="2026-07-12T20:28:00"/>
        <d v="2026-07-12T20:57:00"/>
        <d v="2026-07-12T21:15:00"/>
        <d v="2026-07-12T21:17:00"/>
        <d v="2026-07-12T22:06:00"/>
        <d v="2026-07-12T22:56:00"/>
        <d v="2026-07-12T22:58:00"/>
        <d v="2026-07-12T23:39:00"/>
        <d v="2026-07-12T23:42:00"/>
        <d v="2026-07-13T00:03:00"/>
        <d v="2026-07-13T01:28:00"/>
        <d v="2026-07-13T02:49:00"/>
        <d v="2026-07-13T12:00:00"/>
        <d v="2026-07-13T12:31:00"/>
        <d v="2026-07-13T14:59:00"/>
        <d v="2026-07-13T16:04:00"/>
        <d v="2026-07-13T17:30:00"/>
        <d v="2026-07-13T18:23:00"/>
        <d v="2026-07-13T18:29:00"/>
        <d v="2026-07-13T19:05:00"/>
        <d v="2026-07-13T19:14:00"/>
        <d v="2026-07-13T19:28:00"/>
        <d v="2026-07-13T19:40:00"/>
        <d v="2026-07-13T19:44:00"/>
        <d v="2026-07-13T19:57:00"/>
        <d v="2026-07-13T20:08:00"/>
        <d v="2026-07-13T20:15:00"/>
        <d v="2026-07-13T20:18:00"/>
        <d v="2026-07-13T20:29:00"/>
        <d v="2026-07-13T20:32:00"/>
        <d v="2026-07-13T20:51:00"/>
        <d v="2026-07-13T21:09:00"/>
        <d v="2026-07-13T21:31:00"/>
        <d v="2026-07-13T21:52:00"/>
        <d v="2026-07-13T22:07:00"/>
        <d v="2026-07-13T22:09:00"/>
        <d v="2026-07-13T22:49:00"/>
        <d v="2026-07-13T22:53:00"/>
        <d v="2026-07-13T23:05:00"/>
        <d v="2026-07-13T23:10:00"/>
        <d v="2026-07-13T23:12:00"/>
        <d v="2026-07-13T23:15:00"/>
        <d v="2026-07-13T23:20:00"/>
        <d v="2026-07-13T23:21:00"/>
        <d v="2026-07-13T23:35:00"/>
        <d v="2026-07-14T00:23:00"/>
        <d v="2026-07-14T00:50:00"/>
        <d v="2026-07-14T00:54:00"/>
        <d v="2026-07-14T01:06:00"/>
        <d v="2026-07-14T04:15:00"/>
        <d v="2026-07-14T05:00:00"/>
        <d v="2026-07-14T14:07:00"/>
        <d v="2026-07-14T14:59:00"/>
        <d v="2026-07-14T15:00:00"/>
        <d v="2026-07-14T15:02:00"/>
        <d v="2026-07-14T15:24:00"/>
        <d v="2026-07-14T16:08:00"/>
        <d v="2026-07-14T16:49:00"/>
        <d v="2026-07-14T17:35:00"/>
        <d v="2026-07-14T18:15:00"/>
        <d v="2026-07-14T18:46:00"/>
        <d v="2026-07-14T19:17:00"/>
        <d v="2026-07-14T19:46:00"/>
        <d v="2026-07-14T20:20:00"/>
        <d v="2026-07-14T20:21:00"/>
        <d v="2026-07-14T20:29:00"/>
        <d v="2026-07-14T20:57:00"/>
        <d v="2026-07-14T21:03:00"/>
        <d v="2026-07-14T21:05:00"/>
        <d v="2026-07-14T21:15:00"/>
        <d v="2026-07-14T21:17:00"/>
        <d v="2026-07-14T21:30:00"/>
        <d v="2026-07-14T21:42:00"/>
        <d v="2026-07-14T21:55:00"/>
        <d v="2026-07-14T22:47:00"/>
        <d v="2026-07-14T23:07:00"/>
        <d v="2026-07-14T23:11:00"/>
        <d v="2026-07-14T23:18:00"/>
        <d v="2026-07-14T23:34:00"/>
        <d v="2026-07-14T23:40:00"/>
        <d v="2026-07-14T23:54:00"/>
        <d v="2026-07-15T00:00:00"/>
        <d v="2026-07-15T00:56:00"/>
        <d v="2026-07-15T01:04:00"/>
        <d v="2026-07-15T02:25:00"/>
        <d v="2026-07-15T05:00:00"/>
        <d v="2026-07-15T12:32:00"/>
        <d v="2026-07-15T15:52:00"/>
        <d v="2026-07-15T15:56:00"/>
        <d v="2026-07-15T16:04:00"/>
        <d v="2026-07-15T16:05:00"/>
        <d v="2026-07-15T16:14:00"/>
        <d v="2026-07-15T16:30:00"/>
        <d v="2026-07-15T16:52:00"/>
        <d v="2026-07-15T16:54:00"/>
        <d v="2026-07-15T17:01:00"/>
        <d v="2026-07-15T17:49:00"/>
        <d v="2026-07-15T18:57:00"/>
        <d v="2026-07-15T19:00:00"/>
        <d v="2026-07-15T19:20:00"/>
        <d v="2026-07-15T19:26:00"/>
        <d v="2026-07-15T19:33:00"/>
        <d v="2026-07-15T19:47:00"/>
        <d v="2026-07-15T19:56:00"/>
        <d v="2026-07-15T20:00:00"/>
        <d v="2026-07-15T20:35:00"/>
        <d v="2026-07-15T20:48:00"/>
        <d v="2026-07-15T22:07:00"/>
        <d v="2026-07-15T23:02:00"/>
        <d v="2026-07-15T23:20:00"/>
        <d v="2026-07-15T23:29:00"/>
        <d v="2026-07-16T00:13:00"/>
        <d v="2026-07-16T00:40:00"/>
        <d v="2026-07-16T00:52:00"/>
        <d v="2026-07-16T00:55:00"/>
        <d v="2026-07-16T01:11:00"/>
        <d v="2026-07-16T02:17:00"/>
        <d v="2026-07-16T05:00:00"/>
        <d v="2026-07-16T06:55:00"/>
        <d v="2026-07-16T12:20:00"/>
        <d v="2026-07-16T12:46:00"/>
        <d v="2026-07-16T12:57:00"/>
        <d v="2026-07-16T13:32:00"/>
        <d v="2026-07-16T13:54:00"/>
        <d v="2026-07-16T14:08:00"/>
        <d v="2026-07-16T14:48:00"/>
        <d v="2026-07-16T15:00:00"/>
        <d v="2026-07-16T15:03:00"/>
        <d v="2026-07-16T15:12:00"/>
        <d v="2026-07-16T15:20:00"/>
        <d v="2026-07-16T15:21:00"/>
        <d v="2026-07-16T15:35:00"/>
        <d v="2026-07-16T16:08:00"/>
        <d v="2026-07-16T16:24:00"/>
        <d v="2026-07-16T16:31:00"/>
        <d v="2026-07-16T18:11:00"/>
        <d v="2026-07-16T18:29:00"/>
        <d v="2026-07-16T18:32:00"/>
        <d v="2026-07-16T18:38:00"/>
        <d v="2026-07-16T18:47:00"/>
        <d v="2026-07-16T18:50:00"/>
        <d v="2026-07-16T18:51:00"/>
        <d v="2026-07-16T19:40:00"/>
        <d v="2026-07-16T19:53:00"/>
        <d v="2026-07-16T20:41:00"/>
        <d v="2026-07-16T20:44:00"/>
        <d v="2026-07-16T21:46:00"/>
        <d v="2026-07-16T22:57:00"/>
        <d v="2026-07-17T00:08:00"/>
        <d v="2026-07-17T00:16:00"/>
        <d v="2026-07-17T05:00:00"/>
        <d v="2026-07-17T06:44:00"/>
        <d v="2026-07-17T06:53:00"/>
        <d v="2026-07-17T07:11:00"/>
        <d v="2026-07-17T09:13:00"/>
        <d v="2026-07-17T10:25:00"/>
        <d v="2026-07-17T11:05:00"/>
        <d v="2026-07-17T11:22:00"/>
        <d v="2026-07-17T12:08:00"/>
        <d v="2026-07-17T12:41:00"/>
        <d v="2026-07-17T12:51:00"/>
        <d v="2026-07-17T13:02:00"/>
        <d v="2026-07-17T13:52:00"/>
        <d v="2026-07-17T13:58:00"/>
        <d v="2026-07-17T14:14:00"/>
        <d v="2026-07-17T14:34:00"/>
        <d v="2026-07-17T15:00:00"/>
        <d v="2026-07-17T15:01:00"/>
        <d v="2026-07-17T15:02:00"/>
        <d v="2026-07-17T15:03:00"/>
        <d v="2026-07-17T15:06:00"/>
        <d v="2026-07-17T15:08:00"/>
        <d v="2026-07-17T15:13:00"/>
        <d v="2026-07-17T15:15:00"/>
        <d v="2026-07-17T15:18:00"/>
        <d v="2026-07-17T15:42:00"/>
        <d v="2026-07-17T15:43:00"/>
        <d v="2026-07-17T15:55:00"/>
        <d v="2026-07-17T16:02:00"/>
        <d v="2026-07-17T16:26:00"/>
        <d v="2026-07-17T17:01:00"/>
        <d v="2026-07-17T17:23:00"/>
        <d v="2026-07-17T17:29:00"/>
        <d v="2026-07-17T17:36:00"/>
        <d v="2026-07-17T18:58:00"/>
        <d v="2026-07-17T19:01:00"/>
        <d v="2026-07-17T19:08:00"/>
        <d v="2026-07-17T19:13:00"/>
        <d v="2026-07-17T19:51:00"/>
        <d v="2026-07-17T19:53:00"/>
        <d v="2026-07-17T20:11:00"/>
        <d v="2026-07-17T20:17:00"/>
        <d v="2026-07-17T20:19:00"/>
        <d v="2026-07-17T20:23:00"/>
        <d v="2026-07-17T20:27:00"/>
        <d v="2026-07-17T20:28:00"/>
        <d v="2026-07-17T21:01:00"/>
        <d v="2026-07-17T21:34:00"/>
        <d v="2026-07-17T23:22:00"/>
        <d v="2026-07-17T23:30:00"/>
        <d v="2026-07-17T23:41:00"/>
        <d v="2026-07-18T01:33:00"/>
        <d v="2026-07-18T05:00:00"/>
        <d v="2026-07-18T09:17:00"/>
        <d v="2026-07-18T11:02:00"/>
        <d v="2026-07-18T11:05:00"/>
        <d v="2026-07-18T14:12:00"/>
        <d v="2026-07-18T14:35:00"/>
        <d v="2026-07-18T15:09:00"/>
        <d v="2026-07-18T15:50:00"/>
        <d v="2026-07-18T17:25:00"/>
        <d v="2026-07-18T17:33:00"/>
        <d v="2026-07-18T17:43:00"/>
        <d v="2026-07-18T18:04:00"/>
        <d v="2026-07-18T19:20:00"/>
        <d v="2026-07-18T19:35:00"/>
        <d v="2026-07-18T19:37:00"/>
        <d v="2026-07-18T19:40:00"/>
        <d v="2026-07-18T19:44:00"/>
        <d v="2026-07-18T20:39:00"/>
        <d v="2026-07-18T20:42:00"/>
        <d v="2026-07-18T21:08:00"/>
        <d v="2026-07-18T21:20:00"/>
        <d v="2026-07-18T21:31:00"/>
        <d v="2026-07-18T21:46:00"/>
        <d v="2026-07-18T21:50:00"/>
        <d v="2026-07-18T21:56:00"/>
        <d v="2026-07-18T22:02:00"/>
        <d v="2026-07-18T22:05:00"/>
        <d v="2026-07-18T22:16:00"/>
        <d v="2026-07-18T22:20:00"/>
        <d v="2026-07-18T22:24:00"/>
        <d v="2026-07-18T22:43:00"/>
        <d v="2026-07-19T00:05:00"/>
        <d v="2026-07-19T01:13:00"/>
        <d v="2026-07-19T05:00:00"/>
        <d v="2026-07-19T12:07:00"/>
        <d v="2026-07-19T13:30:00"/>
        <d v="2026-07-19T13:40:00"/>
        <d v="2026-07-19T14:20:00"/>
        <d v="2026-07-19T17:10:00"/>
        <d v="2026-07-19T17:52:00"/>
        <d v="2026-07-19T18:55:00"/>
        <d v="2026-07-19T20:36:00"/>
        <d v="2026-07-19T21:05:00"/>
        <d v="2026-07-19T22:21:00"/>
        <d v="2026-07-19T22:25:00"/>
        <d v="2026-07-19T23:12:00"/>
        <d v="2026-07-20T00:40:00"/>
        <d v="2026-07-20T05:00:00"/>
        <d v="2026-07-20T09:12:00"/>
        <d v="2026-07-20T09:19:00"/>
        <d v="2026-07-20T13:46:00"/>
        <d v="2026-07-20T15:26:00"/>
        <d v="2026-07-20T16:00:00"/>
        <d v="2026-07-20T18:00:00"/>
        <d v="2026-07-20T18:44:00"/>
        <d v="2026-07-20T18:50:00"/>
        <d v="2026-07-20T21:41:00"/>
        <d v="2026-07-20T21:42:00"/>
        <d v="2026-07-21T00:22:00"/>
        <d v="2026-07-21T02:55:00"/>
        <d v="2026-07-21T14:07:00"/>
        <m/>
      </sharedItems>
    </cacheField>
    <cacheField name="status_date" numFmtId="0">
      <sharedItems containsNonDate="0" containsDate="1" containsString="0" containsBlank="1" minDate="2020-06-30T00:16:00" maxDate="2026-07-21T16:45:00" count="451">
        <d v="2020-06-30T00:16:00"/>
        <d v="2023-05-25T18:20:00"/>
        <d v="2026-03-18T18:02:00"/>
        <d v="2026-03-26T14:02:00"/>
        <d v="2026-04-01T14:10:00"/>
        <d v="2026-04-09T22:02:00"/>
        <d v="2026-04-25T18:48:00"/>
        <d v="2026-05-21T06:00:00"/>
        <d v="2026-05-25T18:20:00"/>
        <d v="2026-05-27T18:50:00"/>
        <d v="2026-05-28T06:00:00"/>
        <d v="2026-05-28T09:02:00"/>
        <d v="2026-05-30T06:00:00"/>
        <d v="2026-05-31T06:00:00"/>
        <d v="2026-06-09T17:59:00"/>
        <d v="2026-06-10T13:34:00"/>
        <d v="2026-06-11T13:39:00"/>
        <d v="2026-06-11T18:02:00"/>
        <d v="2026-06-11T18:42:00"/>
        <d v="2026-06-12T07:30:00"/>
        <d v="2026-06-18T16:26:00"/>
        <d v="2026-06-19T19:43:00"/>
        <d v="2026-06-20T16:25:00"/>
        <d v="2026-06-20T21:37:00"/>
        <d v="2026-06-22T04:06:00"/>
        <d v="2026-06-22T04:22:00"/>
        <d v="2026-06-22T17:58:00"/>
        <d v="2026-06-22T18:35:00"/>
        <d v="2026-06-22T21:34:00"/>
        <d v="2026-06-22T21:44:00"/>
        <d v="2026-06-22T22:46:00"/>
        <d v="2026-06-23T15:50:00"/>
        <d v="2026-06-23T15:59:00"/>
        <d v="2026-06-23T17:58:00"/>
        <d v="2026-06-23T18:19:00"/>
        <d v="2026-06-23T19:10:00"/>
        <d v="2026-06-23T21:03:00"/>
        <d v="2026-06-23T22:06:00"/>
        <d v="2026-06-24T01:06:00"/>
        <d v="2026-06-24T01:14:00"/>
        <d v="2026-06-24T17:00:00"/>
        <d v="2026-06-24T18:31:00"/>
        <d v="2026-06-25T06:00:00"/>
        <d v="2026-06-25T15:58:00"/>
        <d v="2026-06-25T16:33:00"/>
        <d v="2026-06-25T18:15:00"/>
        <d v="2026-06-26T06:00:00"/>
        <d v="2026-06-26T12:43:00"/>
        <d v="2026-06-26T18:52:00"/>
        <d v="2026-06-26T19:32:00"/>
        <d v="2026-06-26T22:42:00"/>
        <d v="2026-06-26T23:06:00"/>
        <d v="2026-06-27T05:00:00"/>
        <d v="2026-06-27T07:00:00"/>
        <d v="2026-06-27T16:17:00"/>
        <d v="2026-06-28T00:48:00"/>
        <d v="2026-06-28T06:00:00"/>
        <d v="2026-06-28T13:06:00"/>
        <d v="2026-06-28T13:59:00"/>
        <d v="2026-06-28T14:03:00"/>
        <d v="2026-06-28T14:10:00"/>
        <d v="2026-06-28T14:11:00"/>
        <d v="2026-06-28T14:14:00"/>
        <d v="2026-06-28T17:04:00"/>
        <d v="2026-06-28T18:53:00"/>
        <d v="2026-06-28T19:16:00"/>
        <d v="2026-06-28T19:20:00"/>
        <d v="2026-06-28T20:05:00"/>
        <d v="2026-06-28T20:58:00"/>
        <d v="2026-06-28T20:59:00"/>
        <d v="2026-06-28T21:00:00"/>
        <d v="2026-06-28T21:01:00"/>
        <d v="2026-06-28T21:02:00"/>
        <d v="2026-06-28T21:06:00"/>
        <d v="2026-06-28T21:47:00"/>
        <d v="2026-06-28T22:01:00"/>
        <d v="2026-06-28T22:08:00"/>
        <d v="2026-06-28T22:25:00"/>
        <d v="2026-06-28T22:28:00"/>
        <d v="2026-06-28T22:58:00"/>
        <d v="2026-06-28T23:26:00"/>
        <d v="2026-06-29T00:00:00"/>
        <d v="2026-06-29T00:02:00"/>
        <d v="2026-06-29T00:11:00"/>
        <d v="2026-06-29T11:48:00"/>
        <d v="2026-06-29T13:51:00"/>
        <d v="2026-06-29T14:27:00"/>
        <d v="2026-06-29T14:50:00"/>
        <d v="2026-06-29T15:42:00"/>
        <d v="2026-06-29T15:43:00"/>
        <d v="2026-06-29T15:50:00"/>
        <d v="2026-06-29T16:09:00"/>
        <d v="2026-06-29T16:48:00"/>
        <d v="2026-06-29T16:54:00"/>
        <d v="2026-06-29T17:06:00"/>
        <d v="2026-06-29T17:14:00"/>
        <d v="2026-06-29T17:38:00"/>
        <d v="2026-06-29T18:01:00"/>
        <d v="2026-06-29T18:25:00"/>
        <d v="2026-06-29T18:38:00"/>
        <d v="2026-06-29T19:11:00"/>
        <d v="2026-06-29T19:24:00"/>
        <d v="2026-06-29T19:30:00"/>
        <d v="2026-06-29T20:02:00"/>
        <d v="2026-06-29T20:13:00"/>
        <d v="2026-06-29T20:22:00"/>
        <d v="2026-06-29T21:21:00"/>
        <d v="2026-06-30T00:03:00"/>
        <d v="2026-06-30T00:54:00"/>
        <d v="2026-06-30T00:55:00"/>
        <d v="2026-06-30T00:56:00"/>
        <d v="2026-06-30T00:57:00"/>
        <d v="2026-06-30T00:58:00"/>
        <d v="2026-06-30T01:01:00"/>
        <d v="2026-06-30T01:02:00"/>
        <d v="2026-06-30T01:03:00"/>
        <d v="2026-06-30T01:04:00"/>
        <d v="2026-06-30T01:08:00"/>
        <d v="2026-06-30T12:18:00"/>
        <d v="2026-06-30T13:00:00"/>
        <d v="2026-06-30T14:37:00"/>
        <d v="2026-06-30T16:45:00"/>
        <d v="2026-06-30T18:50:00"/>
        <d v="2026-06-30T20:02:00"/>
        <d v="2026-06-30T20:59:00"/>
        <d v="2026-06-30T21:02:00"/>
        <d v="2026-06-30T22:54:00"/>
        <d v="2026-07-01T07:12:00"/>
        <d v="2026-07-01T17:00:00"/>
        <d v="2026-07-01T17:56:00"/>
        <d v="2026-07-01T18:10:00"/>
        <d v="2026-07-01T18:40:00"/>
        <d v="2026-07-01T18:51:00"/>
        <d v="2026-07-01T19:12:00"/>
        <d v="2026-07-01T20:03:00"/>
        <d v="2026-07-01T20:05:00"/>
        <d v="2026-07-01T20:07:00"/>
        <d v="2026-07-01T20:34:00"/>
        <d v="2026-07-01T21:17:00"/>
        <d v="2026-07-01T21:39:00"/>
        <d v="2026-07-02T11:54:00"/>
        <d v="2026-07-02T14:09:00"/>
        <d v="2026-07-02T14:10:00"/>
        <d v="2026-07-02T14:11:00"/>
        <d v="2026-07-02T17:15:00"/>
        <d v="2026-07-02T19:20:00"/>
        <d v="2026-07-02T20:15:00"/>
        <d v="2026-07-02T23:47:00"/>
        <d v="2026-07-02T23:49:00"/>
        <d v="2026-07-03T12:33:00"/>
        <d v="2026-07-03T18:02:00"/>
        <d v="2026-07-03T18:30:00"/>
        <d v="2026-07-03T20:25:00"/>
        <d v="2026-07-03T21:21:00"/>
        <d v="2026-07-04T05:00:00"/>
        <d v="2026-07-04T14:03:00"/>
        <d v="2026-07-04T16:37:00"/>
        <d v="2026-07-04T17:30:00"/>
        <d v="2026-07-04T19:11:00"/>
        <d v="2026-07-04T19:17:00"/>
        <d v="2026-07-04T19:19:00"/>
        <d v="2026-07-04T19:23:00"/>
        <d v="2026-07-04T19:25:00"/>
        <d v="2026-07-04T20:02:00"/>
        <d v="2026-07-04T20:17:00"/>
        <d v="2026-07-05T15:15:00"/>
        <d v="2026-07-06T15:15:00"/>
        <d v="2026-07-06T19:12:00"/>
        <d v="2026-07-06T22:49:00"/>
        <d v="2026-07-07T17:18:00"/>
        <d v="2026-07-07T17:46:00"/>
        <d v="2026-07-07T22:27:00"/>
        <d v="2026-07-07T22:28:00"/>
        <d v="2026-07-08T03:00:00"/>
        <d v="2026-07-08T07:04:00"/>
        <d v="2026-07-08T14:44:00"/>
        <d v="2026-07-08T16:58:00"/>
        <d v="2026-07-08T17:09:00"/>
        <d v="2026-07-08T19:30:00"/>
        <d v="2026-07-08T19:47:00"/>
        <d v="2026-07-08T19:52:00"/>
        <d v="2026-07-09T01:03:00"/>
        <d v="2026-07-09T01:10:00"/>
        <d v="2026-07-09T12:27:00"/>
        <d v="2026-07-09T12:28:00"/>
        <d v="2026-07-09T13:00:00"/>
        <d v="2026-07-09T14:35:00"/>
        <d v="2026-07-09T19:20:00"/>
        <d v="2026-07-09T21:26:00"/>
        <d v="2026-07-10T13:00:00"/>
        <d v="2026-07-10T19:30:00"/>
        <d v="2026-07-10T21:36:00"/>
        <d v="2026-07-10T21:38:00"/>
        <d v="2026-07-10T22:18:00"/>
        <d v="2026-07-10T22:19:00"/>
        <d v="2026-07-11T09:02:00"/>
        <d v="2026-07-11T12:52:00"/>
        <d v="2026-07-11T14:30:00"/>
        <d v="2026-07-11T15:19:00"/>
        <d v="2026-07-11T17:30:00"/>
        <d v="2026-07-11T18:02:00"/>
        <d v="2026-07-11T20:30:00"/>
        <d v="2026-07-11T21:06:00"/>
        <d v="2026-07-11T22:00:00"/>
        <d v="2026-07-11T23:22:00"/>
        <d v="2026-07-12T00:49:00"/>
        <d v="2026-07-12T06:00:00"/>
        <d v="2026-07-12T10:12:00"/>
        <d v="2026-07-12T17:21:00"/>
        <d v="2026-07-12T21:33:00"/>
        <d v="2026-07-12T21:59:00"/>
        <d v="2026-07-12T23:12:00"/>
        <d v="2026-07-12T23:15:00"/>
        <d v="2026-07-13T14:00:00"/>
        <d v="2026-07-13T16:46:00"/>
        <d v="2026-07-13T19:22:00"/>
        <d v="2026-07-13T19:39:00"/>
        <d v="2026-07-13T20:05:00"/>
        <d v="2026-07-13T20:52:00"/>
        <d v="2026-07-13T21:07:00"/>
        <d v="2026-07-13T22:53:00"/>
        <d v="2026-07-13T23:30:00"/>
        <d v="2026-07-14T06:00:00"/>
        <d v="2026-07-14T11:24:00"/>
        <d v="2026-07-14T14:07:00"/>
        <d v="2026-07-14T16:20:00"/>
        <d v="2026-07-14T18:02:00"/>
        <d v="2026-07-14T19:05:00"/>
        <d v="2026-07-14T19:40:00"/>
        <d v="2026-07-14T19:41:00"/>
        <d v="2026-07-14T20:48:00"/>
        <d v="2026-07-14T21:10:00"/>
        <d v="2026-07-14T21:57:00"/>
        <d v="2026-07-14T23:18:00"/>
        <d v="2026-07-14T23:34:00"/>
        <d v="2026-07-14T23:40:00"/>
        <d v="2026-07-14T23:54:00"/>
        <d v="2026-07-15T06:00:00"/>
        <d v="2026-07-15T08:29:00"/>
        <d v="2026-07-15T11:02:00"/>
        <d v="2026-07-15T16:14:00"/>
        <d v="2026-07-15T17:50:00"/>
        <d v="2026-07-15T17:51:00"/>
        <d v="2026-07-15T19:18:00"/>
        <d v="2026-07-15T20:38:00"/>
        <d v="2026-07-15T22:07:00"/>
        <d v="2026-07-15T23:29:00"/>
        <d v="2026-07-15T23:30:00"/>
        <d v="2026-07-16T00:27:00"/>
        <d v="2026-07-16T00:28:00"/>
        <d v="2026-07-16T00:30:00"/>
        <d v="2026-07-16T04:25:00"/>
        <d v="2026-07-16T11:30:00"/>
        <d v="2026-07-16T11:52:00"/>
        <d v="2026-07-16T12:07:00"/>
        <d v="2026-07-16T13:00:00"/>
        <d v="2026-07-16T15:21:00"/>
        <d v="2026-07-16T15:36:00"/>
        <d v="2026-07-16T16:08:00"/>
        <d v="2026-07-16T16:09:00"/>
        <d v="2026-07-16T18:47:00"/>
        <d v="2026-07-16T18:50:00"/>
        <d v="2026-07-16T19:40:00"/>
        <d v="2026-07-16T20:41:00"/>
        <d v="2026-07-16T20:52:00"/>
        <d v="2026-07-16T21:15:00"/>
        <d v="2026-07-16T21:35:00"/>
        <d v="2026-07-16T21:36:00"/>
        <d v="2026-07-16T21:37:00"/>
        <d v="2026-07-16T22:00:00"/>
        <d v="2026-07-17T00:16:00"/>
        <d v="2026-07-17T06:00:00"/>
        <d v="2026-07-17T10:43:00"/>
        <d v="2026-07-17T11:02:00"/>
        <d v="2026-07-17T12:02:00"/>
        <d v="2026-07-17T13:02:00"/>
        <d v="2026-07-17T14:19:00"/>
        <d v="2026-07-17T15:15:00"/>
        <d v="2026-07-17T15:26:00"/>
        <d v="2026-07-17T19:02:00"/>
        <d v="2026-07-17T19:30:00"/>
        <d v="2026-07-17T20:00:00"/>
        <d v="2026-07-17T20:11:00"/>
        <d v="2026-07-17T20:19:00"/>
        <d v="2026-07-17T20:23:00"/>
        <d v="2026-07-17T20:28:00"/>
        <d v="2026-07-17T20:30:00"/>
        <d v="2026-07-17T21:48:00"/>
        <d v="2026-07-17T22:00:00"/>
        <d v="2026-07-17T23:04:00"/>
        <d v="2026-07-18T06:00:00"/>
        <d v="2026-07-18T09:02:00"/>
        <d v="2026-07-18T11:30:00"/>
        <d v="2026-07-18T12:30:00"/>
        <d v="2026-07-18T13:30:00"/>
        <d v="2026-07-18T13:32:00"/>
        <d v="2026-07-18T14:14:00"/>
        <d v="2026-07-18T15:28:00"/>
        <d v="2026-07-18T15:30:00"/>
        <d v="2026-07-18T15:36:00"/>
        <d v="2026-07-18T15:37:00"/>
        <d v="2026-07-18T17:45:00"/>
        <d v="2026-07-18T18:00:00"/>
        <d v="2026-07-18T18:34:00"/>
        <d v="2026-07-18T19:02:00"/>
        <d v="2026-07-18T19:20:00"/>
        <d v="2026-07-18T20:02:00"/>
        <d v="2026-07-18T20:09:00"/>
        <d v="2026-07-18T20:30:00"/>
        <d v="2026-07-18T21:10:00"/>
        <d v="2026-07-18T21:30:00"/>
        <d v="2026-07-18T21:40:00"/>
        <d v="2026-07-18T22:00:00"/>
        <d v="2026-07-18T22:40:00"/>
        <d v="2026-07-18T23:00:00"/>
        <d v="2026-07-18T23:10:00"/>
        <d v="2026-07-19T00:13:00"/>
        <d v="2026-07-19T01:14:00"/>
        <d v="2026-07-19T04:41:00"/>
        <d v="2026-07-19T10:30:00"/>
        <d v="2026-07-19T11:30:00"/>
        <d v="2026-07-19T12:30:00"/>
        <d v="2026-07-19T13:02:00"/>
        <d v="2026-07-19T13:30:00"/>
        <d v="2026-07-19T14:02:00"/>
        <d v="2026-07-19T14:27:00"/>
        <d v="2026-07-19T15:02:00"/>
        <d v="2026-07-19T15:29:00"/>
        <d v="2026-07-19T15:30:00"/>
        <d v="2026-07-19T16:00:00"/>
        <d v="2026-07-19T16:30:00"/>
        <d v="2026-07-19T17:02:00"/>
        <d v="2026-07-19T17:20:00"/>
        <d v="2026-07-19T17:30:00"/>
        <d v="2026-07-19T18:00:00"/>
        <d v="2026-07-19T18:02:00"/>
        <d v="2026-07-19T18:41:00"/>
        <d v="2026-07-19T18:49:00"/>
        <d v="2026-07-19T19:02:00"/>
        <d v="2026-07-19T19:32:00"/>
        <d v="2026-07-19T19:38:00"/>
        <d v="2026-07-19T20:02:00"/>
        <d v="2026-07-19T20:22:00"/>
        <d v="2026-07-19T20:45:00"/>
        <d v="2026-07-19T21:02:00"/>
        <d v="2026-07-19T21:09:00"/>
        <d v="2026-07-19T22:00:00"/>
        <d v="2026-07-19T22:03:00"/>
        <d v="2026-07-19T22:25:00"/>
        <d v="2026-07-19T22:31:00"/>
        <d v="2026-07-19T23:00:00"/>
        <d v="2026-07-19T23:02:00"/>
        <d v="2026-07-19T23:05:00"/>
        <d v="2026-07-19T23:40:00"/>
        <d v="2026-07-20T06:00:00"/>
        <d v="2026-07-20T08:45:00"/>
        <d v="2026-07-20T08:46:00"/>
        <d v="2026-07-20T09:30:00"/>
        <d v="2026-07-20T10:00:00"/>
        <d v="2026-07-20T10:30:00"/>
        <d v="2026-07-20T11:02:00"/>
        <d v="2026-07-20T11:30:00"/>
        <d v="2026-07-20T12:00:00"/>
        <d v="2026-07-20T12:02:00"/>
        <d v="2026-07-20T12:30:00"/>
        <d v="2026-07-20T12:52:00"/>
        <d v="2026-07-20T13:02:00"/>
        <d v="2026-07-20T13:29:00"/>
        <d v="2026-07-20T13:30:00"/>
        <d v="2026-07-20T14:00:00"/>
        <d v="2026-07-20T14:02:00"/>
        <d v="2026-07-20T14:44:00"/>
        <d v="2026-07-20T15:19:00"/>
        <d v="2026-07-20T15:23:00"/>
        <d v="2026-07-20T15:30:00"/>
        <d v="2026-07-20T15:48:00"/>
        <d v="2026-07-20T16:02:00"/>
        <d v="2026-07-20T16:03:00"/>
        <d v="2026-07-20T17:30:00"/>
        <d v="2026-07-20T17:42:00"/>
        <d v="2026-07-20T18:30:00"/>
        <d v="2026-07-20T19:00:00"/>
        <d v="2026-07-20T19:02:00"/>
        <d v="2026-07-20T19:23:00"/>
        <d v="2026-07-20T19:30:00"/>
        <d v="2026-07-20T20:30:00"/>
        <d v="2026-07-20T20:57:00"/>
        <d v="2026-07-20T20:58:00"/>
        <d v="2026-07-20T21:02:00"/>
        <d v="2026-07-20T21:30:00"/>
        <d v="2026-07-20T22:02:00"/>
        <d v="2026-07-20T23:06:00"/>
        <d v="2026-07-20T23:40:00"/>
        <d v="2026-07-21T00:07:00"/>
        <d v="2026-07-21T00:08:00"/>
        <d v="2026-07-21T00:10:00"/>
        <d v="2026-07-21T00:13:00"/>
        <d v="2026-07-21T00:28:00"/>
        <d v="2026-07-21T00:32:00"/>
        <d v="2026-07-21T00:33:00"/>
        <d v="2026-07-21T00:34:00"/>
        <d v="2026-07-21T00:36:00"/>
        <d v="2026-07-21T00:38:00"/>
        <d v="2026-07-21T00:39:00"/>
        <d v="2026-07-21T00:49:00"/>
        <d v="2026-07-21T01:05:00"/>
        <d v="2026-07-21T01:38:00"/>
        <d v="2026-07-21T01:40:00"/>
        <d v="2026-07-21T01:41:00"/>
        <d v="2026-07-21T01:42:00"/>
        <d v="2026-07-21T01:43:00"/>
        <d v="2026-07-21T01:45:00"/>
        <d v="2026-07-21T01:46:00"/>
        <d v="2026-07-21T01:47:00"/>
        <d v="2026-07-21T01:48:00"/>
        <d v="2026-07-21T01:50:00"/>
        <d v="2026-07-21T01:57:00"/>
        <d v="2026-07-21T02:21:00"/>
        <d v="2026-07-21T02:44:00"/>
        <d v="2026-07-21T02:45:00"/>
        <d v="2026-07-21T02:46:00"/>
        <d v="2026-07-21T02:49:00"/>
        <d v="2026-07-21T02:50:00"/>
        <d v="2026-07-21T02:53:00"/>
        <d v="2026-07-21T02:55:00"/>
        <d v="2026-07-21T02:56:00"/>
        <d v="2026-07-21T02:57:00"/>
        <d v="2026-07-21T03:17:00"/>
        <d v="2026-07-21T03:23:00"/>
        <d v="2026-07-21T03:26:00"/>
        <d v="2026-07-21T09:26:00"/>
        <d v="2026-07-21T12:32:00"/>
        <d v="2026-07-21T12:33:00"/>
        <d v="2026-07-21T12:40:00"/>
        <d v="2026-07-21T13:23:00"/>
        <d v="2026-07-21T13:25:00"/>
        <d v="2026-07-21T13:26:00"/>
        <d v="2026-07-21T14:00:00"/>
        <d v="2026-07-21T14:01:00"/>
        <d v="2026-07-21T14:03:00"/>
        <d v="2026-07-21T14:04:00"/>
        <d v="2026-07-21T14:25:00"/>
        <d v="2026-07-21T14:26:00"/>
        <d v="2026-07-21T14:52:00"/>
        <d v="2026-07-21T15:11:00"/>
        <d v="2026-07-21T15:20:00"/>
        <d v="2026-07-21T15:21:00"/>
        <d v="2026-07-21T16:03:00"/>
        <d v="2026-07-21T16:04:00"/>
        <d v="2026-07-21T16:45:00"/>
        <m/>
      </sharedItems>
    </cacheField>
    <cacheField name="latitude" numFmtId="0">
      <sharedItems containsString="0" containsBlank="1" containsNumber="1" minValue="44.6856" maxValue="68.971" count="880">
        <n v="44.6856"/>
        <n v="44.9018"/>
        <n v="45.5524"/>
        <n v="45.9136"/>
        <n v="46.1166"/>
        <n v="46.6854"/>
        <n v="46.7556"/>
        <n v="46.7644"/>
        <n v="46.776"/>
        <n v="46.7795"/>
        <n v="46.7903"/>
        <n v="46.809"/>
        <n v="47.2775"/>
        <n v="47.2993"/>
        <n v="47.6819"/>
        <n v="47.7841"/>
        <n v="48.249"/>
        <n v="48.2768"/>
        <n v="48.2852"/>
        <n v="48.3318"/>
        <n v="48.367"/>
        <n v="48.4089"/>
        <n v="48.5271"/>
        <n v="48.5429"/>
        <n v="48.7195"/>
        <n v="48.8081"/>
        <n v="48.854"/>
        <n v="48.8934"/>
        <n v="49.0144"/>
        <n v="49.0234"/>
        <n v="49.0887"/>
        <n v="49.1005"/>
        <n v="49.1102"/>
        <n v="49.1127"/>
        <n v="49.1213"/>
        <n v="49.1226"/>
        <n v="49.1371"/>
        <n v="49.1752"/>
        <n v="49.1839"/>
        <n v="49.2069"/>
        <n v="49.2371"/>
        <n v="49.2789"/>
        <n v="49.4144"/>
        <n v="49.4203"/>
        <n v="49.4216"/>
        <n v="49.4417"/>
        <n v="49.4856"/>
        <n v="49.5236"/>
        <n v="49.5587"/>
        <n v="49.5733"/>
        <n v="49.5879"/>
        <n v="49.598"/>
        <n v="49.6022"/>
        <n v="49.6034"/>
        <n v="49.6046"/>
        <n v="49.6153"/>
        <n v="49.6301"/>
        <n v="49.6345"/>
        <n v="49.6395"/>
        <n v="49.6404"/>
        <n v="49.653"/>
        <n v="49.6634"/>
        <n v="49.6736"/>
        <n v="49.7122"/>
        <n v="49.7148"/>
        <n v="49.7171"/>
        <n v="49.7549"/>
        <n v="49.764"/>
        <n v="49.7779"/>
        <n v="49.7802"/>
        <n v="49.8359"/>
        <n v="49.8884"/>
        <n v="49.8934"/>
        <n v="49.9205"/>
        <n v="49.9444"/>
        <n v="49.9475"/>
        <n v="49.9483"/>
        <n v="49.9547"/>
        <n v="49.9828"/>
        <n v="50.0342"/>
        <n v="50.0501"/>
        <n v="50.055"/>
        <n v="50.0588"/>
        <n v="50.0783"/>
        <n v="50.0999"/>
        <n v="50.1242"/>
        <n v="50.1268"/>
        <n v="50.1288"/>
        <n v="50.1314"/>
        <n v="50.1799"/>
        <n v="50.1874"/>
        <n v="50.1965"/>
        <n v="50.1978"/>
        <n v="50.224"/>
        <n v="50.2274"/>
        <n v="50.2292"/>
        <n v="50.2509"/>
        <n v="50.2534"/>
        <n v="50.2632"/>
        <n v="50.2747"/>
        <n v="50.2878"/>
        <n v="50.3046"/>
        <n v="50.3266"/>
        <n v="50.3672"/>
        <n v="50.3879"/>
        <n v="50.4338"/>
        <n v="50.448"/>
        <n v="50.4924"/>
        <n v="50.502"/>
        <n v="50.5164"/>
        <n v="50.5273"/>
        <n v="50.5758"/>
        <n v="50.5877"/>
        <n v="50.5986"/>
        <n v="50.6749"/>
        <n v="50.6762"/>
        <n v="50.6828"/>
        <n v="50.7045"/>
        <n v="50.7058"/>
        <n v="50.7724"/>
        <n v="50.774"/>
        <n v="50.827"/>
        <n v="50.8892"/>
        <n v="50.9134"/>
        <n v="50.9275"/>
        <n v="50.9398"/>
        <n v="50.9606"/>
        <n v="50.964"/>
        <n v="50.9699"/>
        <n v="50.9791"/>
        <n v="50.9802"/>
        <n v="50.9933"/>
        <n v="51.0308"/>
        <n v="51.0313"/>
        <n v="51.0414"/>
        <n v="51.0506"/>
        <n v="51.0622"/>
        <n v="51.072"/>
        <n v="51.0775"/>
        <n v="51.1266"/>
        <n v="51.1409"/>
        <n v="51.1472"/>
        <n v="51.1565"/>
        <n v="51.1714"/>
        <n v="51.173"/>
        <n v="51.1803"/>
        <n v="51.2017"/>
        <n v="51.2026"/>
        <n v="51.2164"/>
        <n v="51.2235"/>
        <n v="51.2501"/>
        <n v="51.2513"/>
        <n v="51.3036"/>
        <n v="51.3103"/>
        <n v="51.3159"/>
        <n v="51.3239"/>
        <n v="51.335"/>
        <n v="51.3356"/>
        <n v="51.3409"/>
        <n v="51.3497"/>
        <n v="51.3557"/>
        <n v="51.3579"/>
        <n v="51.3622"/>
        <n v="51.3631"/>
        <n v="51.3787"/>
        <n v="51.4093"/>
        <n v="51.4347"/>
        <n v="51.4374"/>
        <n v="51.4392"/>
        <n v="51.4564"/>
        <n v="51.4644"/>
        <n v="51.4711"/>
        <n v="51.4906"/>
        <n v="51.4951"/>
        <n v="51.4987"/>
        <n v="51.5062"/>
        <n v="51.5459"/>
        <n v="51.5861"/>
        <n v="51.589"/>
        <n v="51.5928"/>
        <n v="51.5966"/>
        <n v="51.605"/>
        <n v="51.6297"/>
        <n v="51.6313"/>
        <n v="51.6471"/>
        <n v="51.6711"/>
        <n v="51.6758"/>
        <n v="51.6794"/>
        <n v="51.6839"/>
        <n v="51.7106"/>
        <n v="51.7393"/>
        <n v="51.7397"/>
        <n v="51.7478"/>
        <n v="51.7672"/>
        <n v="51.7766"/>
        <n v="51.8291"/>
        <n v="51.8318"/>
        <n v="51.8525"/>
        <n v="51.877"/>
        <n v="51.8803"/>
        <n v="51.9287"/>
        <n v="51.9488"/>
        <n v="51.9619"/>
        <n v="51.9942"/>
        <n v="52.0072"/>
        <n v="52.0119"/>
        <n v="52.0136"/>
        <n v="52.0214"/>
        <n v="52.0308"/>
        <n v="52.0314"/>
        <n v="52.0586"/>
        <n v="52.0873"/>
        <n v="52.0886"/>
        <n v="52.0889"/>
        <n v="52.0986"/>
        <n v="52.1142"/>
        <n v="52.1392"/>
        <n v="52.1556"/>
        <n v="52.1602"/>
        <n v="52.1636"/>
        <n v="52.1932"/>
        <n v="52.1956"/>
        <n v="52.2161"/>
        <n v="52.2164"/>
        <n v="52.2489"/>
        <n v="52.2551"/>
        <n v="52.2573"/>
        <n v="52.2668"/>
        <n v="52.2681"/>
        <n v="52.2744"/>
        <n v="52.2833"/>
        <n v="52.2985"/>
        <n v="52.315"/>
        <n v="52.3267"/>
        <n v="52.349"/>
        <n v="52.3615"/>
        <n v="52.3636"/>
        <n v="52.3956"/>
        <n v="52.4064"/>
        <n v="52.4304"/>
        <n v="52.4509"/>
        <n v="52.4655"/>
        <n v="52.4789"/>
        <n v="52.4804"/>
        <n v="52.495"/>
        <n v="52.4958"/>
        <n v="52.5477"/>
        <n v="52.5896"/>
        <n v="52.6033"/>
        <n v="52.6106"/>
        <n v="52.6204"/>
        <n v="52.673"/>
        <n v="52.6749"/>
        <n v="52.6762"/>
        <n v="52.6884"/>
        <n v="52.703"/>
        <n v="52.7119"/>
        <n v="52.7144"/>
        <n v="52.7306"/>
        <n v="52.7825"/>
        <n v="52.7949"/>
        <n v="52.8105"/>
        <n v="52.8153"/>
        <n v="52.8478"/>
        <n v="52.8655"/>
        <n v="52.8903"/>
        <n v="52.9028"/>
        <n v="52.9029"/>
        <n v="52.9153"/>
        <n v="52.9431"/>
        <n v="52.9889"/>
        <n v="53.032"/>
        <n v="53.0397"/>
        <n v="53.0427"/>
        <n v="53.1094"/>
        <n v="53.1162"/>
        <n v="53.1167"/>
        <n v="53.1298"/>
        <n v="53.1319"/>
        <n v="53.1431"/>
        <n v="53.1602"/>
        <n v="53.1625"/>
        <n v="53.1636"/>
        <n v="53.1665"/>
        <n v="53.1666"/>
        <n v="53.167"/>
        <n v="53.1864"/>
        <n v="53.22"/>
        <n v="53.2217"/>
        <n v="53.2397"/>
        <n v="53.2494"/>
        <n v="53.25"/>
        <n v="53.2597"/>
        <n v="53.2608"/>
        <n v="53.3361"/>
        <n v="53.3389"/>
        <n v="53.3522"/>
        <n v="53.3526"/>
        <n v="53.3611"/>
        <n v="53.3767"/>
        <n v="53.3987"/>
        <n v="53.4036"/>
        <n v="53.4061"/>
        <n v="53.4417"/>
        <n v="53.4464"/>
        <n v="53.45"/>
        <n v="53.4544"/>
        <n v="53.4681"/>
        <n v="53.4853"/>
        <n v="53.4957"/>
        <n v="53.4958"/>
        <n v="53.5289"/>
        <n v="53.5297"/>
        <n v="53.5389"/>
        <n v="53.5603"/>
        <n v="53.5675"/>
        <n v="53.5811"/>
        <n v="53.5812"/>
        <n v="53.5906"/>
        <n v="53.5925"/>
        <n v="53.6033"/>
        <n v="53.6114"/>
        <n v="53.6445"/>
        <n v="53.6475"/>
        <n v="53.6577"/>
        <n v="53.6585"/>
        <n v="53.6731"/>
        <n v="53.6763"/>
        <n v="53.6775"/>
        <n v="53.7325"/>
        <n v="53.7397"/>
        <n v="53.745"/>
        <n v="53.8417"/>
        <n v="53.8478"/>
        <n v="53.8606"/>
        <n v="53.8711"/>
        <n v="53.8775"/>
        <n v="53.8883"/>
        <n v="53.8892"/>
        <n v="53.9166"/>
        <n v="53.97"/>
        <n v="53.9823"/>
        <n v="54.0401"/>
        <n v="54.0478"/>
        <n v="54.0594"/>
        <n v="54.0604"/>
        <n v="54.0629"/>
        <n v="54.0678"/>
        <n v="54.0763"/>
        <n v="54.0997"/>
        <n v="54.1947"/>
        <n v="54.1992"/>
        <n v="54.2487"/>
        <n v="54.3079"/>
        <n v="54.3182"/>
        <n v="54.3186"/>
        <n v="54.3206"/>
        <n v="54.3351"/>
        <n v="54.4036"/>
        <n v="54.4053"/>
        <n v="54.4261"/>
        <n v="54.4481"/>
        <n v="54.4528"/>
        <n v="54.4933"/>
        <n v="54.5056"/>
        <n v="54.5194"/>
        <n v="54.5339"/>
        <n v="54.5545"/>
        <n v="54.5784"/>
        <n v="54.7176"/>
        <n v="54.7445"/>
        <n v="54.7461"/>
        <n v="54.7494"/>
        <n v="54.7911"/>
        <n v="54.8091"/>
        <n v="54.8211"/>
        <n v="54.8303"/>
        <n v="54.8685"/>
        <n v="54.8813"/>
        <n v="54.884"/>
        <n v="54.8907"/>
        <n v="54.9236"/>
        <n v="54.9386"/>
        <n v="54.9411"/>
        <n v="55.0028"/>
        <n v="55.0063"/>
        <n v="55.0667"/>
        <n v="55.0986"/>
        <n v="55.1114"/>
        <n v="55.1217"/>
        <n v="55.1299"/>
        <n v="55.1556"/>
        <n v="55.1736"/>
        <n v="55.2026"/>
        <n v="55.2162"/>
        <n v="55.2531"/>
        <n v="55.2801"/>
        <n v="55.2836"/>
        <n v="55.2883"/>
        <n v="55.2969"/>
        <n v="55.3074"/>
        <n v="55.3198"/>
        <n v="55.32"/>
        <n v="55.3222"/>
        <n v="55.3292"/>
        <n v="55.3919"/>
        <n v="55.4102"/>
        <n v="55.4167"/>
        <n v="55.4194"/>
        <n v="55.432"/>
        <n v="55.4344"/>
        <n v="55.4483"/>
        <n v="55.4547"/>
        <n v="55.46"/>
        <n v="55.4702"/>
        <n v="55.4799"/>
        <n v="55.4986"/>
        <n v="55.5315"/>
        <n v="55.5397"/>
        <n v="55.5665"/>
        <n v="55.5736"/>
        <n v="55.5803"/>
        <n v="55.5835"/>
        <n v="55.5959"/>
        <n v="55.6353"/>
        <n v="55.6526"/>
        <n v="55.6557"/>
        <n v="55.6647"/>
        <n v="55.6867"/>
        <n v="55.7043"/>
        <n v="55.7187"/>
        <n v="55.7383"/>
        <n v="55.7391"/>
        <n v="55.7425"/>
        <n v="55.7512"/>
        <n v="55.7826"/>
        <n v="55.852"/>
        <n v="55.8576"/>
        <n v="55.8692"/>
        <n v="55.8972"/>
        <n v="55.9022"/>
        <n v="55.9082"/>
        <n v="55.9098"/>
        <n v="55.91"/>
        <n v="55.9317"/>
        <n v="55.9372"/>
        <n v="55.9728"/>
        <n v="55.978"/>
        <n v="55.9897"/>
        <n v="56.016"/>
        <n v="56.0406"/>
        <n v="56.0439"/>
        <n v="56.087"/>
        <n v="56.0876"/>
        <n v="56.0882"/>
        <n v="56.1072"/>
        <n v="56.1217"/>
        <n v="56.1669"/>
        <n v="56.1703"/>
        <n v="56.2062"/>
        <n v="56.2172"/>
        <n v="56.2331"/>
        <n v="56.2396"/>
        <n v="56.2508"/>
        <n v="56.2617"/>
        <n v="56.2808"/>
        <n v="56.3075"/>
        <n v="56.3311"/>
        <n v="56.3392"/>
        <n v="56.3521"/>
        <n v="56.3589"/>
        <n v="56.3628"/>
        <n v="56.3919"/>
        <n v="56.4003"/>
        <n v="56.4011"/>
        <n v="56.4042"/>
        <n v="56.4044"/>
        <n v="56.4158"/>
        <n v="56.4494"/>
        <n v="56.5269"/>
        <n v="56.53"/>
        <n v="56.5625"/>
        <n v="56.5672"/>
        <n v="56.5697"/>
        <n v="56.6014"/>
        <n v="56.6078"/>
        <n v="56.6183"/>
        <n v="56.6345"/>
        <n v="56.6392"/>
        <n v="56.6406"/>
        <n v="56.6436"/>
        <n v="56.6633"/>
        <n v="56.665"/>
        <n v="56.6764"/>
        <n v="56.6914"/>
        <n v="56.6964"/>
        <n v="56.7097"/>
        <n v="56.7206"/>
        <n v="56.7217"/>
        <n v="56.7567"/>
        <n v="56.7619"/>
        <n v="56.7875"/>
        <n v="56.7881"/>
        <n v="56.8464"/>
        <n v="56.8506"/>
        <n v="56.8558"/>
        <n v="56.89"/>
        <n v="56.8967"/>
        <n v="56.9258"/>
        <n v="56.9306"/>
        <n v="57.0203"/>
        <n v="57.0615"/>
        <n v="57.0628"/>
        <n v="57.0656"/>
        <n v="57.0961"/>
        <n v="57.0985"/>
        <n v="57.111"/>
        <n v="57.1331"/>
        <n v="57.1383"/>
        <n v="57.1858"/>
        <n v="57.205"/>
        <n v="57.245"/>
        <n v="57.2458"/>
        <n v="57.2547"/>
        <n v="57.2911"/>
        <n v="57.2978"/>
        <n v="57.3153"/>
        <n v="57.3253"/>
        <n v="57.3278"/>
        <n v="57.3439"/>
        <n v="57.3934"/>
        <n v="57.4083"/>
        <n v="57.4158"/>
        <n v="57.5172"/>
        <n v="57.5208"/>
        <n v="57.5293"/>
        <n v="57.5297"/>
        <n v="57.5519"/>
        <n v="57.5525"/>
        <n v="57.56"/>
        <n v="57.57"/>
        <n v="57.6085"/>
        <n v="57.615"/>
        <n v="57.6308"/>
        <n v="57.6369"/>
        <n v="57.6842"/>
        <n v="57.6855"/>
        <n v="57.7364"/>
        <n v="57.7475"/>
        <n v="57.7511"/>
        <n v="57.7858"/>
        <n v="57.7869"/>
        <n v="57.8358"/>
        <n v="57.8522"/>
        <n v="57.8672"/>
        <n v="57.8792"/>
        <n v="57.8975"/>
        <n v="57.9269"/>
        <n v="57.9569"/>
        <n v="57.96"/>
        <n v="57.9828"/>
        <n v="57.9833"/>
        <n v="57.985"/>
        <n v="58.0242"/>
        <n v="58.0272"/>
        <n v="58.0467"/>
        <n v="58.0531"/>
        <n v="58.0631"/>
        <n v="58.0711"/>
        <n v="58.0936"/>
        <n v="58.0958"/>
        <n v="58.0997"/>
        <n v="58.1719"/>
        <n v="58.2397"/>
        <n v="58.2442"/>
        <n v="58.2581"/>
        <n v="58.2608"/>
        <n v="58.2664"/>
        <n v="58.3133"/>
        <n v="58.3183"/>
        <n v="58.3549"/>
        <n v="58.4025"/>
        <n v="58.4197"/>
        <n v="58.4236"/>
        <n v="58.4294"/>
        <n v="58.4578"/>
        <n v="58.46"/>
        <n v="58.4774"/>
        <n v="58.528"/>
        <n v="58.6247"/>
        <n v="58.6919"/>
        <n v="58.6964"/>
        <n v="58.7008"/>
        <n v="58.7042"/>
        <n v="58.7098"/>
        <n v="58.7552"/>
        <n v="58.7597"/>
        <n v="58.8044"/>
        <n v="58.8094"/>
        <n v="58.8128"/>
        <n v="58.8547"/>
        <n v="58.8808"/>
        <n v="58.8847"/>
        <n v="58.9558"/>
        <n v="58.9658"/>
        <n v="58.9736"/>
        <n v="58.9758"/>
        <n v="58.9828"/>
        <n v="59.0867"/>
        <n v="59.1581"/>
        <n v="59.2475"/>
        <n v="59.2503"/>
        <n v="59.2882"/>
        <n v="59.3847"/>
        <n v="59.3917"/>
        <n v="59.4164"/>
        <n v="59.4312"/>
        <n v="59.4486"/>
        <n v="59.4611"/>
        <n v="59.4711"/>
        <n v="59.506"/>
        <n v="59.5259"/>
        <n v="59.6292"/>
        <n v="59.6464"/>
        <n v="59.6977"/>
        <n v="59.7264"/>
        <n v="59.7547"/>
        <n v="59.7549"/>
        <n v="59.7592"/>
        <n v="59.7639"/>
        <n v="59.7725"/>
        <n v="59.7777"/>
        <n v="59.8227"/>
        <n v="59.9358"/>
        <n v="60.0074"/>
        <n v="60.0181"/>
        <n v="60.0259"/>
        <n v="60.0874"/>
        <n v="60.116"/>
        <n v="60.1195"/>
        <n v="60.156"/>
        <n v="60.1996"/>
        <n v="60.2065"/>
        <n v="60.209"/>
        <n v="60.265"/>
        <n v="60.3429"/>
        <n v="60.3469"/>
        <n v="60.3537"/>
        <n v="60.354"/>
        <n v="60.36"/>
        <n v="60.3718"/>
        <n v="60.3979"/>
        <n v="60.4666"/>
        <n v="60.5148"/>
        <n v="60.5188"/>
        <n v="60.539"/>
        <n v="60.5536"/>
        <n v="60.5578"/>
        <n v="60.7248"/>
        <n v="60.7348"/>
        <n v="60.7655"/>
        <n v="60.8264"/>
        <n v="60.9446"/>
        <n v="60.9833"/>
        <n v="60.9988"/>
        <n v="61.0212"/>
        <n v="61.032"/>
        <n v="61.0364"/>
        <n v="61.0681"/>
        <n v="61.0769"/>
        <n v="61.1499"/>
        <n v="61.1535"/>
        <n v="61.2345"/>
        <n v="61.2357"/>
        <n v="61.265"/>
        <n v="61.2975"/>
        <n v="61.3088"/>
        <n v="61.3494"/>
        <n v="61.3548"/>
        <n v="61.3699"/>
        <n v="61.3938"/>
        <n v="61.4044"/>
        <n v="61.4165"/>
        <n v="61.4327"/>
        <n v="61.5054"/>
        <n v="61.5533"/>
        <n v="61.5915"/>
        <n v="61.6047"/>
        <n v="61.6411"/>
        <n v="61.6639"/>
        <n v="61.7758"/>
        <n v="61.7853"/>
        <n v="61.8171"/>
        <n v="61.8456"/>
        <n v="61.8479"/>
        <n v="61.8886"/>
        <n v="61.8934"/>
        <n v="61.9531"/>
        <n v="62.0243"/>
        <n v="62.0623"/>
        <n v="62.0815"/>
        <n v="62.1117"/>
        <n v="62.1342"/>
        <n v="62.208"/>
        <n v="62.2153"/>
        <n v="62.2242"/>
        <n v="62.2643"/>
        <n v="62.3358"/>
        <n v="62.342"/>
        <n v="62.363"/>
        <n v="62.3672"/>
        <n v="62.437"/>
        <n v="62.4862"/>
        <n v="62.5318"/>
        <n v="62.5925"/>
        <n v="62.6118"/>
        <n v="62.6195"/>
        <n v="62.6397"/>
        <n v="62.6746"/>
        <n v="62.7015"/>
        <n v="62.8371"/>
        <n v="62.8667"/>
        <n v="62.8825"/>
        <n v="62.8912"/>
        <n v="62.9728"/>
        <n v="62.9988"/>
        <n v="63.0004"/>
        <n v="63.0755"/>
        <n v="63.087"/>
        <n v="63.0987"/>
        <n v="63.1036"/>
        <n v="63.1087"/>
        <n v="63.1095"/>
        <n v="63.1468"/>
        <n v="63.1663"/>
        <n v="63.1958"/>
        <n v="63.205"/>
        <n v="63.2131"/>
        <n v="63.2425"/>
        <n v="63.2732"/>
        <n v="63.3396"/>
        <n v="63.3732"/>
        <n v="63.4378"/>
        <n v="63.4906"/>
        <n v="63.493"/>
        <n v="63.5523"/>
        <n v="63.5792"/>
        <n v="63.5828"/>
        <n v="63.5882"/>
        <n v="63.5928"/>
        <n v="63.5983"/>
        <n v="63.6177"/>
        <n v="63.643"/>
        <n v="63.6578"/>
        <n v="63.6605"/>
        <n v="63.6746"/>
        <n v="63.7149"/>
        <n v="63.7169"/>
        <n v="63.717"/>
        <n v="63.7245"/>
        <n v="63.7482"/>
        <n v="63.7872"/>
        <n v="63.7955"/>
        <n v="63.8284"/>
        <n v="63.8502"/>
        <n v="63.9316"/>
        <n v="64.0587"/>
        <n v="64.0633"/>
        <n v="64.082"/>
        <n v="64.1066"/>
        <n v="64.1172"/>
        <n v="64.1188"/>
        <n v="64.1311"/>
        <n v="64.2092"/>
        <n v="64.2212"/>
        <n v="64.2221"/>
        <n v="64.2431"/>
        <n v="64.2879"/>
        <n v="64.3003"/>
        <n v="64.3053"/>
        <n v="64.3282"/>
        <n v="64.3382"/>
        <n v="64.3469"/>
        <n v="64.3711"/>
        <n v="64.3869"/>
        <n v="64.4022"/>
        <n v="64.5159"/>
        <n v="64.5432"/>
        <n v="64.579"/>
        <n v="64.5842"/>
        <n v="64.5857"/>
        <n v="64.6428"/>
        <n v="64.7648"/>
        <n v="64.7673"/>
        <n v="64.8031"/>
        <n v="64.8075"/>
        <n v="64.8333"/>
        <n v="64.8761"/>
        <n v="64.9034"/>
        <n v="64.9209"/>
        <n v="64.998"/>
        <n v="65.0187"/>
        <n v="65.0766"/>
        <n v="65.1534"/>
        <n v="65.1564"/>
        <n v="65.1599"/>
        <n v="65.1804"/>
        <n v="65.2519"/>
        <n v="65.2646"/>
        <n v="65.2657"/>
        <n v="65.2734"/>
        <n v="65.2744"/>
        <n v="65.2811"/>
        <n v="65.2971"/>
        <n v="65.3168"/>
        <n v="65.3428"/>
        <n v="65.3674"/>
        <n v="65.3762"/>
        <n v="65.3805"/>
        <n v="65.4556"/>
        <n v="65.4566"/>
        <n v="65.4961"/>
        <n v="65.5109"/>
        <n v="65.5455"/>
        <n v="65.5519"/>
        <n v="65.6247"/>
        <n v="65.6385"/>
        <n v="65.6847"/>
        <n v="65.7123"/>
        <n v="65.7252"/>
        <n v="65.7345"/>
        <n v="65.7816"/>
        <n v="65.7833"/>
        <n v="65.8042"/>
        <n v="65.816"/>
        <n v="65.8243"/>
        <n v="65.8637"/>
        <n v="65.8667"/>
        <n v="65.8674"/>
        <n v="65.9025"/>
        <n v="65.9224"/>
        <n v="65.9617"/>
        <n v="65.9759"/>
        <n v="66.053"/>
        <n v="66.0554"/>
        <n v="66.0829"/>
        <n v="66.156"/>
        <n v="66.1907"/>
        <n v="66.2198"/>
        <n v="66.2365"/>
        <n v="66.2386"/>
        <n v="66.3032"/>
        <n v="66.3642"/>
        <n v="66.3691"/>
        <n v="66.4248"/>
        <n v="66.5324"/>
        <n v="66.5765"/>
        <n v="66.5944"/>
        <n v="66.635"/>
        <n v="66.7428"/>
        <n v="66.8194"/>
        <n v="66.8678"/>
        <n v="66.9239"/>
        <n v="66.9448"/>
        <n v="66.9742"/>
        <n v="67.0663"/>
        <n v="67.1867"/>
        <n v="67.287"/>
        <n v="67.3834"/>
        <n v="67.4267"/>
        <n v="67.4427"/>
        <n v="67.816"/>
        <n v="68.434"/>
        <n v="68.456"/>
        <n v="68.4578"/>
        <n v="68.4895"/>
        <n v="68.537"/>
        <n v="68.5488"/>
        <n v="68.971"/>
        <m/>
      </sharedItems>
    </cacheField>
    <cacheField name="longitude" numFmtId="0">
      <sharedItems containsString="0" containsBlank="1" containsNumber="1" minValue="-140.9694" maxValue="-57.5053" count="882">
        <n v="-140.9694"/>
        <n v="-140.658"/>
        <n v="-140.5171"/>
        <n v="-140.1722"/>
        <n v="-140.1358"/>
        <n v="-140.0786"/>
        <n v="-140.0357"/>
        <n v="-139.8921"/>
        <n v="-139.6552"/>
        <n v="-139.5714"/>
        <n v="-138.6362"/>
        <n v="-138.5275"/>
        <n v="-138.4373"/>
        <n v="-138.1352"/>
        <n v="-137.8692"/>
        <n v="-137.0263"/>
        <n v="-136.3669"/>
        <n v="-136.3479"/>
        <n v="-135.79"/>
        <n v="-134.9428"/>
        <n v="-134.6167"/>
        <n v="-134.3952"/>
        <n v="-133.9205"/>
        <n v="-132.1953"/>
        <n v="-131.6022"/>
        <n v="-131.4097"/>
        <n v="-131.317"/>
        <n v="-131.2035"/>
        <n v="-131.1802"/>
        <n v="-131.1537"/>
        <n v="-131.1347"/>
        <n v="-131.1312"/>
        <n v="-131.1143"/>
        <n v="-131.1042"/>
        <n v="-130.2763"/>
        <n v="-129.562"/>
        <n v="-129.3045"/>
        <n v="-129.1575"/>
        <n v="-129.1568"/>
        <n v="-129.0535"/>
        <n v="-128.9183"/>
        <n v="-128.8722"/>
        <n v="-128.1544"/>
        <n v="-128.045"/>
        <n v="-127.929"/>
        <n v="-127.8687"/>
        <n v="-127.7236"/>
        <n v="-127.5983"/>
        <n v="-127.2647"/>
        <n v="-127.2627"/>
        <n v="-127.1543"/>
        <n v="-127.0598"/>
        <n v="-126.6057"/>
        <n v="-126.453"/>
        <n v="-126.4"/>
        <n v="-126.3087"/>
        <n v="-126.173"/>
        <n v="-126.1608"/>
        <n v="-126.07"/>
        <n v="-126.0657"/>
        <n v="-126.0287"/>
        <n v="-125.9916"/>
        <n v="-125.9308"/>
        <n v="-125.9234"/>
        <n v="-125.8396"/>
        <n v="-125.8367"/>
        <n v="-125.7598"/>
        <n v="-125.7492"/>
        <n v="-125.6382"/>
        <n v="-125.6276"/>
        <n v="-125.6164"/>
        <n v="-125.6057"/>
        <n v="-125.5659"/>
        <n v="-125.5003"/>
        <n v="-125.4787"/>
        <n v="-125.4617"/>
        <n v="-125.3836"/>
        <n v="-125.3754"/>
        <n v="-125.3679"/>
        <n v="-125.3238"/>
        <n v="-125.3018"/>
        <n v="-125.2926"/>
        <n v="-125.2875"/>
        <n v="-125.0832"/>
        <n v="-125.0664"/>
        <n v="-124.8073"/>
        <n v="-124.7516"/>
        <n v="-124.5665"/>
        <n v="-124.5502"/>
        <n v="-124.5183"/>
        <n v="-124.5132"/>
        <n v="-124.3381"/>
        <n v="-124.3003"/>
        <n v="-124.1463"/>
        <n v="-124.0817"/>
        <n v="-124.0087"/>
        <n v="-123.9934"/>
        <n v="-123.9877"/>
        <n v="-123.9848"/>
        <n v="-123.9409"/>
        <n v="-123.8348"/>
        <n v="-123.8289"/>
        <n v="-123.782"/>
        <n v="-123.7627"/>
        <n v="-123.6887"/>
        <n v="-123.65"/>
        <n v="-123.6039"/>
        <n v="-123.5314"/>
        <n v="-123.5072"/>
        <n v="-123.4755"/>
        <n v="-123.4547"/>
        <n v="-123.4119"/>
        <n v="-123.3616"/>
        <n v="-123.3517"/>
        <n v="-123.3458"/>
        <n v="-123.3344"/>
        <n v="-123.2599"/>
        <n v="-123.2362"/>
        <n v="-123.2289"/>
        <n v="-123.2237"/>
        <n v="-123.1605"/>
        <n v="-123.1382"/>
        <n v="-123.1"/>
        <n v="-123.0974"/>
        <n v="-123.0125"/>
        <n v="-122.9917"/>
        <n v="-122.989"/>
        <n v="-122.9687"/>
        <n v="-122.9675"/>
        <n v="-122.9327"/>
        <n v="-122.8957"/>
        <n v="-122.876"/>
        <n v="-122.7951"/>
        <n v="-122.7937"/>
        <n v="-122.7395"/>
        <n v="-122.7138"/>
        <n v="-122.6452"/>
        <n v="-122.4975"/>
        <n v="-122.4817"/>
        <n v="-122.4666"/>
        <n v="-122.448"/>
        <n v="-122.4369"/>
        <n v="-122.314"/>
        <n v="-122.2408"/>
        <n v="-122.2072"/>
        <n v="-122.1872"/>
        <n v="-122.178"/>
        <n v="-122.1528"/>
        <n v="-121.9746"/>
        <n v="-121.9185"/>
        <n v="-121.8656"/>
        <n v="-121.825"/>
        <n v="-121.8087"/>
        <n v="-121.7863"/>
        <n v="-121.7618"/>
        <n v="-121.755"/>
        <n v="-121.7542"/>
        <n v="-121.7494"/>
        <n v="-121.7258"/>
        <n v="-121.7237"/>
        <n v="-121.7175"/>
        <n v="-121.7069"/>
        <n v="-121.6993"/>
        <n v="-121.6966"/>
        <n v="-121.5728"/>
        <n v="-121.5645"/>
        <n v="-121.5504"/>
        <n v="-121.5366"/>
        <n v="-121.5227"/>
        <n v="-121.5001"/>
        <n v="-121.4584"/>
        <n v="-121.4548"/>
        <n v="-121.4316"/>
        <n v="-121.4275"/>
        <n v="-121.3981"/>
        <n v="-121.3073"/>
        <n v="-121.2752"/>
        <n v="-121.2426"/>
        <n v="-121.207"/>
        <n v="-121.2009"/>
        <n v="-121.1201"/>
        <n v="-121.1131"/>
        <n v="-121.0202"/>
        <n v="-121.0144"/>
        <n v="-120.9887"/>
        <n v="-120.984"/>
        <n v="-120.9688"/>
        <n v="-120.9404"/>
        <n v="-120.9313"/>
        <n v="-120.9159"/>
        <n v="-120.8813"/>
        <n v="-120.8774"/>
        <n v="-120.7956"/>
        <n v="-120.7018"/>
        <n v="-120.6406"/>
        <n v="-120.6166"/>
        <n v="-120.611"/>
        <n v="-120.3053"/>
        <n v="-120.225"/>
        <n v="-120.0545"/>
        <n v="-119.9816"/>
        <n v="-119.9248"/>
        <n v="-119.849"/>
        <n v="-119.8168"/>
        <n v="-119.7485"/>
        <n v="-119.3748"/>
        <n v="-119.3546"/>
        <n v="-119.3282"/>
        <n v="-119.2919"/>
        <n v="-119.2525"/>
        <n v="-119.2295"/>
        <n v="-119.1644"/>
        <n v="-119.13"/>
        <n v="-119.1195"/>
        <n v="-119.0897"/>
        <n v="-118.9106"/>
        <n v="-118.851"/>
        <n v="-118.8143"/>
        <n v="-118.6028"/>
        <n v="-118.5987"/>
        <n v="-118.5322"/>
        <n v="-118.527"/>
        <n v="-118.5142"/>
        <n v="-118.4847"/>
        <n v="-118.4267"/>
        <n v="-118.4"/>
        <n v="-118.3305"/>
        <n v="-118.323"/>
        <n v="-118.29"/>
        <n v="-118.1982"/>
        <n v="-118.1932"/>
        <n v="-118.18"/>
        <n v="-118.1526"/>
        <n v="-118.0997"/>
        <n v="-118.0895"/>
        <n v="-118.0136"/>
        <n v="-117.8488"/>
        <n v="-117.8477"/>
        <n v="-117.6656"/>
        <n v="-117.6456"/>
        <n v="-117.6375"/>
        <n v="-117.6353"/>
        <n v="-117.5968"/>
        <n v="-117.4995"/>
        <n v="-117.4878"/>
        <n v="-117.4572"/>
        <n v="-117.3193"/>
        <n v="-117.3138"/>
        <n v="-117.283"/>
        <n v="-117.2717"/>
        <n v="-117.2172"/>
        <n v="-117.1373"/>
        <n v="-116.9777"/>
        <n v="-116.5195"/>
        <n v="-116.498"/>
        <n v="-116.424"/>
        <n v="-116.379"/>
        <n v="-116.3751"/>
        <n v="-116.3334"/>
        <n v="-116.307"/>
        <n v="-116.2972"/>
        <n v="-116.228"/>
        <n v="-116.197"/>
        <n v="-116.153"/>
        <n v="-115.9514"/>
        <n v="-115.9384"/>
        <n v="-115.8221"/>
        <n v="-115.7"/>
        <n v="-115.5406"/>
        <n v="-115.5356"/>
        <n v="-115.437"/>
        <n v="-115.1647"/>
        <n v="-115.1532"/>
        <n v="-115.094"/>
        <n v="-114.9133"/>
        <n v="-114.7088"/>
        <n v="-114.521"/>
        <n v="-114.506"/>
        <n v="-114.1988"/>
        <n v="-113.9895"/>
        <n v="-113.9608"/>
        <n v="-113.96"/>
        <n v="-113.9371"/>
        <n v="-113.7093"/>
        <n v="-113.6464"/>
        <n v="-113.6355"/>
        <n v="-113.5006"/>
        <n v="-113.3894"/>
        <n v="-113.3417"/>
        <n v="-113.2231"/>
        <n v="-113.1638"/>
        <n v="-113.1578"/>
        <n v="-113.1068"/>
        <n v="-113.0924"/>
        <n v="-113.0642"/>
        <n v="-112.8568"/>
        <n v="-112.8549"/>
        <n v="-112.7713"/>
        <n v="-112.5641"/>
        <n v="-112.538"/>
        <n v="-112.4664"/>
        <n v="-112.4564"/>
        <n v="-112.1858"/>
        <n v="-111.6359"/>
        <n v="-111.5246"/>
        <n v="-110.8128"/>
        <n v="-110.776"/>
        <n v="-110.647"/>
        <n v="-110.432"/>
        <n v="-110.3258"/>
        <n v="-110.265"/>
        <n v="-110.2612"/>
        <n v="-110.223"/>
        <n v="-110.2"/>
        <n v="-110.1956"/>
        <n v="-110.0104"/>
        <n v="-110.0058"/>
        <n v="-109.9862"/>
        <n v="-109.8518"/>
        <n v="-109.6764"/>
        <n v="-109.6453"/>
        <n v="-109.3653"/>
        <n v="-108.6612"/>
        <n v="-108.6513"/>
        <n v="-108.6496"/>
        <n v="-108.5394"/>
        <n v="-108.5308"/>
        <n v="-108.1237"/>
        <n v="-107.5105"/>
        <n v="-107.3356"/>
        <n v="-106.672"/>
        <n v="-106.6479"/>
        <n v="-106.544"/>
        <n v="-106.492"/>
        <n v="-106.4699"/>
        <n v="-106.3807"/>
        <n v="-106.1839"/>
        <n v="-106.1813"/>
        <n v="-106.1208"/>
        <n v="-106.05"/>
        <n v="-106.0008"/>
        <n v="-105.998"/>
        <n v="-105.9735"/>
        <n v="-105.8129"/>
        <n v="-105.7648"/>
        <n v="-105.7572"/>
        <n v="-105.6375"/>
        <n v="-105.6186"/>
        <n v="-105.3635"/>
        <n v="-105.3483"/>
        <n v="-105.328"/>
        <n v="-105.3082"/>
        <n v="-105.0615"/>
        <n v="-105.0472"/>
        <n v="-105.0419"/>
        <n v="-104.9167"/>
        <n v="-104.8672"/>
        <n v="-104.8486"/>
        <n v="-104.8423"/>
        <n v="-104.7579"/>
        <n v="-104.7138"/>
        <n v="-104.663"/>
        <n v="-104.5808"/>
        <n v="-104.5732"/>
        <n v="-104.4251"/>
        <n v="-104.3441"/>
        <n v="-104.3312"/>
        <n v="-104.308"/>
        <n v="-104.2752"/>
        <n v="-104.1323"/>
        <n v="-104.1172"/>
        <n v="-104.1158"/>
        <n v="-103.8975"/>
        <n v="-103.8812"/>
        <n v="-103.866"/>
        <n v="-103.8241"/>
        <n v="-103.7817"/>
        <n v="-103.6821"/>
        <n v="-103.6651"/>
        <n v="-103.5119"/>
        <n v="-103.3973"/>
        <n v="-103.3907"/>
        <n v="-103.3844"/>
        <n v="-103.3036"/>
        <n v="-103.228"/>
        <n v="-103.0475"/>
        <n v="-103.0408"/>
        <n v="-103.0126"/>
        <n v="-102.9605"/>
        <n v="-102.9532"/>
        <n v="-102.9161"/>
        <n v="-102.9111"/>
        <n v="-102.8934"/>
        <n v="-102.8093"/>
        <n v="-102.804"/>
        <n v="-102.724"/>
        <n v="-102.7021"/>
        <n v="-102.6901"/>
        <n v="-102.6043"/>
        <n v="-102.5919"/>
        <n v="-102.5172"/>
        <n v="-102.4198"/>
        <n v="-102.3754"/>
        <n v="-102.308"/>
        <n v="-102.2895"/>
        <n v="-102.2332"/>
        <n v="-102.0008"/>
        <n v="-101.97"/>
        <n v="-101.9656"/>
        <n v="-101.9439"/>
        <n v="-101.9314"/>
        <n v="-101.9297"/>
        <n v="-101.929"/>
        <n v="-101.908"/>
        <n v="-101.9058"/>
        <n v="-101.7428"/>
        <n v="-101.6081"/>
        <n v="-101.5581"/>
        <n v="-101.5508"/>
        <n v="-101.55"/>
        <n v="-101.5453"/>
        <n v="-101.5064"/>
        <n v="-101.4506"/>
        <n v="-101.425"/>
        <n v="-101.4131"/>
        <n v="-101.3756"/>
        <n v="-101.3053"/>
        <n v="-101.1644"/>
        <n v="-100.9975"/>
        <n v="-100.9928"/>
        <n v="-100.9667"/>
        <n v="-100.9147"/>
        <n v="-100.8722"/>
        <n v="-100.8422"/>
        <n v="-100.7753"/>
        <n v="-100.7633"/>
        <n v="-100.7383"/>
        <n v="-100.7153"/>
        <n v="-100.6442"/>
        <n v="-100.5633"/>
        <n v="-100.5331"/>
        <n v="-100.5072"/>
        <n v="-100.5031"/>
        <n v="-100.455"/>
        <n v="-100.3333"/>
        <n v="-100.2867"/>
        <n v="-100.2264"/>
        <n v="-100.1975"/>
        <n v="-100.1633"/>
        <n v="-100.1422"/>
        <n v="-100.1117"/>
        <n v="-100.1108"/>
        <n v="-100.0939"/>
        <n v="-99.9819"/>
        <n v="-99.9719"/>
        <n v="-99.7864"/>
        <n v="-99.7133"/>
        <n v="-99.6858"/>
        <n v="-99.6133"/>
        <n v="-99.6"/>
        <n v="-99.4956"/>
        <n v="-99.4953"/>
        <n v="-99.2869"/>
        <n v="-99.2272"/>
        <n v="-99.1733"/>
        <n v="-99.1486"/>
        <n v="-99.1142"/>
        <n v="-99.0906"/>
        <n v="-99.0464"/>
        <n v="-99.0414"/>
        <n v="-98.9528"/>
        <n v="-98.9308"/>
        <n v="-98.9294"/>
        <n v="-98.9256"/>
        <n v="-98.7978"/>
        <n v="-98.7772"/>
        <n v="-98.7581"/>
        <n v="-98.7372"/>
        <n v="-98.7264"/>
        <n v="-98.6367"/>
        <n v="-98.4203"/>
        <n v="-98.4028"/>
        <n v="-98.3528"/>
        <n v="-98.1053"/>
        <n v="-98.0069"/>
        <n v="-97.9469"/>
        <n v="-97.885"/>
        <n v="-97.8586"/>
        <n v="-97.8481"/>
        <n v="-97.7658"/>
        <n v="-97.6286"/>
        <n v="-97.5753"/>
        <n v="-97.5425"/>
        <n v="-97.5281"/>
        <n v="-97.5239"/>
        <n v="-97.4781"/>
        <n v="-97.3411"/>
        <n v="-97.3333"/>
        <n v="-97.3189"/>
        <n v="-97.2956"/>
        <n v="-97.2681"/>
        <n v="-97.1925"/>
        <n v="-97.0297"/>
        <n v="-97.0236"/>
        <n v="-97.0103"/>
        <n v="-96.9983"/>
        <n v="-96.9503"/>
        <n v="-96.9039"/>
        <n v="-96.8067"/>
        <n v="-96.2861"/>
        <n v="-95.9761"/>
        <n v="-95.9697"/>
        <n v="-95.7256"/>
        <n v="-95.5564"/>
        <n v="-95.5256"/>
        <n v="-95.4622"/>
        <n v="-95.3944"/>
        <n v="-95.3511"/>
        <n v="-95.2867"/>
        <n v="-95.2094"/>
        <n v="-95.0333"/>
        <n v="-94.9719"/>
        <n v="-94.7116"/>
        <n v="-94.666"/>
        <n v="-94.6472"/>
        <n v="-94.4762"/>
        <n v="-94.3703"/>
        <n v="-94.34"/>
        <n v="-94.3119"/>
        <n v="-94.1881"/>
        <n v="-94.1803"/>
        <n v="-94.0517"/>
        <n v="-93.8036"/>
        <n v="-93.7519"/>
        <n v="-93.7"/>
        <n v="-93.69"/>
        <n v="-93.6097"/>
        <n v="-93.5069"/>
        <n v="-93.4972"/>
        <n v="-93.4906"/>
        <n v="-93.2488"/>
        <n v="-93.1905"/>
        <n v="-93.1542"/>
        <n v="-93.1278"/>
        <n v="-92.9978"/>
        <n v="-92.9977"/>
        <n v="-92.9305"/>
        <n v="-92.9013"/>
        <n v="-92.8519"/>
        <n v="-92.7637"/>
        <n v="-92.7471"/>
        <n v="-92.6737"/>
        <n v="-92.6478"/>
        <n v="-92.6075"/>
        <n v="-92.5804"/>
        <n v="-92.5437"/>
        <n v="-92.3933"/>
        <n v="-92.3136"/>
        <n v="-92.3119"/>
        <n v="-92.2603"/>
        <n v="-92.1757"/>
        <n v="-92.1735"/>
        <n v="-92.0356"/>
        <n v="-92.0242"/>
        <n v="-91.9662"/>
        <n v="-91.931"/>
        <n v="-91.9014"/>
        <n v="-91.8508"/>
        <n v="-91.8433"/>
        <n v="-91.8189"/>
        <n v="-91.754"/>
        <n v="-91.7402"/>
        <n v="-91.7202"/>
        <n v="-91.6317"/>
        <n v="-91.6315"/>
        <n v="-91.6266"/>
        <n v="-91.6236"/>
        <n v="-91.6189"/>
        <n v="-91.5728"/>
        <n v="-91.5472"/>
        <n v="-91.5216"/>
        <n v="-91.5087"/>
        <n v="-91.4786"/>
        <n v="-91.4708"/>
        <n v="-91.4496"/>
        <n v="-91.4154"/>
        <n v="-91.3665"/>
        <n v="-91.3463"/>
        <n v="-91.3383"/>
        <n v="-91.3078"/>
        <n v="-91.2911"/>
        <n v="-91.2902"/>
        <n v="-91.2736"/>
        <n v="-91.2525"/>
        <n v="-91.2383"/>
        <n v="-91.2252"/>
        <n v="-91.1869"/>
        <n v="-91.1517"/>
        <n v="-91.1009"/>
        <n v="-91.0997"/>
        <n v="-91.0208"/>
        <n v="-90.9869"/>
        <n v="-90.7828"/>
        <n v="-90.7713"/>
        <n v="-90.6753"/>
        <n v="-90.6692"/>
        <n v="-90.6424"/>
        <n v="-90.5666"/>
        <n v="-90.5031"/>
        <n v="-90.4703"/>
        <n v="-90.462"/>
        <n v="-90.4613"/>
        <n v="-90.4386"/>
        <n v="-90.3959"/>
        <n v="-90.3904"/>
        <n v="-90.3716"/>
        <n v="-90.3221"/>
        <n v="-90.2883"/>
        <n v="-90.2855"/>
        <n v="-90.2692"/>
        <n v="-90.2245"/>
        <n v="-90.1717"/>
        <n v="-90.1047"/>
        <n v="-90.1032"/>
        <n v="-90.1022"/>
        <n v="-90.098"/>
        <n v="-90.0795"/>
        <n v="-90.0775"/>
        <n v="-90.0685"/>
        <n v="-90.0279"/>
        <n v="-90.026"/>
        <n v="-89.9496"/>
        <n v="-89.9262"/>
        <n v="-89.894"/>
        <n v="-89.8851"/>
        <n v="-89.8587"/>
        <n v="-89.7415"/>
        <n v="-89.7245"/>
        <n v="-89.6808"/>
        <n v="-89.639"/>
        <n v="-89.6067"/>
        <n v="-89.504"/>
        <n v="-89.4972"/>
        <n v="-89.468"/>
        <n v="-89.3844"/>
        <n v="-89.3733"/>
        <n v="-89.3702"/>
        <n v="-89.3515"/>
        <n v="-89.3152"/>
        <n v="-89.247"/>
        <n v="-89.1742"/>
        <n v="-89.0032"/>
        <n v="-88.9973"/>
        <n v="-88.9357"/>
        <n v="-88.9197"/>
        <n v="-88.9017"/>
        <n v="-88.8491"/>
        <n v="-88.8409"/>
        <n v="-88.7879"/>
        <n v="-88.7601"/>
        <n v="-88.7516"/>
        <n v="-88.7101"/>
        <n v="-88.6903"/>
        <n v="-88.6647"/>
        <n v="-88.6064"/>
        <n v="-88.5725"/>
        <n v="-88.5446"/>
        <n v="-88.5433"/>
        <n v="-88.4844"/>
        <n v="-88.4345"/>
        <n v="-88.3265"/>
        <n v="-88.3103"/>
        <n v="-88.2388"/>
        <n v="-88.1841"/>
        <n v="-88.1817"/>
        <n v="-88.1636"/>
        <n v="-88.0388"/>
        <n v="-87.9904"/>
        <n v="-87.8698"/>
        <n v="-87.8415"/>
        <n v="-87.8394"/>
        <n v="-87.8229"/>
        <n v="-87.8131"/>
        <n v="-87.8113"/>
        <n v="-87.7936"/>
        <n v="-87.7475"/>
        <n v="-87.7281"/>
        <n v="-87.7194"/>
        <n v="-87.6758"/>
        <n v="-87.647"/>
        <n v="-87.6404"/>
        <n v="-87.6341"/>
        <n v="-87.6082"/>
        <n v="-87.5743"/>
        <n v="-87.5089"/>
        <n v="-87.4437"/>
        <n v="-87.4287"/>
        <n v="-87.3927"/>
        <n v="-87.2821"/>
        <n v="-87.271"/>
        <n v="-87.133"/>
        <n v="-87.0982"/>
        <n v="-87.0857"/>
        <n v="-86.824"/>
        <n v="-86.586"/>
        <n v="-86.5468"/>
        <n v="-86.5274"/>
        <n v="-86.5268"/>
        <n v="-86.4852"/>
        <n v="-86.386"/>
        <n v="-86.1931"/>
        <n v="-86.1826"/>
        <n v="-86.1402"/>
        <n v="-86.0563"/>
        <n v="-86.0321"/>
        <n v="-85.7914"/>
        <n v="-85.788"/>
        <n v="-85.7758"/>
        <n v="-85.7258"/>
        <n v="-85.691"/>
        <n v="-85.4711"/>
        <n v="-85.2873"/>
        <n v="-85.15"/>
        <n v="-84.5896"/>
        <n v="-84.4881"/>
        <n v="-83.8633"/>
        <n v="-83.5313"/>
        <n v="-83.5051"/>
        <n v="-82.2551"/>
        <n v="-82.2437"/>
        <n v="-81.7268"/>
        <n v="-81.4582"/>
        <n v="-80.7651"/>
        <n v="-80.1221"/>
        <n v="-79.6647"/>
        <n v="-79.4517"/>
        <n v="-79.1022"/>
        <n v="-78.9553"/>
        <n v="-78.9503"/>
        <n v="-78.6939"/>
        <n v="-78.6331"/>
        <n v="-78.5647"/>
        <n v="-78.5522"/>
        <n v="-78.4275"/>
        <n v="-78.3894"/>
        <n v="-78.3414"/>
        <n v="-78.3261"/>
        <n v="-78.0989"/>
        <n v="-78.0272"/>
        <n v="-78.0211"/>
        <n v="-78.0136"/>
        <n v="-77.9083"/>
        <n v="-77.7261"/>
        <n v="-77.6664"/>
        <n v="-77.635"/>
        <n v="-77.3631"/>
        <n v="-77.3136"/>
        <n v="-77.2919"/>
        <n v="-77.2444"/>
        <n v="-77.2142"/>
        <n v="-77.0572"/>
        <n v="-77.0411"/>
        <n v="-76.9739"/>
        <n v="-76.9678"/>
        <n v="-76.9306"/>
        <n v="-76.9153"/>
        <n v="-76.8997"/>
        <n v="-76.8217"/>
        <n v="-76.8044"/>
        <n v="-76.7744"/>
        <n v="-76.7611"/>
        <n v="-76.715"/>
        <n v="-76.6408"/>
        <n v="-76.6339"/>
        <n v="-76.6281"/>
        <n v="-76.6139"/>
        <n v="-76.4736"/>
        <n v="-76.4675"/>
        <n v="-76.4153"/>
        <n v="-76.3203"/>
        <n v="-76.1983"/>
        <n v="-76.1242"/>
        <n v="-76.1125"/>
        <n v="-76.0747"/>
        <n v="-76.0681"/>
        <n v="-76.0672"/>
        <n v="-75.9414"/>
        <n v="-75.7694"/>
        <n v="-75.7269"/>
        <n v="-75.6919"/>
        <n v="-75.3033"/>
        <n v="-75.1828"/>
        <n v="-75.1783"/>
        <n v="-75.1214"/>
        <n v="-75.0836"/>
        <n v="-75.0761"/>
        <n v="-74.4239"/>
        <n v="-74.1025"/>
        <n v="-74.0533"/>
        <n v="-73.8092"/>
        <n v="-73.22"/>
        <n v="-73.035"/>
        <n v="-73.0103"/>
        <n v="-72.9914"/>
        <n v="-72.9907"/>
        <n v="-72.9904"/>
        <n v="-72.9383"/>
        <n v="-72.8983"/>
        <n v="-72.6714"/>
        <n v="-72.4136"/>
        <n v="-72.2228"/>
        <n v="-72.1561"/>
        <n v="-72.1292"/>
        <n v="-71.9269"/>
        <n v="-71.7594"/>
        <n v="-71.6825"/>
        <n v="-71.5986"/>
        <n v="-71.3172"/>
        <n v="-71.2897"/>
        <n v="-71.2808"/>
        <n v="-71.2486"/>
        <n v="-71.1578"/>
        <n v="-71.0728"/>
        <n v="-71.0653"/>
        <n v="-70.9594"/>
        <n v="-70.9586"/>
        <n v="-70.9031"/>
        <n v="-70.6275"/>
        <n v="-70.5292"/>
        <n v="-70.5256"/>
        <n v="-70.4792"/>
        <n v="-70.4278"/>
        <n v="-70.3636"/>
        <n v="-70.2533"/>
        <n v="-70.2167"/>
        <n v="-70.1978"/>
        <n v="-70.1078"/>
        <n v="-70.1"/>
        <n v="-69.9569"/>
        <n v="-69.7767"/>
        <n v="-69.7017"/>
        <n v="-69.6653"/>
        <n v="-69.6231"/>
        <n v="-69.4019"/>
        <n v="-69.3511"/>
        <n v="-69.2275"/>
        <n v="-69.1489"/>
        <n v="-69.0158"/>
        <n v="-69.0136"/>
        <n v="-69.0044"/>
        <n v="-68.86"/>
        <n v="-68.8053"/>
        <n v="-68.4775"/>
        <n v="-68.4542"/>
        <n v="-68.44"/>
        <n v="-68.0653"/>
        <n v="-67.9417"/>
        <n v="-67.9208"/>
        <n v="-67.6639"/>
        <n v="-67.4864"/>
        <n v="-67.3467"/>
        <n v="-67.0694"/>
        <n v="-67.0631"/>
        <n v="-66.5569"/>
        <n v="-66.3097"/>
        <n v="-66.1111"/>
        <n v="-66.1047"/>
        <n v="-65.799"/>
        <n v="-65.751"/>
        <n v="-65.7311"/>
        <n v="-65.45"/>
        <n v="-65.0061"/>
        <n v="-63.8878"/>
        <n v="-63.5342"/>
        <n v="-62.7633"/>
        <n v="-62.7207"/>
        <n v="-62.5819"/>
        <n v="-60.1"/>
        <n v="-59.1986"/>
        <n v="-59.1169"/>
        <n v="-57.5053"/>
        <m/>
      </sharedItems>
    </cacheField>
    <cacheField name="geometry" numFmtId="0">
      <sharedItems containsBlank="1" count="886">
        <s v="POINT (-1001138.633268 1288411.806176)"/>
        <s v="POINT (-1001747.731249 1393687.663082)"/>
        <s v="POINT (-1003680.817964 1957804.258793)"/>
        <s v="POINT (-1009231.647993 1365111.477412)"/>
        <s v="POINT (-1010234.071168 1984958.076526)"/>
        <s v="POINT (-1016841.430443 1614850.698125)"/>
        <s v="POINT (-1018629.447244 1277473.529064)"/>
        <s v="POINT (-1019289.422026 973942.870373)"/>
        <s v="POINT (-1027664.761932 1719383.456474)"/>
        <s v="POINT (-1029620.975563 1243151.357728)"/>
        <s v="POINT (-1036881.629703 2015370.97171)"/>
        <s v="POINT (-1042707.629337 2012303.310042)"/>
        <s v="POINT (-1043662.276767 2002607.912567)"/>
        <s v="POINT (-1048733.092956 1240912.669476)"/>
        <s v="POINT (-1050703.530495 1914061.347658)"/>
        <s v="POINT (-1052274.803294 1851822.172816)"/>
        <s v="POINT (-1066434.865744 1979242.641099)"/>
        <s v="POINT (-1066849.360073 1845500.213246)"/>
        <s v="POINT (-1067719.991316 2005704.489612)"/>
        <s v="POINT (-1068924.422996 1992715.865634)"/>
        <s v="POINT (-1069417.577148 1314020.386942)"/>
        <s v="POINT (-108160.494513 847270.178887)"/>
        <s v="POINT (-1087558.603296 1822334.009116)"/>
        <s v="POINT (-1092101.985211 1208166.265712)"/>
        <s v="POINT (-1092533.106795 1311654.717263)"/>
        <s v="POINT (-1099216.316502 1471640.851121)"/>
        <s v="POINT (-110434.335363 965829.954635)"/>
        <s v="POINT (-1104934.193884 1814483.094726)"/>
        <s v="POINT (-1105727.840233 1965456.298493)"/>
        <s v="POINT (-1107898.695825 1973119.850853)"/>
        <s v="POINT (-111524.736175 1018064.186695)"/>
        <s v="POINT (-1116736.101877 1958556.280759)"/>
        <s v="POINT (-1117080.749551 1864899.779874)"/>
        <s v="POINT (-1124709.23426 1948085.984658)"/>
        <s v="POINT (-1125205.247982 1224610.225009)"/>
        <s v="POINT (-112779.477962 1065625.410372)"/>
        <s v="POINT (-1132319.584667 2167422.207434)"/>
        <s v="POINT (-1133414.128608 1809872.80095)"/>
        <s v="POINT (-1139176.616174 1812707.940343)"/>
        <s v="POINT (-1143274.36165 2223928.03594)"/>
        <s v="POINT (-1146066.814335 2210710.684694)"/>
        <s v="POINT (-114825.39927 1057067.746845)"/>
        <s v="POINT (-1148422.625521 1558713.322533)"/>
        <s v="POINT (-1148968.922389 2014552.936558)"/>
        <s v="POINT (-1154476.313467 1907085.471968)"/>
        <s v="POINT (-1159376.716535 1839045.686073)"/>
        <s v="POINT (-116324.105955 974855.199235)"/>
        <s v="POINT (-1163565.354654 2248045.066816)"/>
        <s v="POINT (-1166507.16659 2126086.135705)"/>
        <s v="POINT (-1167503.122865 1410826.82848)"/>
        <s v="POINT (-1172401.072307 2010537.203636)"/>
        <s v="POINT (-1174213.098958 1935345.872595)"/>
        <s v="POINT (-1179007.642465 1425779.344606)"/>
        <s v="POINT (-1180063.522995 1430375.748968)"/>
        <s v="POINT (-1183275.59699 2269797.316545)"/>
        <s v="POINT (-1186677.431957 1975195.761521)"/>
        <s v="POINT (-1190204.939524 1988111.363235)"/>
        <s v="POINT (-1202458.831098 1534443.353437)"/>
        <s v="POINT (-1212225.823284 1369488.529376)"/>
        <s v="POINT (-1225755.674015 1493598.673238)"/>
        <s v="POINT (-1226258.470884 1847579.866687)"/>
        <s v="POINT (-1237185.040895 2075634.336109)"/>
        <s v="POINT (-123746.160864 1065624.347829)"/>
        <s v="POINT (-1237519.900233 2065221.90149)"/>
        <s v="POINT (-123793.182256 764419.054418)"/>
        <s v="POINT (-1242221.884441 2003573.183818)"/>
        <s v="POINT (-1245306.059708 1741906.230869)"/>
        <s v="POINT (-1245306.827591 1304154.115057)"/>
        <s v="POINT (-12456.381569 871232.774817)"/>
        <s v="POINT (-1253405.075074 2073938.731932)"/>
        <s v="POINT (-1255223.080075 2240280.945177)"/>
        <s v="POINT (-1256206.075336 2015296.05507)"/>
        <s v="POINT (-1257443.313 1817118.961708)"/>
        <s v="POINT (-1265747.823308 1991910.474596)"/>
        <s v="POINT (-1266128.547728 1705248.045342)"/>
        <s v="POINT (-1266423.17107 2123550.924499)"/>
        <s v="POINT (-1268672.873567 2066436.830484)"/>
        <s v="POINT (-1269077.244805 1762777.658467)"/>
        <s v="POINT (-1269619.162685 2122470.696773)"/>
        <s v="POINT (-1270436.911079 1827356.488721)"/>
        <s v="POINT (-1270485.154903 1706074.611352)"/>
        <s v="POINT (-1280137.66908 1700686.228697)"/>
        <s v="POINT (-1286609.107085 1961449.953744)"/>
        <s v="POINT (-1288027.348089 2173519.039146)"/>
        <s v="POINT (-1289639.845559 2162937.739208)"/>
        <s v="POINT (-1295359.962141 1698844.729858)"/>
        <s v="POINT (-1297511.017137 1966086.094568)"/>
        <s v="POINT (-1298060.942856 2155823.13525)"/>
        <s v="POINT (-1300329.894281 1751167.980074)"/>
        <s v="POINT (-1300816.548412 1745567.122881)"/>
        <s v="POINT (-1303221.655657 2171753.737082)"/>
        <s v="POINT (-1303638.565537 1708326.904107)"/>
        <s v="POINT (-130622.82429 1036406.194384)"/>
        <s v="POINT (-1306327.836878 2166842.359159)"/>
        <s v="POINT (-1307565.704165 2229065.638547)"/>
        <s v="POINT (-1309955.945274 2348963.924349)"/>
        <s v="POINT (-1310497.131998 1910807.572788)"/>
        <s v="POINT (-1311242.841707 1888553.6023)"/>
        <s v="POINT (-1314933.031022 1673616.232002)"/>
        <s v="POINT (-1316520.788436 1202987.31373)"/>
        <s v="POINT (-1316770.930448 2004749.684494)"/>
        <s v="POINT (-1318691.606298 1625541.788256)"/>
        <s v="POINT (-1320371.183943 2094104.418061)"/>
        <s v="POINT (-1320630.005502 2094111.412969)"/>
        <s v="POINT (-1322285.515377 2012454.568697)"/>
        <s v="POINT (-1323172.177996 2096617.195836)"/>
        <s v="POINT (-1323881.18443 1819788.933263)"/>
        <s v="POINT (-1324434.543315 1867886.504143)"/>
        <s v="POINT (-1325346.674379 1646251.422136)"/>
        <s v="POINT (-1328572.864511 1911081.102508)"/>
        <s v="POINT (-1328757.885155 2414070.88878)"/>
        <s v="POINT (-133011.858602 925532.843097)"/>
        <s v="POINT (-1330602.490458 2105643.652259)"/>
        <s v="POINT (-1336031.971768 1752756.058395)"/>
        <s v="POINT (-1337223.286023 1842409.648818)"/>
        <s v="POINT (-1338314.540659 2093027.262951)"/>
        <s v="POINT (-1338412.317677 1870547.552482)"/>
        <s v="POINT (-1342170.202855 1653711.0212)"/>
        <s v="POINT (-1342421.688244 1815824.807603)"/>
        <s v="POINT (-1343369.790693 1643715.758217)"/>
        <s v="POINT (-1344495.558116 1641536.594588)"/>
        <s v="POINT (-1348846.931223 1789314.966891)"/>
        <s v="POINT (-1349500.407216 1633696.455442)"/>
        <s v="POINT (-1350009.913993 1690466.59443)"/>
        <s v="POINT (-1350796.215932 534517.58749)"/>
        <s v="POINT (-1353246.903266 1422688.373697)"/>
        <s v="POINT (-1354974.669773 1788976.885591)"/>
        <s v="POINT (-1357928.020807 2192178.529251)"/>
        <s v="POINT (-1357947.742897 2210788.033976)"/>
        <s v="POINT (-1358599.430223 2524180.69666)"/>
        <s v="POINT (-1359242.576166 2383150.175737)"/>
        <s v="POINT (-1360892.671993 2527168.170286)"/>
        <s v="POINT (-1362052.109102 2520273.016055)"/>
        <s v="POINT (-1362980.949392 2516562.825102)"/>
        <s v="POINT (-1364538.16588 2517785.568128)"/>
        <s v="POINT (-1364611.661226 1631675.22546)"/>
        <s v="POINT (-1366823.448871 2516175.373487)"/>
        <s v="POINT (-137485.80839 908019.189636)"/>
        <s v="POINT (-1376101.968471 1857133.032993)"/>
        <s v="POINT (-1377563.731159 2016774.232533)"/>
        <s v="POINT (-1378398.917265 1983073.70445)"/>
        <s v="POINT (-1382906.612312 1951578.427818)"/>
        <s v="POINT (-1383369.893044 1718805.032668)"/>
        <s v="POINT (-1385668.005557 2003472.523856)"/>
        <s v="POINT (-1394654.055515 1462995.080291)"/>
        <s v="POINT (-1396069.977701 2202837.633381)"/>
        <s v="POINT (-139776.116654 858281.853608)"/>
        <s v="POINT (-1398327.972172 2180329.171907)"/>
        <s v="POINT (-140077.542174 1125845.986517)"/>
        <s v="POINT (-1402386.972952 2202159.744257)"/>
        <s v="POINT (-1402984.575034 2010021.443101)"/>
        <s v="POINT (-1403898.846863 1723114.132464)"/>
        <s v="POINT (-1404474.656405 1736002.921424)"/>
        <s v="POINT (-1404940.848898 1670503.893417)"/>
        <s v="POINT (-1405119.184974 2125723.181262)"/>
        <s v="POINT (-1405175.105611 2009609.71226)"/>
        <s v="POINT (-1406513.415674 2204730.149612)"/>
        <s v="POINT (-1408676.771866 2027288.730104)"/>
        <s v="POINT (-1408941.00169 2108633.674253)"/>
        <s v="POINT (-1409174.839613 2262989.244539)"/>
        <s v="POINT (-1409409.82843 1566969.917802)"/>
        <s v="POINT (-1410222.53721 1656324.715604)"/>
        <s v="POINT (-1410797.066847 2264203.49557)"/>
        <s v="POINT (-1413096.259921 2004264.219872)"/>
        <s v="POINT (-1419234.187931 2037013.15171)"/>
        <s v="POINT (-1422569.878445 1953446.999296)"/>
        <s v="POINT (-1426761.673457 2002704.375093)"/>
        <s v="POINT (-1427315.610487 1944742.059704)"/>
        <s v="POINT (-1430588.86694 1634105.024201)"/>
        <s v="POINT (-1431297.606663 2284582.914696)"/>
        <s v="POINT (-1432463.795177 1958686.56931)"/>
        <s v="POINT (-1432713.808048 2430823.753502)"/>
        <s v="POINT (-1434676.698603 1965037.884064)"/>
        <s v="POINT (-143570.46724 717844.976517)"/>
        <s v="POINT (-143646.042876 1108239.643124)"/>
        <s v="POINT (-1440102.187046 1718549.799124)"/>
        <s v="POINT (-144644.904325 1016817.45074)"/>
        <s v="POINT (-1454309.707694 284753.023882)"/>
        <s v="POINT (-1454403.491395 344047.794108)"/>
        <s v="POINT (-1459825.805805 2381485.597674)"/>
        <s v="POINT (-1462567.658972 2293139.681)"/>
        <s v="POINT (-1465871.145667 1758540.417064)"/>
        <s v="POINT (-147488.457964 870399.035706)"/>
        <s v="POINT (-1483993.6471 310174.737396)"/>
        <s v="POINT (-1490324.943897 294538.715096)"/>
        <s v="POINT (-1494413.390979 406908.028033)"/>
        <s v="POINT (-1498370.742611 325691.031732)"/>
        <s v="POINT (-1498607.969196 331804.097214)"/>
        <s v="POINT (-150065.034481 901973.416768)"/>
        <s v="POINT (-150414.692349 1016568.064978)"/>
        <s v="POINT (-1507325.956931 321897.788972)"/>
        <s v="POINT (-1508042.749062 322001.551859)"/>
        <s v="POINT (-1509406.444246 323873.689155)"/>
        <s v="POINT (-1512489.790357 350877.015078)"/>
        <s v="POINT (-1512723.728053 323491.625919)"/>
        <s v="POINT (-1513851.574944 1693749.842138)"/>
        <s v="POINT (-1540571.554741 2279260.728458)"/>
        <s v="POINT (-1545188.293798 2233063.982096)"/>
        <s v="POINT (-1553010.297331 475943.222977)"/>
        <s v="POINT (-1553745.385132 476031.392933)"/>
        <s v="POINT (-1554204.945199 2306489.32487)"/>
        <s v="POINT (-1559018.613839 502513.592233)"/>
        <s v="POINT (-1567688.682029 363829.515416)"/>
        <s v="POINT (-1569683.752055 364830.643137)"/>
        <s v="POINT (-1573513.047997 1304444.970816)"/>
        <s v="POINT (-1575769.497466 571006.199677)"/>
        <s v="POINT (-1576739.212498 1270917.862082)"/>
        <s v="POINT (-1582338.769613 565088.474975)"/>
        <s v="POINT (-1585820.468335 300251.232371)"/>
        <s v="POINT (-1587601.879284 354796.390095)"/>
        <s v="POINT (-1594469.363128 1395096.121197)"/>
        <s v="POINT (-1622339.345178 403953.432391)"/>
        <s v="POINT (-1630549.719454 446310.854986)"/>
        <s v="POINT (-1630758.091003 2786663.304208)"/>
        <s v="POINT (-1631285.90298 361586.065832)"/>
        <s v="POINT (-1631857.404031 445446.3491)"/>
        <s v="POINT (-1635997.406389 663858.582234)"/>
        <s v="POINT (-163871.022114 996866.027524)"/>
        <s v="POINT (-1640561.77309 347970.028351)"/>
        <s v="POINT (-1656083.580211 316567.256559)"/>
        <s v="POINT (-1656425.131838 765116.432003)"/>
        <s v="POINT (-165647.534075 847159.458918)"/>
        <s v="POINT (-1658238.214867 2474497.373555)"/>
        <s v="POINT (-1658736.495227 390382.339089)"/>
        <s v="POINT (-1661221.013544 798738.480399)"/>
        <s v="POINT (-1689903.809074 2431501.962822)"/>
        <s v="POINT (-169629.136702 916894.686806)"/>
        <s v="POINT (-1699032.440828 399206.280433)"/>
        <s v="POINT (-1707588.184956 986285.812071)"/>
        <s v="POINT (-1709388.958093 358624.662376)"/>
        <s v="POINT (-1710053.68412 640184.241542)"/>
        <s v="POINT (-1710813.660663 642598.874066)"/>
        <s v="POINT (-1711081.240872 798178.235022)"/>
        <s v="POINT (-171272.901472 1148742.079935)"/>
        <s v="POINT (-171536.001481 839945.313201)"/>
        <s v="POINT (-1718282.282657 2555373.987667)"/>
        <s v="POINT (-1719083.640777 822548.963108)"/>
        <s v="POINT (-172074.386887 942815.386481)"/>
        <s v="POINT (-1727070.517706 2531126.384904)"/>
        <s v="POINT (-173154.22182 994153.581473)"/>
        <s v="POINT (-1736079.852823 338723.060179)"/>
        <s v="POINT (-1738245.180589 338514.623295)"/>
        <s v="POINT (-1762019.1653 2598850.441523)"/>
        <s v="POINT (-1768587.736127 2619744.796857)"/>
        <s v="POINT (-1778419.085235 1667070.272417)"/>
        <s v="POINT (-1778463.342511 1667073.929758)"/>
        <s v="POINT (-1791325.706153 2552225.416776)"/>
        <s v="POINT (-1791970.157813 649447.655739)"/>
        <s v="POINT (-1792258.033205 641311.746482)"/>
        <s v="POINT (-1792885.327268 640952.783603)"/>
        <s v="POINT (-1795609.800428 2531231.343763)"/>
        <s v="POINT (-1795841.906106 914417.887481)"/>
        <s v="POINT (-1797197.144732 2133373.439812)"/>
        <s v="POINT (-1799749.660378 2243427.801957)"/>
        <s v="POINT (-1799910.259505 630540.737629)"/>
        <s v="POINT (-1801606.335983 744680.878026)"/>
        <s v="POINT (-1805098.076975 2394277.663266)"/>
        <s v="POINT (-18081.449873 642302.978539)"/>
        <s v="POINT (-1808351.067521 678569.492617)"/>
        <s v="POINT (-1814344.566584 607442.575123)"/>
        <s v="POINT (-1827160.452382 902760.212936)"/>
        <s v="POINT (-1827196.078991 646233.033786)"/>
        <s v="POINT (-1830083.732181 657696.126504)"/>
        <s v="POINT (-1832381.141579 892926.190999)"/>
        <s v="POINT (-1834440.114094 521632.934992)"/>
        <s v="POINT (-1838152.187521 493106.708404)"/>
        <s v="POINT (-1838603.513658 572235.854741)"/>
        <s v="POINT (-1838876.578 393516.53295)"/>
        <s v="POINT (-1840333.902542 487524.588551)"/>
        <s v="POINT (-1840954.72056 393215.201422)"/>
        <s v="POINT (-1842134.513287 405137.737835)"/>
        <s v="POINT (-1842475.285686 394920.125162)"/>
        <s v="POINT (-1843112.201081 397110.660305)"/>
        <s v="POINT (-1843985.255954 394232.688077)"/>
        <s v="POINT (-1844570.165215 439960.763676)"/>
        <s v="POINT (-1844613.805364 473718.394918)"/>
        <s v="POINT (-1845389.334124 1374350.190305)"/>
        <s v="POINT (-1845906.933794 888174.737976)"/>
        <s v="POINT (-1846272.669596 911081.384414)"/>
        <s v="POINT (-1846870.029505 885775.104318)"/>
        <s v="POINT (-1877973.235267 581516.645698)"/>
        <s v="POINT (-1887776.207113 552666.377734)"/>
        <s v="POINT (-1888658.018149 2309837.906944)"/>
        <s v="POINT (-189350.497944 1118136.473932)"/>
        <s v="POINT (-1903328.885079 856380.163353)"/>
        <s v="POINT (-1908447.167917 568495.189572)"/>
        <s v="POINT (-1911182.610825 1993141.115234)"/>
        <s v="POINT (-1915.72029 998262.872319)"/>
        <s v="POINT (-1916724.646223 525417.993225)"/>
        <s v="POINT (-1926879.726872 2292358.954179)"/>
        <s v="POINT (-1927462.816351 838441.544938)"/>
        <s v="POINT (-1928061.40026 1998480.705612)"/>
        <s v="POINT (-1949475.847651 879625.473926)"/>
        <s v="POINT (-1951755.027576 882711.077415)"/>
        <s v="POINT (-1952152.263249 909463.692416)"/>
        <s v="POINT (-1962883.507958 543211.201976)"/>
        <s v="POINT (-196660.876654 1000445.08636)"/>
        <s v="POINT (-1972272.494237 2417760.061847)"/>
        <s v="POINT (-1976711.97597 2310862.677435)"/>
        <s v="POINT (-1991325.050661 2338287.282357)"/>
        <s v="POINT (-1992723.382724 1814520.579441)"/>
        <s v="POINT (-1996377.481551 876584.155849)"/>
        <s v="POINT (-1998098.244991 2320293.566953)"/>
        <s v="POINT (-1999661.845103 871436.234061)"/>
        <s v="POINT (-2022013.484326 2052749.94086)"/>
        <s v="POINT (-2024602.741239 2296850.690139)"/>
        <s v="POINT (-20250.858387 985621.72875)"/>
        <s v="POINT (-2041994.370713 453810.034514)"/>
        <s v="POINT (-205212.417544 1068877.870843)"/>
        <s v="POINT (-2115183.177381 662138.561883)"/>
        <s v="POINT (-211947.130109 1089308.051471)"/>
        <s v="POINT (-213824.140711 601440.132811)"/>
        <s v="POINT (-218100.622505 1129506.570478)"/>
        <s v="POINT (-220989.283053 1081557.11041)"/>
        <s v="POINT (-221482.318357 1173028.289308)"/>
        <s v="POINT (-223319.410635 1040309.678549)"/>
        <s v="POINT (-225008.191971 1038119.315977)"/>
        <s v="POINT (-225386.00863 843898.561447)"/>
        <s v="POINT (-228006.126565 766768.567303)"/>
        <s v="POINT (-231713.402498 715035.767985)"/>
        <s v="POINT (-233462.445346 1028958.41722)"/>
        <s v="POINT (-234335.855208 1182556.088514)"/>
        <s v="POINT (-236194.520424 703034.241068)"/>
        <s v="POINT (-239743.4089 1005466.898881)"/>
        <s v="POINT (-248457.990435 850241.57572)"/>
        <s v="POINT (-249464.734328 738072.921481)"/>
        <s v="POINT (-252881.923186 750008.730561)"/>
        <s v="POINT (-254432.797509 1206717.641401)"/>
        <s v="POINT (-25681.418665 512924.508859)"/>
        <s v="POINT (-257638.85571 783243.795967)"/>
        <s v="POINT (-259349.084521 1084680.46336)"/>
        <s v="POINT (-262629.414118 944279.218844)"/>
        <s v="POINT (-264099.725797 923742.770702)"/>
        <s v="POINT (-264581.603829 1002074.308151)"/>
        <s v="POINT (-274540.747659 1149125.683215)"/>
        <s v="POINT (-278618.756394 1104231.13952)"/>
        <s v="POINT (-278927.636089 1190864.955655)"/>
        <s v="POINT (-284199.391194 1033127.018685)"/>
        <s v="POINT (-284833.251195 817403.733494)"/>
        <s v="POINT (-287502.449588 1105695.594914)"/>
        <s v="POINT (-289717.767167 811397.693997)"/>
        <s v="POINT (-293710.659 994527.173781)"/>
        <s v="POINT (-296167.188809 976202.710555)"/>
        <s v="POINT (-300108.078875 965321.653537)"/>
        <s v="POINT (-30123.161018 508997.119878)"/>
        <s v="POINT (-302026.705976 986730.074283)"/>
        <s v="POINT (-310737.636166 859887.465263)"/>
        <s v="POINT (-315175.830891 1192525.495411)"/>
        <s v="POINT (-316534.430475 972388.448985)"/>
        <s v="POINT (-317321.580653 845142.06046)"/>
        <s v="POINT (-317456.945807 996844.073009)"/>
        <s v="POINT (-319442.140227 853390.179234)"/>
        <s v="POINT (-321991.254629 962016.779614)"/>
        <s v="POINT (-323001.6129 930138.414799)"/>
        <s v="POINT (-324383.634589 954925.196991)"/>
        <s v="POINT (-326212.327335 1156247.104567)"/>
        <s v="POINT (-331771.017994 925149.370935)"/>
        <s v="POINT (-333964.712853 962414.017206)"/>
        <s v="POINT (-33548.771045 818999.63296)"/>
        <s v="POINT (-336409.790666 951604.592453)"/>
        <s v="POINT (-337893.914177 1078456.559065)"/>
        <s v="POINT (-338140.389239 901097.489503)"/>
        <s v="POINT (-344239.085507 916878.359246)"/>
        <s v="POINT (-350129.679666 951906.46013)"/>
        <s v="POINT (-351044.37962 922940.834542)"/>
        <s v="POINT (-351417.046187 858551.035557)"/>
        <s v="POINT (-354966.573865 1003021.300874)"/>
        <s v="POINT (-35693.937177 334398.522708)"/>
        <s v="POINT (-362875.477774 1088294.869883)"/>
        <s v="POINT (-365802.652052 1111911.238777)"/>
        <s v="POINT (-369664.48232 978555.793186)"/>
        <s v="POINT (-369818.759692 1479130.552766)"/>
        <s v="POINT (-373969.926115 957636.290089)"/>
        <s v="POINT (-374858.655405 1533615.88561)"/>
        <s v="POINT (-376155.394321 942990.59632)"/>
        <s v="POINT (-376682.114429 1013718.306042)"/>
        <s v="POINT (-377740.125244 998968.85946)"/>
        <s v="POINT (-379839.836741 1199537.440086)"/>
        <s v="POINT (-381597.019205 817334.374816)"/>
        <s v="POINT (-387069.832986 909167.772097)"/>
        <s v="POINT (-387226.828615 881878.004988)"/>
        <s v="POINT (-393034.17987 960495.396968)"/>
        <s v="POINT (-393078.588496 1097287.340618)"/>
        <s v="POINT (-395578.813936 860224.77261)"/>
        <s v="POINT (-397469.95098 1027819.860288)"/>
        <s v="POINT (-397655.877354 1019528.522033)"/>
        <s v="POINT (-406678.024827 1229153.873446)"/>
        <s v="POINT (-413323.639091 875404.666575)"/>
        <s v="POINT (-415950.598388 1319588.798676)"/>
        <s v="POINT (-417745.179882 1170876.282115)"/>
        <s v="POINT (-425159.781943 1206326.763886)"/>
        <s v="POINT (-425225.077694 1271169.666698)"/>
        <s v="POINT (-425815.543984 1630000.806573)"/>
        <s v="POINT (-42662.004927 914377.42544)"/>
        <s v="POINT (-429360.922274 715098.043452)"/>
        <s v="POINT (-429436.9638 715619.061369)"/>
        <s v="POINT (-430634.484315 1253808.024485)"/>
        <s v="POINT (-431565.013082 731635.173769)"/>
        <s v="POINT (-435868.706445 1547452.587474)"/>
        <s v="POINT (-436918.021108 1626914.634792)"/>
        <s v="POINT (-437750.717455 1357685.61514)"/>
        <s v="POINT (-439431.191977 1042995.668513)"/>
        <s v="POINT (-439696.449764 633843.57099)"/>
        <s v="POINT (-440566.603818 796717.614133)"/>
        <s v="POINT (-445587.061504 1572025.191238)"/>
        <s v="POINT (-446780.613795 1454354.216791)"/>
        <s v="POINT (-449371.617058 750265.7672)"/>
        <s v="POINT (-450002.802609 1262703.870172)"/>
        <s v="POINT (-451053.92461 745647.092646)"/>
        <s v="POINT (-457721.989363 1315067.751153)"/>
        <s v="POINT (-459001.712487 737242.469596)"/>
        <s v="POINT (-460036.61032 1572332.560818)"/>
        <s v="POINT (-460591.868389 1376926.575263)"/>
        <s v="POINT (-468762.791777 795867.495304)"/>
        <s v="POINT (-473395.775849 774978.144248)"/>
        <s v="POINT (-477410.854339 837998.037467)"/>
        <s v="POINT (-482774.881502 741804.29927)"/>
        <s v="POINT (-483403.413401 811863.636216)"/>
        <s v="POINT (-485177.028909 836671.189793)"/>
        <s v="POINT (-488042.651163 1497902.187877)"/>
        <s v="POINT (-488465.210961 1097858.703833)"/>
        <s v="POINT (-491372.044041 791195.139063)"/>
        <s v="POINT (-492150.620309 870874.726434)"/>
        <s v="POINT (-493355.895057 1103499.824727)"/>
        <s v="POINT (-496128.010323 1481730.889998)"/>
        <s v="POINT (-496971.924084 679074.668687)"/>
        <s v="POINT (-501823.590662 1262836.458356)"/>
        <s v="POINT (-512377.587457 848258.703451)"/>
        <s v="POINT (-517985.75837 747378.880792)"/>
        <s v="POINT (-520717.251662 688130.976973)"/>
        <s v="POINT (-542238.105182 1350750.554842)"/>
        <s v="POINT (-542567.03791 1540535.927401)"/>
        <s v="POINT (-557454.150056 978335.018428)"/>
        <s v="POINT (-561024.061156 1385836.08359)"/>
        <s v="POINT (-562587.211045 837238.869383)"/>
        <s v="POINT (-563892.65965 1567171.4469)"/>
        <s v="POINT (-56514.428703 971821.410108)"/>
        <s v="POINT (-566131.17909 1210344.884846)"/>
        <s v="POINT (-568620.701459 713781.215016)"/>
        <s v="POINT (-572276.272974 1432311.247994)"/>
        <s v="POINT (-573347.110586 1427054.519582)"/>
        <s v="POINT (-573654.336671 1369622.111032)"/>
        <s v="POINT (-577489.199582 746020.862682)"/>
        <s v="POINT (-582347.020233 688972.829605)"/>
        <s v="POINT (-583566.94739 1725556.149797)"/>
        <s v="POINT (-584571.656774 935136.713949)"/>
        <s v="POINT (-58705.536146 803844.044985)"/>
        <s v="POINT (-587992.023753 1403071.060339)"/>
        <s v="POINT (-588423.808734 1483641.076213)"/>
        <s v="POINT (-588550.401915 776437.230849)"/>
        <s v="POINT (-588793.330504 957746.752844)"/>
        <s v="POINT (-597561.654148 825797.426603)"/>
        <s v="POINT (-603236.891428 713994.026943)"/>
        <s v="POINT (-605441.162736 772773.069816)"/>
        <s v="POINT (-609842.758658 1549169.551621)"/>
        <s v="POINT (-614503.603472 661746.025443)"/>
        <s v="POINT (-616366.28259 790221.103595)"/>
        <s v="POINT (-620802.427974 754683.170468)"/>
        <s v="POINT (-630546.165459 805067.136755)"/>
        <s v="POINT (-632255.365854 787084.44568)"/>
        <s v="POINT (-650174.137774 795854.370022)"/>
        <s v="POINT (-652191.663372 834663.877225)"/>
        <s v="POINT (-654658.541388 923808.883607)"/>
        <s v="POINT (-658573.907047 884383.67123)"/>
        <s v="POINT (-658816.488601 798664.646407)"/>
        <s v="POINT (-659430.533967 1093540.491892)"/>
        <s v="POINT (-664628.360001 717199.598876)"/>
        <s v="POINT (-665549.011996 1600515.63957)"/>
        <s v="POINT (-665667.727228 1600367.841833)"/>
        <s v="POINT (-686733.217157 766474.918607)"/>
        <s v="POINT (-705125.979735 786380.58654)"/>
        <s v="POINT (-707876.807109 796772.805852)"/>
        <s v="POINT (-710632.700551 1699003.025985)"/>
        <s v="POINT (-712325.912788 1621999.893149)"/>
        <s v="POINT (-717700.471121 1331437.973261)"/>
        <s v="POINT (-725566.73472 1635931.175446)"/>
        <s v="POINT (-727822.43365 1486529.83267)"/>
        <s v="POINT (-728382.344616 1663529.438621)"/>
        <s v="POINT (-73569.657265 1016193.981657)"/>
        <s v="POINT (-742538.210986 1722030.885458)"/>
        <s v="POINT (-772392.084078 1406582.146897)"/>
        <s v="POINT (-772662.175163 1405441.986235)"/>
        <s v="POINT (-775494.738933 1901460.21049)"/>
        <s v="POINT (-787012.05453 1375899.391067)"/>
        <s v="POINT (-789170.788519 1685162.62912)"/>
        <s v="POINT (-790175.438628 1702208.38188)"/>
        <s v="POINT (-793164.3679 1412085.129678)"/>
        <s v="POINT (-796177.189052 970513.846972)"/>
        <s v="POINT (-806399.00883 1344182.943651)"/>
        <s v="POINT (-808727.253603 1339831.233852)"/>
        <s v="POINT (-811466.511451 777230.518705)"/>
        <s v="POINT (-815424.550625 1359437.862154)"/>
        <s v="POINT (-830126.752289 1956736.390674)"/>
        <s v="POINT (-834790.977871 1820572.229691)"/>
        <s v="POINT (-846391.912444 774173.646561)"/>
        <s v="POINT (-846529.508029 1042806.9343)"/>
        <s v="POINT (-850062.610256 1969698.594735)"/>
        <s v="POINT (-858662.545713 1661276.583539)"/>
        <s v="POINT (-868545.337324 1971144.953473)"/>
        <s v="POINT (-870422.876401 1577762.19888)"/>
        <s v="POINT (-873937.476334 1677459.043028)"/>
        <s v="POINT (-881677.446214 1522659.623651)"/>
        <s v="POINT (-908806.194544 1447136.234695)"/>
        <s v="POINT (-920123.892682 894098.645139)"/>
        <s v="POINT (-921519.249959 903919.00468)"/>
        <s v="POINT (-931230.206769 1871472.817582)"/>
        <s v="POINT (-944145.970978 1621764.625758)"/>
        <s v="POINT (-950077.163951 1856355.545452)"/>
        <s v="POINT (-950299.125442 1398505.752929)"/>
        <s v="POINT (-951173.869533 1400877.786091)"/>
        <s v="POINT (-952368.582301 1351421.313583)"/>
        <s v="POINT (-953385.950998 857089.639223)"/>
        <s v="POINT (-954753.880834 2063311.260887)"/>
        <s v="POINT (-956465.758417 886439.765128)"/>
        <s v="POINT (-958105.809475 1379920.759628)"/>
        <s v="POINT (-960947.27942 1379952.522507)"/>
        <s v="POINT (-972092.018831 1974805.626338)"/>
        <s v="POINT (-974655.491581 1368431.451881)"/>
        <s v="POINT (-980841.156726 1846735.603856)"/>
        <s v="POINT (-983896.510651 2093155.836077)"/>
        <s v="POINT (-986795.978259 1231645.260698)"/>
        <s v="POINT (-988788.79664 1351073.929258)"/>
        <s v="POINT (-989425.646332 1387993.00435)"/>
        <s v="POINT (1069917.690902 641119.271531)"/>
        <s v="POINT (1075032.445278 -68951.925792)"/>
        <s v="POINT (108785.591879 20754.536666)"/>
        <s v="POINT (1089940.082528 668501.619667)"/>
        <s v="POINT (1091273.980348 662119.194366)"/>
        <s v="POINT (1103923.487805 809724.120134)"/>
        <s v="POINT (1105018.40923 531888.923808)"/>
        <s v="POINT (1109685.682819 350143.5011)"/>
        <s v="POINT (1112321.308202 194806.220497)"/>
        <s v="POINT (1115238.044972 399623.452753)"/>
        <s v="POINT (111558.015956 811035.493817)"/>
        <s v="POINT (1117911.156428 568111.147255)"/>
        <s v="POINT (112002.719083 850133.5426)"/>
        <s v="POINT (1121593.182426 260584.223698)"/>
        <s v="POINT (1122767.101183 406099.965117)"/>
        <s v="POINT (1125829.392496 633348.814134)"/>
        <s v="POINT (1130921.468694 692374.051573)"/>
        <s v="POINT (1131398.898817 437532.092854)"/>
        <s v="POINT (1132381.546646 260686.668022)"/>
        <s v="POINT (1134088.961135 410638.546618)"/>
        <s v="POINT (1134867.332865 757516.389755)"/>
        <s v="POINT (1138672.434902 -124781.371157)"/>
        <s v="POINT (113971.246835 515619.292884)"/>
        <s v="POINT (1145460.525705 323682.726309)"/>
        <s v="POINT (1148061.283845 291411.957109)"/>
        <s v="POINT (1154994.497942 802886.563599)"/>
        <s v="POINT (1157408.715266 664422.753779)"/>
        <s v="POINT (1165767.085498 575576.444277)"/>
        <s v="POINT (1172956.454713 673285.187501)"/>
        <s v="POINT (1178018.430562 325616.579752)"/>
        <s v="POINT (1178919.251255 372978.419888)"/>
        <s v="POINT (1179243.02444 434563.816867)"/>
        <s v="POINT (1184203.912095 672202.169099)"/>
        <s v="POINT (1188269.90729 -178536.716073)"/>
        <s v="POINT (1192726.534136 463507.849381)"/>
        <s v="POINT (119335.897404 864387.725821)"/>
        <s v="POINT (1200288.020228 534360.885888)"/>
        <s v="POINT (1201286.775829 738066.447536)"/>
        <s v="POINT (1202032.138941 897355.10136)"/>
        <s v="POINT (1202902.049792 604668.477235)"/>
        <s v="POINT (1202954.129645 503495.098045)"/>
        <s v="POINT (1207900.472858 704083.505562)"/>
        <s v="POINT (1211482.27366 427583.121134)"/>
        <s v="POINT (1221147.749819 523959.996917)"/>
        <s v="POINT (1221444.032167 470857.94085)"/>
        <s v="POINT (1224807.1177 744028.17568)"/>
        <s v="POINT (1225212.529455 725961.06857)"/>
        <s v="POINT (1229980.993445 855263.084983)"/>
        <s v="POINT (1236295.777249 530352.998076)"/>
        <s v="POINT (1237779.468989 418697.856801)"/>
        <s v="POINT (1239428.396922 450928.493901)"/>
        <s v="POINT (124051.795205 895852.43557)"/>
        <s v="POINT (1243123.294771 404283.71963)"/>
        <s v="POINT (1243305.364369 466988.830312)"/>
        <s v="POINT (1243773.950983 569760.056016)"/>
        <s v="POINT (1248356.093821 526318.329246)"/>
        <s v="POINT (1258504.709292 550021.218642)"/>
        <s v="POINT (1258675.158515 745849.138637)"/>
        <s v="POINT (1260123.666441 413451.595393)"/>
        <s v="POINT (1261020.282105 533081.369076)"/>
        <s v="POINT (1262360.600623 539177.827407)"/>
        <s v="POINT (1265253.98301 447779.398107)"/>
        <s v="POINT (1268781.91111 547233.370502)"/>
        <s v="POINT (1287902.689439 29011.347739)"/>
        <s v="POINT (128801.713782 841681.692831)"/>
        <s v="POINT (130258.303159 76671.811311)"/>
        <s v="POINT (1315065.280884 594105.930464)"/>
        <s v="POINT (1324804.900801 541506.144541)"/>
        <s v="POINT (1327901.251762 544494.687277)"/>
        <s v="POINT (133526.285197 551689.485289)"/>
        <s v="POINT (135150.188764 362339.909352)"/>
        <s v="POINT (1356368.633759 734663.988104)"/>
        <s v="POINT (1382778.645945 -51734.339227)"/>
        <s v="POINT (1383779.927676 -50410.847211)"/>
        <s v="POINT (1397924.901907 732506.851118)"/>
        <s v="POINT (1398849.360917 834404.248793)"/>
        <s v="POINT (1399953.368188 767380.1554)"/>
        <s v="POINT (1401421.279308 474194.586985)"/>
        <s v="POINT (1401655.25195 784043.270515)"/>
        <s v="POINT (1404458.784016 1058088.949263)"/>
        <s v="POINT (1417877.516512 731548.88136)"/>
        <s v="POINT (1422647.66207 817646.570718)"/>
        <s v="POINT (1430472.127161 458015.978672)"/>
        <s v="POINT (1432378.174124 463042.496224)"/>
        <s v="POINT (144005.865869 761902.780769)"/>
        <s v="POINT (1446302.443686 801769.146152)"/>
        <s v="POINT (145042.227513 560909.779995)"/>
        <s v="POINT (1450568.102726 951815.589971)"/>
        <s v="POINT (1453620.155373 769903.692322)"/>
        <s v="POINT (1457793.418855 872235.912727)"/>
        <s v="POINT (1460843.299161 805244.692567)"/>
        <s v="POINT (1477108.285191 724765.084054)"/>
        <s v="POINT (1480868.627316 924493.870115)"/>
        <s v="POINT (1491293.262437 755991.151714)"/>
        <s v="POINT (1491809.29007 -117568.786469)"/>
        <s v="POINT (1500571.525817 1218836.953111)"/>
        <s v="POINT (1500587.115342 1002914.81016)"/>
        <s v="POINT (1503420.715502 738482.809449)"/>
        <s v="POINT (1506192.118958 860853.816744)"/>
        <s v="POINT (151186.32614 355818.239558)"/>
        <s v="POINT (151313.844193 518768.083124)"/>
        <s v="POINT (1516132.816689 777097.499264)"/>
        <s v="POINT (1523547.311107 826884.974239)"/>
        <s v="POINT (1523838.474124 1101467.645202)"/>
        <s v="POINT (1525222.417254 1350865.903987)"/>
        <s v="POINT (1525865.393817 753818.315686)"/>
        <s v="POINT (1534278.449063 771140.053235)"/>
        <s v="POINT (1535714.731374 750905.604592)"/>
        <s v="POINT (1537402.815704 761889.916812)"/>
        <s v="POINT (1544282.438939 912965.853385)"/>
        <s v="POINT (1554536.686521 797748.772734)"/>
        <s v="POINT (1557955.339578 1338137.644183)"/>
        <s v="POINT (1564227.146566 844845.553726)"/>
        <s v="POINT (1565553.013025 885498.2112)"/>
        <s v="POINT (1567554.818429 811508.932254)"/>
        <s v="POINT (157348.568517 816815.190981)"/>
        <s v="POINT (1576346.547802 778777.274092)"/>
        <s v="POINT (1577633.952916 805895.851486)"/>
        <s v="POINT (1579460.756024 762112.433587)"/>
        <s v="POINT (1585379.870213 1154980.238661)"/>
        <s v="POINT (1587152.077883 807771.670679)"/>
        <s v="POINT (1592900.990883 720760.723276)"/>
        <s v="POINT (1604090.507869 1036418.082568)"/>
        <s v="POINT (1609952.302434 828222.166624)"/>
        <s v="POINT (1617000.079545 818593.804069)"/>
        <s v="POINT (1628477.730715 1062995.709435)"/>
        <s v="POINT (1636054.236538 1242716.133734)"/>
        <s v="POINT (163708.577091 855819.937109)"/>
        <s v="POINT (164577.961804 762172.869201)"/>
        <s v="POINT (164999.091178 318792.413464)"/>
        <s v="POINT (1656399.451585 762996.405645)"/>
        <s v="POINT (1656598.055074 771138.301115)"/>
        <s v="POINT (1659415.324921 41398.918967)"/>
        <s v="POINT (1660193.812584 796730.945762)"/>
        <s v="POINT (1660721.661039 701245.647342)"/>
        <s v="POINT (1660970.006808 552007.833037)"/>
        <s v="POINT (1661454.470658 45650.715811)"/>
        <s v="POINT (1662216.666714 43695.577993)"/>
        <s v="POINT (1662478.273112 813575.110849)"/>
        <s v="POINT (1662782.528544 42194.228074)"/>
        <s v="POINT (1675.729175 855648.675947)"/>
        <s v="POINT (1679350.766101 643667.580548)"/>
        <s v="POINT (1681073.267687 796564.154842)"/>
        <s v="POINT (168154.345042 675122.201647)"/>
        <s v="POINT (168272.126205 298917.679741)"/>
        <s v="POINT (1695352.385666 826809.142235)"/>
        <s v="POINT (1698409.391757 826004.308273)"/>
        <s v="POINT (169900.492132 139392.703106)"/>
        <s v="POINT (1712733.132239 854264.599106)"/>
        <s v="POINT (1713418.349567 697840.295939)"/>
        <s v="POINT (1728193.045873 662141.854611)"/>
        <s v="POINT (1745290.132994 1132932.601034)"/>
        <s v="POINT (1759575.526845 815193.92225)"/>
        <s v="POINT (1774716.79383 832590.173868)"/>
        <s v="POINT (1785073.489603 998864.226154)"/>
        <s v="POINT (1845346.709977 928132.285584)"/>
        <s v="POINT (1854896.326263 824635.262568)"/>
        <s v="POINT (186602.257673 653212.369338)"/>
        <s v="POINT (1876692.726094 810273.86715)"/>
        <s v="POINT (189626.647712 836381.523084)"/>
        <s v="POINT (1898328.347917 813869.883558)"/>
        <s v="POINT (192227.49714 813800.983102)"/>
        <s v="POINT (192831.041658 317658.857246)"/>
        <s v="POINT (193661.675601 295582.026413)"/>
        <s v="POINT (19416.405853 371948.677317)"/>
        <s v="POINT (195257.959264 563534.680176)"/>
        <s v="POINT (195630.892356 602800.893655)"/>
        <s v="POINT (199481.253557 638014.872912)"/>
        <s v="POINT (2006204.432677 719868.696517)"/>
        <s v="POINT (20346.846226 985681.981433)"/>
        <s v="POINT (204965.139199 853887.547857)"/>
        <s v="POINT (2057260.955287 789190.848594)"/>
        <s v="POINT (2068834.395909 819004.359422)"/>
        <s v="POINT (2097386.269734 876379.150692)"/>
        <s v="POINT (209762.777168 793780.877003)"/>
        <s v="POINT (2142796.737969 92145.816032)"/>
        <s v="POINT (214695.412162 450820.599552)"/>
        <s v="POINT (215379.741395 606212.15774)"/>
        <s v="POINT (215702.620051 590872.782724)"/>
        <s v="POINT (216168.239523 465676.330979)"/>
        <s v="POINT (2185460.473241 744059.158929)"/>
        <s v="POINT (219473.474343 513813.928414)"/>
        <s v="POINT (221144.882166 -69229.492368)"/>
        <s v="POINT (221633.73935 333381.98028)"/>
        <s v="POINT (222413.30064 468189.840898)"/>
        <s v="POINT (223231.858188 780743.797674)"/>
        <s v="POINT (22487.59265 371732.752682)"/>
        <s v="POINT (224885.156944 801847.155898)"/>
        <s v="POINT (226182.500867 522318.335507)"/>
        <s v="POINT (2269320.696608 941907.654421)"/>
        <s v="POINT (226978.547518 820666.87185)"/>
        <s v="POINT (2285905.478194 1236286.455816)"/>
        <s v="POINT (228697.082747 491849.852096)"/>
        <s v="POINT (228784.680312 775517.941225)"/>
        <s v="POINT (229034.085436 32027.324948)"/>
        <s v="POINT (2294914.340286 1016892.335526)"/>
        <s v="POINT (2302131.964595 60598.539594)"/>
        <s v="POINT (230713.224015 -78015.688195)"/>
        <s v="POINT (2307646.062047 1007102.211033)"/>
        <s v="POINT (230980.519351 520410.774522)"/>
        <s v="POINT (231158.807539 612033.419888)"/>
        <s v="POINT (241467.223875 306721.635787)"/>
        <s v="POINT (242600.600692 276621.160106)"/>
        <s v="POINT (2485167.868106 184970.695114)"/>
        <s v="POINT (248798.384754 466795.375218)"/>
        <s v="POINT (249832.693842 -59192.324532)"/>
        <s v="POINT (252092.311764 454074.181622)"/>
        <s v="POINT (256346.972833 263979.511547)"/>
        <s v="POINT (261115.892086 113489.865743)"/>
        <s v="POINT (262834.7529 315246.317014)"/>
        <s v="POINT (263023.623353 370160.378886)"/>
        <s v="POINT (264734.8928 772070.722492)"/>
        <s v="POINT (265018.530477 -43407.693993)"/>
        <s v="POINT (267023.617137 391464.660161)"/>
        <s v="POINT (267806.177188 872553.529267)"/>
        <s v="POINT (274338.864931 -23172.175296)"/>
        <s v="POINT (274685.526149 -72561.489161)"/>
        <s v="POINT (281943.302234 419565.161978)"/>
        <s v="POINT (284521.277321 18586.094549)"/>
        <s v="POINT (292675.353616 622730.620581)"/>
        <s v="POINT (294198.55843 -2573.291966)"/>
        <s v="POINT (295823.9356 198935.118997)"/>
        <s v="POINT (297145.989371 496989.32057)"/>
        <s v="POINT (297172.23926 323259.763187)"/>
        <s v="POINT (298969.790302 470826.259275)"/>
        <s v="POINT (303326.452097 569313.642712)"/>
        <s v="POINT (304146.631565 297642.013372)"/>
        <s v="POINT (304240.417872 186413.553351)"/>
        <s v="POINT (304243.916975 571127.163784)"/>
        <s v="POINT (315055.257183 598760.319313)"/>
        <s v="POINT (318075.935852 226392.544284)"/>
        <s v="POINT (320854.999074 229273.127462)"/>
        <s v="POINT (324857.627919 197676.974956)"/>
        <s v="POINT (326016.436783 229273.857489)"/>
        <s v="POINT (326632.094528 252835.699657)"/>
        <s v="POINT (326810.647757 591799.105687)"/>
        <s v="POINT (327842.877386 58384.001809)"/>
        <s v="POINT (333241.099981 709768.530869)"/>
        <s v="POINT (340288.426146 130303.718908)"/>
        <s v="POINT (341474.425392 248825.051709)"/>
        <s v="POINT (341751.900308 435367.304554)"/>
        <s v="POINT (342354.617747 283490.229385)"/>
        <s v="POINT (344524.357886 257477.13625)"/>
        <s v="POINT (344682.236287 122190.944469)"/>
        <s v="POINT (345218.010821 202345.927171)"/>
        <s v="POINT (348357.84806 138184.202204)"/>
        <s v="POINT (348458.302978 135492.283156)"/>
        <s v="POINT (349408.939796 706817.956464)"/>
        <s v="POINT (34957.109353 409355.683987)"/>
        <s v="POINT (350026.79199 709864.008521)"/>
        <s v="POINT (352944.307753 83599.757714)"/>
        <s v="POINT (353469.748694 232412.699556)"/>
        <s v="POINT (354740.888763 695621.317733)"/>
        <s v="POINT (356624.04934 399667.962392)"/>
        <s v="POINT (362508.89363 98236.237481)"/>
        <s v="POINT (363278.455638 146382.128151)"/>
        <s v="POINT (363751.536004 278523.057943)"/>
        <s v="POINT (36411.429875 976485.491042)"/>
        <s v="POINT (364150.019758 -65572.404688)"/>
        <s v="POINT (364470.938377 255630.2404)"/>
        <s v="POINT (369827.164862 797197.424845)"/>
        <s v="POINT (370293.168943 297576.234657)"/>
        <s v="POINT (371044.12278 376030.681943)"/>
        <s v="POINT (372167.860985 357738.171849)"/>
        <s v="POINT (377989.375693 408940.19122)"/>
        <s v="POINT (38184.356318 797413.32962)"/>
        <s v="POINT (382355.350061 438323.929025)"/>
        <s v="POINT (382780.214518 606184.657087)"/>
        <s v="POINT (386771.823051 293385.212681)"/>
        <s v="POINT (388069.135669 203468.40243)"/>
        <s v="POINT (392826.587909 377290.833562)"/>
        <s v="POINT (394935.174526 524409.081626)"/>
        <s v="POINT (39522.682907 845394.896711)"/>
        <s v="POINT (396229.017309 575043.774242)"/>
        <s v="POINT (405018.289064 744329.688599)"/>
        <s v="POINT (405059.877095 374807.37741)"/>
        <s v="POINT (407502.662256 653589.699966)"/>
        <s v="POINT (410615.874698 754904.217491)"/>
        <s v="POINT (410686.352995 659034.323197)"/>
        <s v="POINT (411835.890421 533042.947064)"/>
        <s v="POINT (413175.120141 781872.075118)"/>
        <s v="POINT (41545.728126 813724.890739)"/>
        <s v="POINT (417105.993148 778017.8537)"/>
        <s v="POINT (420051.727198 511528.176501)"/>
        <s v="POINT (422159.318986 741524.32186)"/>
        <s v="POINT (423407.666708 352042.947981)"/>
        <s v="POINT (424264.841834 323917.755512)"/>
        <s v="POINT (427204.538983 250254.437148)"/>
        <s v="POINT (431113.708244 308790.391092)"/>
        <s v="POINT (437444.74757 258903.993028)"/>
        <s v="POINT (438101.663593 779062.159888)"/>
        <s v="POINT (439288.163481 86384.713613)"/>
        <s v="POINT (440838.987689 283310.110432)"/>
        <s v="POINT (449956.237074 88549.475848)"/>
        <s v="POINT (452152.871085 763849.657009)"/>
        <s v="POINT (453938.305787 700964.183308)"/>
        <s v="POINT (457480.160067 162033.729028)"/>
        <s v="POINT (459883.490549 700750.031824)"/>
        <s v="POINT (461078.737065 722683.473315)"/>
        <s v="POINT (462430.044222 273581.623898)"/>
        <s v="POINT (47032.669992 969907.884285)"/>
        <s v="POINT (470489.228817 280377.141814)"/>
        <s v="POINT (481439.892916 303218.76462)"/>
        <s v="POINT (483635.00529 392096.831037)"/>
        <s v="POINT (491897.135746 715002.39394)"/>
        <s v="POINT (491965.814863 301333.559136)"/>
        <s v="POINT (492171.371142 719095.922051)"/>
        <s v="POINT (494632.494902 152659.576672)"/>
        <s v="POINT (49473.261099 815512.171179)"/>
        <s v="POINT (495226.905154 670612.738864)"/>
        <s v="POINT (496914.804182 239947.320689)"/>
        <s v="POINT (497002.62592 396757.755894)"/>
        <s v="POINT (497146.846257 266989.027513)"/>
        <s v="POINT (497255.785076 354919.965532)"/>
        <s v="POINT (498603.709775 272175.498731)"/>
        <s v="POINT (505863.781261 254071.419152)"/>
        <s v="POINT (506487.52628 231426.90221)"/>
        <s v="POINT (508292.344515 175932.945777)"/>
        <s v="POINT (522384.511464 155505.728307)"/>
        <s v="POINT (524185.256179 292276.209036)"/>
        <s v="POINT (531849.158663 292537.248205)"/>
        <s v="POINT (533360.80915 185681.891233)"/>
        <s v="POINT (533382.055743 146243.31457)"/>
        <s v="POINT (533811.424998 190850.939676)"/>
        <s v="POINT (548042.287923 166257.650624)"/>
        <s v="POINT (55290.332042 946031.515455)"/>
        <s v="POINT (561154.965409 456650.67978)"/>
        <s v="POINT (577328.33098 694321.823705)"/>
        <s v="POINT (578206.902204 689780.167779)"/>
        <s v="POINT (579196.000254 173097.088927)"/>
        <s v="POINT (581552.19968 672191.800783)"/>
        <s v="POINT (586287.450228 446920.820281)"/>
        <s v="POINT (588088.906213 439083.756426)"/>
        <s v="POINT (589378.989627 224747.951052)"/>
        <s v="POINT (596040.962195 206346.919093)"/>
        <s v="POINT (596792.429111 200420.118871)"/>
        <s v="POINT (603708.042911 171406.060799)"/>
        <s v="POINT (606028.69019 206624.96629)"/>
        <s v="POINT (608489.107986 367012.647874)"/>
        <s v="POINT (630009.813381 160508.155227)"/>
        <s v="POINT (634745.874119 169755.856751)"/>
        <s v="POINT (664636.336495 128184.547289)"/>
        <s v="POINT (668448.806688 119483.370613)"/>
        <s v="POINT (697116.68428 124464.23969)"/>
        <s v="POINT (697827.865226 31020.372571)"/>
        <s v="POINT (71970.700413 828300.334559)"/>
        <s v="POINT (725983.75775 3687.692039)"/>
        <s v="POINT (728297.158008 287537.969291)"/>
        <s v="POINT (73916.234055 1038120.187884)"/>
        <s v="POINT (74031.895123 881697.436262)"/>
        <s v="POINT (74489.701075 1037891.024576)"/>
        <s v="POINT (762888.215896 469100.05562)"/>
        <s v="POINT (776255.921119 405687.015315)"/>
        <s v="POINT (789667.021517 -127425.003323)"/>
        <s v="POINT (823012.301537 1755.262438)"/>
        <s v="POINT (82365.744658 886493.454527)"/>
        <s v="POINT (848120.272189 482082.864438)"/>
        <s v="POINT (854436.867247 447147.810639)"/>
        <s v="POINT (88848.949751 894285.538257)"/>
        <s v="POINT (90715.591514 832237.772557)"/>
        <s v="POINT (916142.618554 416245.944437)"/>
        <s v="POINT (992268.022477 -31622.512585)"/>
        <m/>
      </sharedItems>
    </cacheField>
    <cacheField name="fire_year" numFmtId="0">
      <sharedItems containsString="0" containsBlank="1" containsNumber="1" containsInteger="1" minValue="2020" maxValue="2026" count="5">
        <n v="2020"/>
        <n v="2023"/>
        <n v="2025"/>
        <n v="2026"/>
        <m/>
      </sharedItems>
    </cacheField>
    <cacheField name="status_year" numFmtId="0">
      <sharedItems containsString="0" containsBlank="1" containsNumber="1" containsInteger="1" minValue="2020" maxValue="2026" count="4">
        <n v="2020"/>
        <n v="2023"/>
        <n v="2026"/>
        <m/>
      </sharedItems>
    </cacheField>
    <cacheField name="record_start" numFmtId="0">
      <sharedItems containsNonDate="0" containsDate="1" containsString="0" containsBlank="1" minDate="2026-03-19T03:45:00" maxDate="2026-07-21T16:45:00" count="289">
        <d v="2026-03-19T03:45:00"/>
        <d v="2026-03-26T23:45:00"/>
        <d v="2026-04-07T15:45:00"/>
        <d v="2026-04-09T22:45:00"/>
        <d v="2026-04-28T15:45:00"/>
        <d v="2026-05-27T19:45:00"/>
        <d v="2026-05-28T18:45:00"/>
        <d v="2026-06-02T14:45:00"/>
        <d v="2026-06-08T18:45:00"/>
        <d v="2026-06-09T19:45:00"/>
        <d v="2026-06-10T14:45:00"/>
        <d v="2026-06-10T17:45:00"/>
        <d v="2026-06-12T03:45:00"/>
        <d v="2026-06-15T23:45:00"/>
        <d v="2026-06-16T18:45:00"/>
        <d v="2026-06-17T13:45:00"/>
        <d v="2026-06-18T19:45:00"/>
        <d v="2026-06-19T19:45:00"/>
        <d v="2026-06-20T22:45:00"/>
        <d v="2026-06-21T15:45:00"/>
        <d v="2026-06-22T01:45:00"/>
        <d v="2026-06-22T13:45:00"/>
        <d v="2026-06-22T17:45:00"/>
        <d v="2026-06-22T18:45:00"/>
        <d v="2026-06-22T20:45:00"/>
        <d v="2026-06-23T18:45:00"/>
        <d v="2026-06-23T21:45:00"/>
        <d v="2026-06-23T22:45:00"/>
        <d v="2026-06-24T00:45:00"/>
        <d v="2026-06-24T01:45:00"/>
        <d v="2026-06-24T14:45:00"/>
        <d v="2026-06-24T16:45:00"/>
        <d v="2026-06-24T17:45:00"/>
        <d v="2026-06-24T18:45:00"/>
        <d v="2026-06-24T20:45:00"/>
        <d v="2026-06-24T21:45:00"/>
        <d v="2026-06-24T23:45:00"/>
        <d v="2026-06-25T01:45:00"/>
        <d v="2026-06-25T12:45:00"/>
        <d v="2026-06-25T16:45:00"/>
        <d v="2026-06-25T20:45:00"/>
        <d v="2026-06-25T21:45:00"/>
        <d v="2026-06-26T02:45:00"/>
        <d v="2026-06-26T12:45:00"/>
        <d v="2026-06-26T13:45:00"/>
        <d v="2026-06-26T17:45:00"/>
        <d v="2026-06-26T19:45:00"/>
        <d v="2026-06-26T21:45:00"/>
        <d v="2026-06-26T22:45:00"/>
        <d v="2026-06-27T02:45:00"/>
        <d v="2026-06-27T12:45:00"/>
        <d v="2026-06-27T14:45:00"/>
        <d v="2026-06-27T15:45:00"/>
        <d v="2026-06-27T16:45:00"/>
        <d v="2026-06-27T17:45:00"/>
        <d v="2026-06-27T19:45:00"/>
        <d v="2026-06-27T20:45:00"/>
        <d v="2026-06-27T21:45:00"/>
        <d v="2026-06-27T22:45:00"/>
        <d v="2026-06-27T23:45:00"/>
        <d v="2026-06-28T00:45:00"/>
        <d v="2026-06-28T12:45:00"/>
        <d v="2026-06-28T14:45:00"/>
        <d v="2026-06-28T15:45:00"/>
        <d v="2026-06-28T21:45:00"/>
        <d v="2026-06-28T22:45:00"/>
        <d v="2026-06-28T23:45:00"/>
        <d v="2026-06-29T03:45:00"/>
        <d v="2026-06-29T14:45:00"/>
        <d v="2026-06-29T15:45:00"/>
        <d v="2026-06-29T16:45:00"/>
        <d v="2026-06-29T17:45:00"/>
        <d v="2026-06-29T18:45:00"/>
        <d v="2026-06-29T19:45:00"/>
        <d v="2026-06-29T20:45:00"/>
        <d v="2026-06-29T21:45:00"/>
        <d v="2026-06-29T23:45:00"/>
        <d v="2026-06-30T12:45:00"/>
        <d v="2026-06-30T15:45:00"/>
        <d v="2026-06-30T21:45:00"/>
        <d v="2026-06-30T23:45:00"/>
        <d v="2026-07-01T00:45:00"/>
        <d v="2026-07-01T01:45:00"/>
        <d v="2026-07-01T02:45:00"/>
        <d v="2026-07-01T12:45:00"/>
        <d v="2026-07-01T17:45:00"/>
        <d v="2026-07-01T18:45:00"/>
        <d v="2026-07-01T19:45:00"/>
        <d v="2026-07-01T23:45:00"/>
        <d v="2026-07-02T00:45:00"/>
        <d v="2026-07-02T15:45:00"/>
        <d v="2026-07-02T18:45:00"/>
        <d v="2026-07-02T21:45:00"/>
        <d v="2026-07-02T22:45:00"/>
        <d v="2026-07-03T00:45:00"/>
        <d v="2026-07-03T01:45:00"/>
        <d v="2026-07-03T14:45:00"/>
        <d v="2026-07-03T17:45:00"/>
        <d v="2026-07-03T22:45:00"/>
        <d v="2026-07-03T23:45:00"/>
        <d v="2026-07-04T01:45:00"/>
        <d v="2026-07-04T03:45:00"/>
        <d v="2026-07-04T12:45:00"/>
        <d v="2026-07-04T14:45:00"/>
        <d v="2026-07-04T17:45:00"/>
        <d v="2026-07-04T19:45:00"/>
        <d v="2026-07-04T20:45:00"/>
        <d v="2026-07-04T21:45:00"/>
        <d v="2026-07-04T22:45:00"/>
        <d v="2026-07-04T23:45:00"/>
        <d v="2026-07-05T02:45:00"/>
        <d v="2026-07-05T12:45:00"/>
        <d v="2026-07-05T13:45:00"/>
        <d v="2026-07-05T14:45:00"/>
        <d v="2026-07-05T17:45:00"/>
        <d v="2026-07-05T18:45:00"/>
        <d v="2026-07-05T22:45:00"/>
        <d v="2026-07-05T23:45:00"/>
        <d v="2026-07-06T16:45:00"/>
        <d v="2026-07-06T20:45:00"/>
        <d v="2026-07-06T21:45:00"/>
        <d v="2026-07-07T03:45:00"/>
        <d v="2026-07-07T14:45:00"/>
        <d v="2026-07-07T16:45:00"/>
        <d v="2026-07-07T17:45:00"/>
        <d v="2026-07-07T18:45:00"/>
        <d v="2026-07-08T03:45:00"/>
        <d v="2026-07-08T14:45:00"/>
        <d v="2026-07-08T16:45:00"/>
        <d v="2026-07-08T18:45:00"/>
        <d v="2026-07-08T20:45:00"/>
        <d v="2026-07-08T21:45:00"/>
        <d v="2026-07-09T03:45:00"/>
        <d v="2026-07-09T14:45:00"/>
        <d v="2026-07-09T15:45:00"/>
        <d v="2026-07-09T16:45:00"/>
        <d v="2026-07-09T17:45:00"/>
        <d v="2026-07-09T18:45:00"/>
        <d v="2026-07-09T19:45:00"/>
        <d v="2026-07-09T20:45:00"/>
        <d v="2026-07-09T23:45:00"/>
        <d v="2026-07-10T00:45:00"/>
        <d v="2026-07-10T01:45:00"/>
        <d v="2026-07-10T02:45:00"/>
        <d v="2026-07-10T03:45:00"/>
        <d v="2026-07-10T14:45:00"/>
        <d v="2026-07-10T16:45:00"/>
        <d v="2026-07-10T18:45:00"/>
        <d v="2026-07-10T21:45:00"/>
        <d v="2026-07-10T22:45:00"/>
        <d v="2026-07-10T23:45:00"/>
        <d v="2026-07-11T00:45:00"/>
        <d v="2026-07-11T02:45:00"/>
        <d v="2026-07-11T03:45:00"/>
        <d v="2026-07-11T15:45:00"/>
        <d v="2026-07-11T16:45:00"/>
        <d v="2026-07-11T18:45:00"/>
        <d v="2026-07-11T20:45:00"/>
        <d v="2026-07-11T22:45:00"/>
        <d v="2026-07-11T23:45:00"/>
        <d v="2026-07-12T00:45:00"/>
        <d v="2026-07-12T01:45:00"/>
        <d v="2026-07-12T15:45:00"/>
        <d v="2026-07-12T16:45:00"/>
        <d v="2026-07-12T19:45:00"/>
        <d v="2026-07-12T21:45:00"/>
        <d v="2026-07-12T23:45:00"/>
        <d v="2026-07-13T00:45:00"/>
        <d v="2026-07-13T01:45:00"/>
        <d v="2026-07-13T03:45:00"/>
        <d v="2026-07-13T15:45:00"/>
        <d v="2026-07-13T17:45:00"/>
        <d v="2026-07-13T19:45:00"/>
        <d v="2026-07-13T20:45:00"/>
        <d v="2026-07-13T23:45:00"/>
        <d v="2026-07-14T00:45:00"/>
        <d v="2026-07-14T02:45:00"/>
        <d v="2026-07-14T14:45:00"/>
        <d v="2026-07-14T18:45:00"/>
        <d v="2026-07-14T20:45:00"/>
        <d v="2026-07-14T21:45:00"/>
        <d v="2026-07-14T22:45:00"/>
        <d v="2026-07-14T23:45:00"/>
        <d v="2026-07-15T00:45:00"/>
        <d v="2026-07-15T01:45:00"/>
        <d v="2026-07-15T03:45:00"/>
        <d v="2026-07-15T14:45:00"/>
        <d v="2026-07-15T15:45:00"/>
        <d v="2026-07-15T17:45:00"/>
        <d v="2026-07-15T18:45:00"/>
        <d v="2026-07-15T19:45:00"/>
        <d v="2026-07-15T20:45:00"/>
        <d v="2026-07-15T21:45:00"/>
        <d v="2026-07-15T22:45:00"/>
        <d v="2026-07-15T23:45:00"/>
        <d v="2026-07-16T00:45:00"/>
        <d v="2026-07-16T01:45:00"/>
        <d v="2026-07-16T03:45:00"/>
        <d v="2026-07-16T05:45:00"/>
        <d v="2026-07-16T12:45:00"/>
        <d v="2026-07-16T15:45:00"/>
        <d v="2026-07-16T16:45:00"/>
        <d v="2026-07-16T17:45:00"/>
        <d v="2026-07-16T18:45:00"/>
        <d v="2026-07-16T19:45:00"/>
        <d v="2026-07-16T20:45:00"/>
        <d v="2026-07-16T21:45:00"/>
        <d v="2026-07-16T22:45:00"/>
        <d v="2026-07-16T23:45:00"/>
        <d v="2026-07-17T00:45:00"/>
        <d v="2026-07-17T01:45:00"/>
        <d v="2026-07-17T02:45:00"/>
        <d v="2026-07-17T03:45:00"/>
        <d v="2026-07-17T05:45:00"/>
        <d v="2026-07-17T13:45:00"/>
        <d v="2026-07-17T14:45:00"/>
        <d v="2026-07-17T15:45:00"/>
        <d v="2026-07-17T18:45:00"/>
        <d v="2026-07-17T19:45:00"/>
        <d v="2026-07-17T20:45:00"/>
        <d v="2026-07-17T21:45:00"/>
        <d v="2026-07-17T22:45:00"/>
        <d v="2026-07-17T23:45:00"/>
        <d v="2026-07-18T00:45:00"/>
        <d v="2026-07-18T02:45:00"/>
        <d v="2026-07-18T03:45:00"/>
        <d v="2026-07-18T04:45:00"/>
        <d v="2026-07-18T08:45:00"/>
        <d v="2026-07-18T09:45:00"/>
        <d v="2026-07-18T13:45:00"/>
        <d v="2026-07-18T14:45:00"/>
        <d v="2026-07-18T15:45:00"/>
        <d v="2026-07-18T16:45:00"/>
        <d v="2026-07-18T17:45:00"/>
        <d v="2026-07-18T18:45:00"/>
        <d v="2026-07-18T19:45:00"/>
        <d v="2026-07-18T20:45:00"/>
        <d v="2026-07-18T21:45:00"/>
        <d v="2026-07-18T22:45:00"/>
        <d v="2026-07-18T23:45:00"/>
        <d v="2026-07-19T00:45:00"/>
        <d v="2026-07-19T01:45:00"/>
        <d v="2026-07-19T02:45:00"/>
        <d v="2026-07-19T03:45:00"/>
        <d v="2026-07-19T04:45:00"/>
        <d v="2026-07-19T05:45:00"/>
        <d v="2026-07-19T09:45:00"/>
        <d v="2026-07-19T12:45:00"/>
        <d v="2026-07-19T13:45:00"/>
        <d v="2026-07-19T15:45:00"/>
        <d v="2026-07-19T16:45:00"/>
        <d v="2026-07-19T17:45:00"/>
        <d v="2026-07-19T18:45:00"/>
        <d v="2026-07-19T19:45:00"/>
        <d v="2026-07-19T20:45:00"/>
        <d v="2026-07-19T21:45:00"/>
        <d v="2026-07-19T22:45:00"/>
        <d v="2026-07-19T23:45:00"/>
        <d v="2026-07-20T00:46:00"/>
        <d v="2026-07-20T01:45:00"/>
        <d v="2026-07-20T02:45:00"/>
        <d v="2026-07-20T04:45:00"/>
        <d v="2026-07-20T05:45:00"/>
        <d v="2026-07-20T13:45:00"/>
        <d v="2026-07-20T14:45:00"/>
        <d v="2026-07-20T15:45:00"/>
        <d v="2026-07-20T16:45:00"/>
        <d v="2026-07-20T17:45:00"/>
        <d v="2026-07-20T18:45:00"/>
        <d v="2026-07-20T19:45:00"/>
        <d v="2026-07-20T20:45:00"/>
        <d v="2026-07-20T21:45:00"/>
        <d v="2026-07-20T22:45:00"/>
        <d v="2026-07-20T23:45:00"/>
        <d v="2026-07-21T00:45:00"/>
        <d v="2026-07-21T01:45:00"/>
        <d v="2026-07-21T02:45:00"/>
        <d v="2026-07-21T03:45:00"/>
        <d v="2026-07-21T04:45:00"/>
        <d v="2026-07-21T05:45:00"/>
        <d v="2026-07-21T06:45:00"/>
        <d v="2026-07-21T07:45:00"/>
        <d v="2026-07-21T11:45:00"/>
        <d v="2026-07-21T12:45:00"/>
        <d v="2026-07-21T13:45:00"/>
        <d v="2026-07-21T14:45:00"/>
        <d v="2026-07-21T15:45:00"/>
        <d v="2026-07-21T16:45:00"/>
        <m/>
      </sharedItems>
    </cacheField>
    <cacheField name="record_end" numFmtId="0">
      <sharedItems containsNonDate="0" containsDate="1" containsString="0" containsBlank="1" minDate="2027-01-01T00:00:00" maxDate="2027-01-01T00:00:00" count="2">
        <d v="2027-01-01T00:00: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9">
  <r>
    <x v="888"/>
    <x v="830"/>
    <x v="0"/>
    <x v="31"/>
    <x v="15"/>
    <x v="445"/>
    <x v="1"/>
    <x v="3"/>
    <x v="0"/>
    <x v="0"/>
    <x v="0"/>
    <x v="256"/>
    <x v="0"/>
    <x v="0"/>
    <x v="600"/>
    <x v="334"/>
    <x v="456"/>
    <x v="310"/>
    <x v="503"/>
    <x v="3"/>
    <x v="2"/>
    <x v="271"/>
    <x v="0"/>
  </r>
  <r>
    <x v="887"/>
    <x v="829"/>
    <x v="0"/>
    <x v="22"/>
    <x v="11"/>
    <x v="441"/>
    <x v="2"/>
    <x v="5"/>
    <x v="0"/>
    <x v="0"/>
    <x v="0"/>
    <x v="121"/>
    <x v="0"/>
    <x v="2"/>
    <x v="561"/>
    <x v="371"/>
    <x v="613"/>
    <x v="273"/>
    <x v="24"/>
    <x v="3"/>
    <x v="2"/>
    <x v="271"/>
    <x v="0"/>
  </r>
  <r>
    <x v="886"/>
    <x v="831"/>
    <x v="0"/>
    <x v="31"/>
    <x v="16"/>
    <x v="446"/>
    <x v="1"/>
    <x v="3"/>
    <x v="0"/>
    <x v="0"/>
    <x v="0"/>
    <x v="164"/>
    <x v="0"/>
    <x v="2"/>
    <x v="605"/>
    <x v="358"/>
    <x v="459"/>
    <x v="309"/>
    <x v="504"/>
    <x v="3"/>
    <x v="2"/>
    <x v="271"/>
    <x v="0"/>
  </r>
  <r>
    <x v="885"/>
    <x v="793"/>
    <x v="0"/>
    <x v="22"/>
    <x v="12"/>
    <x v="442"/>
    <x v="2"/>
    <x v="5"/>
    <x v="0"/>
    <x v="0"/>
    <x v="0"/>
    <x v="122"/>
    <x v="0"/>
    <x v="2"/>
    <x v="563"/>
    <x v="355"/>
    <x v="621"/>
    <x v="244"/>
    <x v="58"/>
    <x v="3"/>
    <x v="2"/>
    <x v="265"/>
    <x v="0"/>
  </r>
  <r>
    <x v="884"/>
    <x v="743"/>
    <x v="0"/>
    <x v="31"/>
    <x v="14"/>
    <x v="444"/>
    <x v="1"/>
    <x v="3"/>
    <x v="0"/>
    <x v="0"/>
    <x v="0"/>
    <x v="142"/>
    <x v="0"/>
    <x v="2"/>
    <x v="598"/>
    <x v="330"/>
    <x v="446"/>
    <x v="305"/>
    <x v="513"/>
    <x v="3"/>
    <x v="2"/>
    <x v="257"/>
    <x v="0"/>
  </r>
  <r>
    <x v="883"/>
    <x v="742"/>
    <x v="0"/>
    <x v="31"/>
    <x v="13"/>
    <x v="443"/>
    <x v="1"/>
    <x v="3"/>
    <x v="0"/>
    <x v="0"/>
    <x v="2"/>
    <x v="86"/>
    <x v="0"/>
    <x v="2"/>
    <x v="596"/>
    <x v="329"/>
    <x v="430"/>
    <x v="307"/>
    <x v="511"/>
    <x v="3"/>
    <x v="2"/>
    <x v="257"/>
    <x v="0"/>
  </r>
  <r>
    <x v="882"/>
    <x v="573"/>
    <x v="0"/>
    <x v="47"/>
    <x v="18"/>
    <x v="643"/>
    <x v="1"/>
    <x v="5"/>
    <x v="0"/>
    <x v="0"/>
    <x v="0"/>
    <x v="10"/>
    <x v="0"/>
    <x v="2"/>
    <x v="595"/>
    <x v="265"/>
    <x v="549"/>
    <x v="231"/>
    <x v="99"/>
    <x v="3"/>
    <x v="2"/>
    <x v="216"/>
    <x v="0"/>
  </r>
  <r>
    <x v="881"/>
    <x v="556"/>
    <x v="0"/>
    <x v="35"/>
    <x v="17"/>
    <x v="594"/>
    <x v="1"/>
    <x v="5"/>
    <x v="0"/>
    <x v="0"/>
    <x v="0"/>
    <x v="9"/>
    <x v="2"/>
    <x v="2"/>
    <x v="559"/>
    <x v="252"/>
    <x v="484"/>
    <x v="302"/>
    <x v="7"/>
    <x v="3"/>
    <x v="2"/>
    <x v="208"/>
    <x v="0"/>
  </r>
  <r>
    <x v="880"/>
    <x v="480"/>
    <x v="0"/>
    <x v="22"/>
    <x v="9"/>
    <x v="439"/>
    <x v="1"/>
    <x v="5"/>
    <x v="0"/>
    <x v="0"/>
    <x v="0"/>
    <x v="483"/>
    <x v="1"/>
    <x v="2"/>
    <x v="119"/>
    <x v="238"/>
    <x v="619"/>
    <x v="275"/>
    <x v="20"/>
    <x v="3"/>
    <x v="2"/>
    <x v="190"/>
    <x v="0"/>
  </r>
  <r>
    <x v="879"/>
    <x v="364"/>
    <x v="0"/>
    <x v="22"/>
    <x v="10"/>
    <x v="440"/>
    <x v="1"/>
    <x v="5"/>
    <x v="0"/>
    <x v="0"/>
    <x v="0"/>
    <x v="212"/>
    <x v="0"/>
    <x v="2"/>
    <x v="369"/>
    <x v="190"/>
    <x v="600"/>
    <x v="240"/>
    <x v="67"/>
    <x v="3"/>
    <x v="2"/>
    <x v="152"/>
    <x v="0"/>
  </r>
  <r>
    <x v="878"/>
    <x v="36"/>
    <x v="0"/>
    <x v="50"/>
    <x v="19"/>
    <x v="655"/>
    <x v="2"/>
    <x v="3"/>
    <x v="0"/>
    <x v="0"/>
    <x v="0"/>
    <x v="314"/>
    <x v="2"/>
    <x v="2"/>
    <x v="12"/>
    <x v="31"/>
    <x v="199"/>
    <x v="272"/>
    <x v="124"/>
    <x v="3"/>
    <x v="2"/>
    <x v="27"/>
    <x v="0"/>
  </r>
  <r>
    <x v="877"/>
    <x v="9"/>
    <x v="0"/>
    <x v="22"/>
    <x v="8"/>
    <x v="438"/>
    <x v="0"/>
    <x v="5"/>
    <x v="0"/>
    <x v="0"/>
    <x v="0"/>
    <x v="4"/>
    <x v="0"/>
    <x v="2"/>
    <x v="9"/>
    <x v="6"/>
    <x v="587"/>
    <x v="276"/>
    <x v="23"/>
    <x v="3"/>
    <x v="2"/>
    <x v="4"/>
    <x v="0"/>
  </r>
  <r>
    <x v="876"/>
    <x v="8"/>
    <x v="0"/>
    <x v="22"/>
    <x v="7"/>
    <x v="437"/>
    <x v="0"/>
    <x v="5"/>
    <x v="0"/>
    <x v="0"/>
    <x v="0"/>
    <x v="4"/>
    <x v="2"/>
    <x v="2"/>
    <x v="6"/>
    <x v="4"/>
    <x v="588"/>
    <x v="271"/>
    <x v="34"/>
    <x v="3"/>
    <x v="2"/>
    <x v="2"/>
    <x v="0"/>
  </r>
  <r>
    <x v="875"/>
    <x v="874"/>
    <x v="1"/>
    <x v="59"/>
    <x v="99"/>
    <x v="222"/>
    <x v="0"/>
    <x v="0"/>
    <x v="0"/>
    <x v="1"/>
    <x v="0"/>
    <x v="162"/>
    <x v="2"/>
    <x v="0"/>
    <x v="562"/>
    <x v="390"/>
    <x v="101"/>
    <x v="132"/>
    <x v="285"/>
    <x v="3"/>
    <x v="2"/>
    <x v="281"/>
    <x v="0"/>
  </r>
  <r>
    <x v="874"/>
    <x v="872"/>
    <x v="1"/>
    <x v="3"/>
    <x v="24"/>
    <x v="147"/>
    <x v="1"/>
    <x v="0"/>
    <x v="0"/>
    <x v="1"/>
    <x v="0"/>
    <x v="13"/>
    <x v="0"/>
    <x v="2"/>
    <x v="654"/>
    <x v="388"/>
    <x v="298"/>
    <x v="101"/>
    <x v="260"/>
    <x v="3"/>
    <x v="2"/>
    <x v="280"/>
    <x v="0"/>
  </r>
  <r>
    <x v="873"/>
    <x v="873"/>
    <x v="1"/>
    <x v="48"/>
    <x v="88"/>
    <x v="211"/>
    <x v="1"/>
    <x v="0"/>
    <x v="0"/>
    <x v="1"/>
    <x v="0"/>
    <x v="33"/>
    <x v="0"/>
    <x v="1"/>
    <x v="728"/>
    <x v="389"/>
    <x v="632"/>
    <x v="22"/>
    <x v="300"/>
    <x v="3"/>
    <x v="2"/>
    <x v="280"/>
    <x v="0"/>
  </r>
  <r>
    <x v="872"/>
    <x v="871"/>
    <x v="1"/>
    <x v="59"/>
    <x v="102"/>
    <x v="225"/>
    <x v="1"/>
    <x v="0"/>
    <x v="0"/>
    <x v="1"/>
    <x v="0"/>
    <x v="3"/>
    <x v="2"/>
    <x v="2"/>
    <x v="670"/>
    <x v="385"/>
    <x v="71"/>
    <x v="115"/>
    <x v="295"/>
    <x v="3"/>
    <x v="2"/>
    <x v="279"/>
    <x v="0"/>
  </r>
  <r>
    <x v="871"/>
    <x v="870"/>
    <x v="1"/>
    <x v="58"/>
    <x v="91"/>
    <x v="214"/>
    <x v="0"/>
    <x v="0"/>
    <x v="0"/>
    <x v="1"/>
    <x v="0"/>
    <x v="498"/>
    <x v="2"/>
    <x v="1"/>
    <x v="405"/>
    <x v="385"/>
    <x v="75"/>
    <x v="170"/>
    <x v="265"/>
    <x v="3"/>
    <x v="2"/>
    <x v="279"/>
    <x v="0"/>
  </r>
  <r>
    <x v="870"/>
    <x v="869"/>
    <x v="1"/>
    <x v="58"/>
    <x v="90"/>
    <x v="213"/>
    <x v="0"/>
    <x v="0"/>
    <x v="0"/>
    <x v="1"/>
    <x v="0"/>
    <x v="416"/>
    <x v="2"/>
    <x v="1"/>
    <x v="388"/>
    <x v="385"/>
    <x v="72"/>
    <x v="171"/>
    <x v="268"/>
    <x v="3"/>
    <x v="2"/>
    <x v="279"/>
    <x v="0"/>
  </r>
  <r>
    <x v="869"/>
    <x v="868"/>
    <x v="1"/>
    <x v="40"/>
    <x v="86"/>
    <x v="209"/>
    <x v="1"/>
    <x v="0"/>
    <x v="0"/>
    <x v="1"/>
    <x v="0"/>
    <x v="6"/>
    <x v="2"/>
    <x v="1"/>
    <x v="726"/>
    <x v="384"/>
    <x v="31"/>
    <x v="229"/>
    <x v="219"/>
    <x v="3"/>
    <x v="2"/>
    <x v="278"/>
    <x v="0"/>
  </r>
  <r>
    <x v="868"/>
    <x v="867"/>
    <x v="1"/>
    <x v="38"/>
    <x v="73"/>
    <x v="196"/>
    <x v="1"/>
    <x v="0"/>
    <x v="0"/>
    <x v="1"/>
    <x v="0"/>
    <x v="4"/>
    <x v="2"/>
    <x v="2"/>
    <x v="688"/>
    <x v="384"/>
    <x v="166"/>
    <x v="223"/>
    <x v="207"/>
    <x v="3"/>
    <x v="2"/>
    <x v="278"/>
    <x v="0"/>
  </r>
  <r>
    <x v="867"/>
    <x v="866"/>
    <x v="1"/>
    <x v="18"/>
    <x v="45"/>
    <x v="168"/>
    <x v="1"/>
    <x v="0"/>
    <x v="0"/>
    <x v="1"/>
    <x v="0"/>
    <x v="82"/>
    <x v="2"/>
    <x v="0"/>
    <x v="715"/>
    <x v="382"/>
    <x v="516"/>
    <x v="47"/>
    <x v="276"/>
    <x v="3"/>
    <x v="2"/>
    <x v="278"/>
    <x v="0"/>
  </r>
  <r>
    <x v="866"/>
    <x v="864"/>
    <x v="1"/>
    <x v="3"/>
    <x v="27"/>
    <x v="150"/>
    <x v="0"/>
    <x v="0"/>
    <x v="0"/>
    <x v="1"/>
    <x v="0"/>
    <x v="3"/>
    <x v="1"/>
    <x v="0"/>
    <x v="660"/>
    <x v="380"/>
    <x v="277"/>
    <x v="191"/>
    <x v="224"/>
    <x v="3"/>
    <x v="2"/>
    <x v="277"/>
    <x v="0"/>
  </r>
  <r>
    <x v="865"/>
    <x v="860"/>
    <x v="1"/>
    <x v="5"/>
    <x v="30"/>
    <x v="153"/>
    <x v="1"/>
    <x v="0"/>
    <x v="0"/>
    <x v="1"/>
    <x v="0"/>
    <x v="16"/>
    <x v="1"/>
    <x v="1"/>
    <x v="667"/>
    <x v="378"/>
    <x v="264"/>
    <x v="196"/>
    <x v="220"/>
    <x v="3"/>
    <x v="2"/>
    <x v="276"/>
    <x v="0"/>
  </r>
  <r>
    <x v="864"/>
    <x v="857"/>
    <x v="1"/>
    <x v="3"/>
    <x v="26"/>
    <x v="149"/>
    <x v="1"/>
    <x v="0"/>
    <x v="0"/>
    <x v="1"/>
    <x v="0"/>
    <x v="23"/>
    <x v="0"/>
    <x v="1"/>
    <x v="657"/>
    <x v="376"/>
    <x v="269"/>
    <x v="165"/>
    <x v="232"/>
    <x v="3"/>
    <x v="2"/>
    <x v="275"/>
    <x v="0"/>
  </r>
  <r>
    <x v="863"/>
    <x v="858"/>
    <x v="1"/>
    <x v="38"/>
    <x v="74"/>
    <x v="197"/>
    <x v="1"/>
    <x v="0"/>
    <x v="0"/>
    <x v="1"/>
    <x v="0"/>
    <x v="3"/>
    <x v="2"/>
    <x v="1"/>
    <x v="727"/>
    <x v="376"/>
    <x v="175"/>
    <x v="224"/>
    <x v="205"/>
    <x v="3"/>
    <x v="2"/>
    <x v="275"/>
    <x v="0"/>
  </r>
  <r>
    <x v="862"/>
    <x v="847"/>
    <x v="1"/>
    <x v="58"/>
    <x v="93"/>
    <x v="216"/>
    <x v="1"/>
    <x v="0"/>
    <x v="0"/>
    <x v="1"/>
    <x v="0"/>
    <x v="45"/>
    <x v="0"/>
    <x v="0"/>
    <x v="607"/>
    <x v="374"/>
    <x v="33"/>
    <x v="187"/>
    <x v="269"/>
    <x v="3"/>
    <x v="2"/>
    <x v="274"/>
    <x v="0"/>
  </r>
  <r>
    <x v="861"/>
    <x v="846"/>
    <x v="1"/>
    <x v="48"/>
    <x v="87"/>
    <x v="210"/>
    <x v="1"/>
    <x v="0"/>
    <x v="0"/>
    <x v="1"/>
    <x v="0"/>
    <x v="125"/>
    <x v="0"/>
    <x v="0"/>
    <x v="492"/>
    <x v="374"/>
    <x v="626"/>
    <x v="37"/>
    <x v="245"/>
    <x v="3"/>
    <x v="2"/>
    <x v="274"/>
    <x v="0"/>
  </r>
  <r>
    <x v="860"/>
    <x v="848"/>
    <x v="1"/>
    <x v="58"/>
    <x v="94"/>
    <x v="217"/>
    <x v="1"/>
    <x v="0"/>
    <x v="0"/>
    <x v="1"/>
    <x v="0"/>
    <x v="3"/>
    <x v="2"/>
    <x v="2"/>
    <x v="614"/>
    <x v="374"/>
    <x v="32"/>
    <x v="185"/>
    <x v="273"/>
    <x v="3"/>
    <x v="2"/>
    <x v="274"/>
    <x v="0"/>
  </r>
  <r>
    <x v="859"/>
    <x v="849"/>
    <x v="1"/>
    <x v="58"/>
    <x v="95"/>
    <x v="218"/>
    <x v="0"/>
    <x v="0"/>
    <x v="0"/>
    <x v="1"/>
    <x v="0"/>
    <x v="3"/>
    <x v="2"/>
    <x v="2"/>
    <x v="626"/>
    <x v="374"/>
    <x v="36"/>
    <x v="184"/>
    <x v="272"/>
    <x v="3"/>
    <x v="2"/>
    <x v="274"/>
    <x v="0"/>
  </r>
  <r>
    <x v="858"/>
    <x v="850"/>
    <x v="1"/>
    <x v="58"/>
    <x v="96"/>
    <x v="219"/>
    <x v="0"/>
    <x v="0"/>
    <x v="0"/>
    <x v="1"/>
    <x v="0"/>
    <x v="3"/>
    <x v="1"/>
    <x v="0"/>
    <x v="639"/>
    <x v="374"/>
    <x v="39"/>
    <x v="182"/>
    <x v="270"/>
    <x v="3"/>
    <x v="2"/>
    <x v="274"/>
    <x v="0"/>
  </r>
  <r>
    <x v="857"/>
    <x v="851"/>
    <x v="1"/>
    <x v="58"/>
    <x v="97"/>
    <x v="220"/>
    <x v="1"/>
    <x v="0"/>
    <x v="0"/>
    <x v="1"/>
    <x v="0"/>
    <x v="28"/>
    <x v="2"/>
    <x v="0"/>
    <x v="652"/>
    <x v="374"/>
    <x v="35"/>
    <x v="189"/>
    <x v="267"/>
    <x v="3"/>
    <x v="2"/>
    <x v="274"/>
    <x v="0"/>
  </r>
  <r>
    <x v="856"/>
    <x v="852"/>
    <x v="1"/>
    <x v="58"/>
    <x v="98"/>
    <x v="221"/>
    <x v="1"/>
    <x v="0"/>
    <x v="0"/>
    <x v="1"/>
    <x v="0"/>
    <x v="3"/>
    <x v="2"/>
    <x v="0"/>
    <x v="714"/>
    <x v="374"/>
    <x v="34"/>
    <x v="186"/>
    <x v="271"/>
    <x v="3"/>
    <x v="2"/>
    <x v="274"/>
    <x v="0"/>
  </r>
  <r>
    <x v="855"/>
    <x v="843"/>
    <x v="1"/>
    <x v="40"/>
    <x v="85"/>
    <x v="208"/>
    <x v="1"/>
    <x v="0"/>
    <x v="0"/>
    <x v="1"/>
    <x v="0"/>
    <x v="14"/>
    <x v="2"/>
    <x v="0"/>
    <x v="723"/>
    <x v="370"/>
    <x v="41"/>
    <x v="214"/>
    <x v="229"/>
    <x v="3"/>
    <x v="2"/>
    <x v="273"/>
    <x v="0"/>
  </r>
  <r>
    <x v="854"/>
    <x v="844"/>
    <x v="1"/>
    <x v="59"/>
    <x v="101"/>
    <x v="224"/>
    <x v="1"/>
    <x v="0"/>
    <x v="0"/>
    <x v="1"/>
    <x v="0"/>
    <x v="91"/>
    <x v="2"/>
    <x v="1"/>
    <x v="642"/>
    <x v="370"/>
    <x v="97"/>
    <x v="141"/>
    <x v="281"/>
    <x v="3"/>
    <x v="2"/>
    <x v="273"/>
    <x v="0"/>
  </r>
  <r>
    <x v="853"/>
    <x v="842"/>
    <x v="1"/>
    <x v="37"/>
    <x v="71"/>
    <x v="194"/>
    <x v="1"/>
    <x v="0"/>
    <x v="0"/>
    <x v="1"/>
    <x v="0"/>
    <x v="5"/>
    <x v="2"/>
    <x v="1"/>
    <x v="725"/>
    <x v="370"/>
    <x v="103"/>
    <x v="253"/>
    <x v="185"/>
    <x v="3"/>
    <x v="2"/>
    <x v="273"/>
    <x v="0"/>
  </r>
  <r>
    <x v="852"/>
    <x v="836"/>
    <x v="1"/>
    <x v="7"/>
    <x v="42"/>
    <x v="165"/>
    <x v="1"/>
    <x v="0"/>
    <x v="0"/>
    <x v="1"/>
    <x v="0"/>
    <x v="34"/>
    <x v="0"/>
    <x v="2"/>
    <x v="686"/>
    <x v="366"/>
    <x v="252"/>
    <x v="88"/>
    <x v="284"/>
    <x v="3"/>
    <x v="2"/>
    <x v="272"/>
    <x v="0"/>
  </r>
  <r>
    <x v="851"/>
    <x v="835"/>
    <x v="1"/>
    <x v="7"/>
    <x v="39"/>
    <x v="162"/>
    <x v="1"/>
    <x v="0"/>
    <x v="0"/>
    <x v="1"/>
    <x v="0"/>
    <x v="207"/>
    <x v="0"/>
    <x v="1"/>
    <x v="633"/>
    <x v="368"/>
    <x v="254"/>
    <x v="77"/>
    <x v="293"/>
    <x v="3"/>
    <x v="2"/>
    <x v="272"/>
    <x v="0"/>
  </r>
  <r>
    <x v="850"/>
    <x v="837"/>
    <x v="1"/>
    <x v="36"/>
    <x v="62"/>
    <x v="185"/>
    <x v="1"/>
    <x v="0"/>
    <x v="0"/>
    <x v="1"/>
    <x v="0"/>
    <x v="62"/>
    <x v="1"/>
    <x v="1"/>
    <x v="644"/>
    <x v="376"/>
    <x v="55"/>
    <x v="258"/>
    <x v="192"/>
    <x v="3"/>
    <x v="2"/>
    <x v="272"/>
    <x v="0"/>
  </r>
  <r>
    <x v="849"/>
    <x v="826"/>
    <x v="1"/>
    <x v="39"/>
    <x v="82"/>
    <x v="205"/>
    <x v="1"/>
    <x v="0"/>
    <x v="0"/>
    <x v="1"/>
    <x v="0"/>
    <x v="12"/>
    <x v="2"/>
    <x v="1"/>
    <x v="716"/>
    <x v="363"/>
    <x v="119"/>
    <x v="239"/>
    <x v="199"/>
    <x v="3"/>
    <x v="2"/>
    <x v="271"/>
    <x v="0"/>
  </r>
  <r>
    <x v="848"/>
    <x v="825"/>
    <x v="1"/>
    <x v="24"/>
    <x v="53"/>
    <x v="176"/>
    <x v="1"/>
    <x v="0"/>
    <x v="0"/>
    <x v="1"/>
    <x v="0"/>
    <x v="3"/>
    <x v="2"/>
    <x v="2"/>
    <x v="636"/>
    <x v="364"/>
    <x v="98"/>
    <x v="221"/>
    <x v="215"/>
    <x v="3"/>
    <x v="2"/>
    <x v="271"/>
    <x v="0"/>
  </r>
  <r>
    <x v="847"/>
    <x v="828"/>
    <x v="1"/>
    <x v="60"/>
    <x v="103"/>
    <x v="226"/>
    <x v="0"/>
    <x v="0"/>
    <x v="0"/>
    <x v="1"/>
    <x v="0"/>
    <x v="30"/>
    <x v="2"/>
    <x v="2"/>
    <x v="419"/>
    <x v="363"/>
    <x v="26"/>
    <x v="102"/>
    <x v="307"/>
    <x v="3"/>
    <x v="2"/>
    <x v="271"/>
    <x v="0"/>
  </r>
  <r>
    <x v="846"/>
    <x v="827"/>
    <x v="1"/>
    <x v="58"/>
    <x v="92"/>
    <x v="215"/>
    <x v="0"/>
    <x v="0"/>
    <x v="0"/>
    <x v="1"/>
    <x v="0"/>
    <x v="112"/>
    <x v="0"/>
    <x v="1"/>
    <x v="570"/>
    <x v="363"/>
    <x v="46"/>
    <x v="177"/>
    <x v="274"/>
    <x v="3"/>
    <x v="2"/>
    <x v="271"/>
    <x v="0"/>
  </r>
  <r>
    <x v="845"/>
    <x v="824"/>
    <x v="1"/>
    <x v="24"/>
    <x v="52"/>
    <x v="175"/>
    <x v="1"/>
    <x v="0"/>
    <x v="0"/>
    <x v="1"/>
    <x v="0"/>
    <x v="27"/>
    <x v="2"/>
    <x v="2"/>
    <x v="625"/>
    <x v="363"/>
    <x v="99"/>
    <x v="222"/>
    <x v="212"/>
    <x v="3"/>
    <x v="2"/>
    <x v="271"/>
    <x v="0"/>
  </r>
  <r>
    <x v="844"/>
    <x v="820"/>
    <x v="1"/>
    <x v="26"/>
    <x v="59"/>
    <x v="182"/>
    <x v="0"/>
    <x v="0"/>
    <x v="0"/>
    <x v="1"/>
    <x v="0"/>
    <x v="484"/>
    <x v="2"/>
    <x v="1"/>
    <x v="404"/>
    <x v="360"/>
    <x v="151"/>
    <x v="144"/>
    <x v="261"/>
    <x v="3"/>
    <x v="2"/>
    <x v="270"/>
    <x v="0"/>
  </r>
  <r>
    <x v="843"/>
    <x v="818"/>
    <x v="1"/>
    <x v="4"/>
    <x v="29"/>
    <x v="152"/>
    <x v="1"/>
    <x v="0"/>
    <x v="0"/>
    <x v="1"/>
    <x v="0"/>
    <x v="65"/>
    <x v="0"/>
    <x v="2"/>
    <x v="640"/>
    <x v="360"/>
    <x v="218"/>
    <x v="139"/>
    <x v="255"/>
    <x v="3"/>
    <x v="2"/>
    <x v="270"/>
    <x v="0"/>
  </r>
  <r>
    <x v="842"/>
    <x v="819"/>
    <x v="1"/>
    <x v="7"/>
    <x v="40"/>
    <x v="163"/>
    <x v="1"/>
    <x v="0"/>
    <x v="0"/>
    <x v="1"/>
    <x v="0"/>
    <x v="37"/>
    <x v="0"/>
    <x v="2"/>
    <x v="645"/>
    <x v="361"/>
    <x v="239"/>
    <x v="86"/>
    <x v="290"/>
    <x v="3"/>
    <x v="2"/>
    <x v="270"/>
    <x v="0"/>
  </r>
  <r>
    <x v="841"/>
    <x v="812"/>
    <x v="1"/>
    <x v="7"/>
    <x v="41"/>
    <x v="164"/>
    <x v="1"/>
    <x v="0"/>
    <x v="0"/>
    <x v="1"/>
    <x v="0"/>
    <x v="28"/>
    <x v="0"/>
    <x v="2"/>
    <x v="678"/>
    <x v="359"/>
    <x v="267"/>
    <x v="72"/>
    <x v="294"/>
    <x v="3"/>
    <x v="2"/>
    <x v="269"/>
    <x v="0"/>
  </r>
  <r>
    <x v="840"/>
    <x v="808"/>
    <x v="1"/>
    <x v="39"/>
    <x v="83"/>
    <x v="206"/>
    <x v="1"/>
    <x v="0"/>
    <x v="0"/>
    <x v="1"/>
    <x v="0"/>
    <x v="5"/>
    <x v="2"/>
    <x v="1"/>
    <x v="724"/>
    <x v="357"/>
    <x v="120"/>
    <x v="241"/>
    <x v="198"/>
    <x v="3"/>
    <x v="2"/>
    <x v="268"/>
    <x v="0"/>
  </r>
  <r>
    <x v="839"/>
    <x v="783"/>
    <x v="1"/>
    <x v="6"/>
    <x v="32"/>
    <x v="155"/>
    <x v="1"/>
    <x v="0"/>
    <x v="0"/>
    <x v="1"/>
    <x v="0"/>
    <x v="465"/>
    <x v="0"/>
    <x v="1"/>
    <x v="624"/>
    <x v="341"/>
    <x v="149"/>
    <x v="155"/>
    <x v="254"/>
    <x v="3"/>
    <x v="2"/>
    <x v="262"/>
    <x v="0"/>
  </r>
  <r>
    <x v="838"/>
    <x v="782"/>
    <x v="1"/>
    <x v="62"/>
    <x v="105"/>
    <x v="228"/>
    <x v="1"/>
    <x v="0"/>
    <x v="0"/>
    <x v="1"/>
    <x v="0"/>
    <x v="22"/>
    <x v="2"/>
    <x v="2"/>
    <x v="692"/>
    <x v="338"/>
    <x v="240"/>
    <x v="63"/>
    <x v="301"/>
    <x v="3"/>
    <x v="2"/>
    <x v="261"/>
    <x v="0"/>
  </r>
  <r>
    <x v="837"/>
    <x v="777"/>
    <x v="1"/>
    <x v="6"/>
    <x v="36"/>
    <x v="159"/>
    <x v="1"/>
    <x v="0"/>
    <x v="0"/>
    <x v="1"/>
    <x v="0"/>
    <x v="42"/>
    <x v="0"/>
    <x v="0"/>
    <x v="634"/>
    <x v="331"/>
    <x v="182"/>
    <x v="195"/>
    <x v="230"/>
    <x v="3"/>
    <x v="2"/>
    <x v="260"/>
    <x v="0"/>
  </r>
  <r>
    <x v="836"/>
    <x v="780"/>
    <x v="1"/>
    <x v="39"/>
    <x v="79"/>
    <x v="202"/>
    <x v="1"/>
    <x v="0"/>
    <x v="0"/>
    <x v="1"/>
    <x v="0"/>
    <x v="17"/>
    <x v="0"/>
    <x v="2"/>
    <x v="676"/>
    <x v="333"/>
    <x v="48"/>
    <x v="233"/>
    <x v="214"/>
    <x v="3"/>
    <x v="2"/>
    <x v="260"/>
    <x v="0"/>
  </r>
  <r>
    <x v="835"/>
    <x v="779"/>
    <x v="1"/>
    <x v="39"/>
    <x v="76"/>
    <x v="199"/>
    <x v="1"/>
    <x v="0"/>
    <x v="0"/>
    <x v="1"/>
    <x v="0"/>
    <x v="24"/>
    <x v="0"/>
    <x v="2"/>
    <x v="601"/>
    <x v="333"/>
    <x v="74"/>
    <x v="230"/>
    <x v="211"/>
    <x v="3"/>
    <x v="2"/>
    <x v="260"/>
    <x v="0"/>
  </r>
  <r>
    <x v="834"/>
    <x v="776"/>
    <x v="1"/>
    <x v="3"/>
    <x v="23"/>
    <x v="146"/>
    <x v="1"/>
    <x v="0"/>
    <x v="0"/>
    <x v="1"/>
    <x v="0"/>
    <x v="3"/>
    <x v="0"/>
    <x v="2"/>
    <x v="653"/>
    <x v="331"/>
    <x v="292"/>
    <x v="100"/>
    <x v="263"/>
    <x v="3"/>
    <x v="2"/>
    <x v="260"/>
    <x v="0"/>
  </r>
  <r>
    <x v="833"/>
    <x v="778"/>
    <x v="1"/>
    <x v="17"/>
    <x v="44"/>
    <x v="167"/>
    <x v="1"/>
    <x v="0"/>
    <x v="0"/>
    <x v="1"/>
    <x v="0"/>
    <x v="22"/>
    <x v="2"/>
    <x v="2"/>
    <x v="656"/>
    <x v="331"/>
    <x v="317"/>
    <x v="109"/>
    <x v="251"/>
    <x v="3"/>
    <x v="2"/>
    <x v="260"/>
    <x v="0"/>
  </r>
  <r>
    <x v="832"/>
    <x v="774"/>
    <x v="1"/>
    <x v="36"/>
    <x v="63"/>
    <x v="186"/>
    <x v="1"/>
    <x v="0"/>
    <x v="0"/>
    <x v="1"/>
    <x v="0"/>
    <x v="222"/>
    <x v="1"/>
    <x v="1"/>
    <x v="646"/>
    <x v="330"/>
    <x v="52"/>
    <x v="257"/>
    <x v="194"/>
    <x v="3"/>
    <x v="2"/>
    <x v="259"/>
    <x v="0"/>
  </r>
  <r>
    <x v="831"/>
    <x v="747"/>
    <x v="1"/>
    <x v="36"/>
    <x v="64"/>
    <x v="187"/>
    <x v="1"/>
    <x v="0"/>
    <x v="0"/>
    <x v="1"/>
    <x v="0"/>
    <x v="4"/>
    <x v="0"/>
    <x v="0"/>
    <x v="659"/>
    <x v="335"/>
    <x v="53"/>
    <x v="259"/>
    <x v="191"/>
    <x v="3"/>
    <x v="2"/>
    <x v="258"/>
    <x v="0"/>
  </r>
  <r>
    <x v="830"/>
    <x v="748"/>
    <x v="1"/>
    <x v="39"/>
    <x v="75"/>
    <x v="198"/>
    <x v="1"/>
    <x v="0"/>
    <x v="0"/>
    <x v="1"/>
    <x v="0"/>
    <x v="53"/>
    <x v="1"/>
    <x v="1"/>
    <x v="594"/>
    <x v="326"/>
    <x v="69"/>
    <x v="247"/>
    <x v="203"/>
    <x v="3"/>
    <x v="2"/>
    <x v="258"/>
    <x v="0"/>
  </r>
  <r>
    <x v="829"/>
    <x v="750"/>
    <x v="1"/>
    <x v="39"/>
    <x v="81"/>
    <x v="204"/>
    <x v="1"/>
    <x v="0"/>
    <x v="0"/>
    <x v="1"/>
    <x v="0"/>
    <x v="11"/>
    <x v="1"/>
    <x v="1"/>
    <x v="712"/>
    <x v="326"/>
    <x v="68"/>
    <x v="248"/>
    <x v="202"/>
    <x v="3"/>
    <x v="2"/>
    <x v="258"/>
    <x v="0"/>
  </r>
  <r>
    <x v="828"/>
    <x v="749"/>
    <x v="1"/>
    <x v="39"/>
    <x v="80"/>
    <x v="203"/>
    <x v="1"/>
    <x v="0"/>
    <x v="0"/>
    <x v="1"/>
    <x v="0"/>
    <x v="18"/>
    <x v="2"/>
    <x v="1"/>
    <x v="684"/>
    <x v="328"/>
    <x v="42"/>
    <x v="232"/>
    <x v="218"/>
    <x v="3"/>
    <x v="2"/>
    <x v="258"/>
    <x v="0"/>
  </r>
  <r>
    <x v="827"/>
    <x v="746"/>
    <x v="1"/>
    <x v="59"/>
    <x v="100"/>
    <x v="223"/>
    <x v="1"/>
    <x v="0"/>
    <x v="0"/>
    <x v="1"/>
    <x v="0"/>
    <x v="45"/>
    <x v="2"/>
    <x v="1"/>
    <x v="637"/>
    <x v="324"/>
    <x v="73"/>
    <x v="136"/>
    <x v="288"/>
    <x v="3"/>
    <x v="2"/>
    <x v="257"/>
    <x v="0"/>
  </r>
  <r>
    <x v="826"/>
    <x v="739"/>
    <x v="1"/>
    <x v="3"/>
    <x v="22"/>
    <x v="145"/>
    <x v="1"/>
    <x v="0"/>
    <x v="0"/>
    <x v="1"/>
    <x v="0"/>
    <x v="170"/>
    <x v="0"/>
    <x v="1"/>
    <x v="650"/>
    <x v="322"/>
    <x v="284"/>
    <x v="97"/>
    <x v="277"/>
    <x v="3"/>
    <x v="2"/>
    <x v="256"/>
    <x v="0"/>
  </r>
  <r>
    <x v="825"/>
    <x v="738"/>
    <x v="1"/>
    <x v="3"/>
    <x v="21"/>
    <x v="144"/>
    <x v="1"/>
    <x v="0"/>
    <x v="0"/>
    <x v="1"/>
    <x v="0"/>
    <x v="16"/>
    <x v="0"/>
    <x v="0"/>
    <x v="649"/>
    <x v="323"/>
    <x v="279"/>
    <x v="98"/>
    <x v="279"/>
    <x v="3"/>
    <x v="2"/>
    <x v="256"/>
    <x v="0"/>
  </r>
  <r>
    <x v="824"/>
    <x v="732"/>
    <x v="1"/>
    <x v="62"/>
    <x v="106"/>
    <x v="229"/>
    <x v="1"/>
    <x v="0"/>
    <x v="0"/>
    <x v="1"/>
    <x v="0"/>
    <x v="12"/>
    <x v="2"/>
    <x v="1"/>
    <x v="709"/>
    <x v="321"/>
    <x v="237"/>
    <x v="62"/>
    <x v="303"/>
    <x v="3"/>
    <x v="2"/>
    <x v="255"/>
    <x v="0"/>
  </r>
  <r>
    <x v="823"/>
    <x v="724"/>
    <x v="1"/>
    <x v="36"/>
    <x v="66"/>
    <x v="189"/>
    <x v="1"/>
    <x v="0"/>
    <x v="0"/>
    <x v="1"/>
    <x v="0"/>
    <x v="274"/>
    <x v="1"/>
    <x v="1"/>
    <x v="677"/>
    <x v="380"/>
    <x v="64"/>
    <x v="261"/>
    <x v="187"/>
    <x v="3"/>
    <x v="2"/>
    <x v="254"/>
    <x v="0"/>
  </r>
  <r>
    <x v="822"/>
    <x v="726"/>
    <x v="1"/>
    <x v="36"/>
    <x v="68"/>
    <x v="191"/>
    <x v="0"/>
    <x v="0"/>
    <x v="0"/>
    <x v="1"/>
    <x v="0"/>
    <x v="86"/>
    <x v="0"/>
    <x v="2"/>
    <x v="680"/>
    <x v="320"/>
    <x v="45"/>
    <x v="270"/>
    <x v="177"/>
    <x v="3"/>
    <x v="2"/>
    <x v="254"/>
    <x v="0"/>
  </r>
  <r>
    <x v="821"/>
    <x v="725"/>
    <x v="1"/>
    <x v="36"/>
    <x v="67"/>
    <x v="190"/>
    <x v="1"/>
    <x v="0"/>
    <x v="0"/>
    <x v="1"/>
    <x v="0"/>
    <x v="57"/>
    <x v="1"/>
    <x v="1"/>
    <x v="679"/>
    <x v="320"/>
    <x v="61"/>
    <x v="262"/>
    <x v="186"/>
    <x v="3"/>
    <x v="2"/>
    <x v="254"/>
    <x v="0"/>
  </r>
  <r>
    <x v="820"/>
    <x v="716"/>
    <x v="1"/>
    <x v="25"/>
    <x v="55"/>
    <x v="178"/>
    <x v="1"/>
    <x v="0"/>
    <x v="0"/>
    <x v="1"/>
    <x v="0"/>
    <x v="37"/>
    <x v="2"/>
    <x v="2"/>
    <x v="592"/>
    <x v="319"/>
    <x v="60"/>
    <x v="211"/>
    <x v="227"/>
    <x v="3"/>
    <x v="2"/>
    <x v="253"/>
    <x v="0"/>
  </r>
  <r>
    <x v="819"/>
    <x v="692"/>
    <x v="1"/>
    <x v="38"/>
    <x v="72"/>
    <x v="195"/>
    <x v="1"/>
    <x v="0"/>
    <x v="0"/>
    <x v="1"/>
    <x v="0"/>
    <x v="44"/>
    <x v="1"/>
    <x v="1"/>
    <x v="628"/>
    <x v="308"/>
    <x v="130"/>
    <x v="236"/>
    <x v="201"/>
    <x v="3"/>
    <x v="2"/>
    <x v="245"/>
    <x v="0"/>
  </r>
  <r>
    <x v="818"/>
    <x v="691"/>
    <x v="1"/>
    <x v="36"/>
    <x v="69"/>
    <x v="192"/>
    <x v="1"/>
    <x v="0"/>
    <x v="0"/>
    <x v="1"/>
    <x v="0"/>
    <x v="137"/>
    <x v="2"/>
    <x v="1"/>
    <x v="683"/>
    <x v="306"/>
    <x v="70"/>
    <x v="254"/>
    <x v="193"/>
    <x v="3"/>
    <x v="2"/>
    <x v="245"/>
    <x v="0"/>
  </r>
  <r>
    <x v="817"/>
    <x v="689"/>
    <x v="1"/>
    <x v="23"/>
    <x v="51"/>
    <x v="174"/>
    <x v="0"/>
    <x v="0"/>
    <x v="0"/>
    <x v="1"/>
    <x v="0"/>
    <x v="3"/>
    <x v="1"/>
    <x v="2"/>
    <x v="641"/>
    <x v="304"/>
    <x v="211"/>
    <x v="204"/>
    <x v="216"/>
    <x v="3"/>
    <x v="2"/>
    <x v="244"/>
    <x v="0"/>
  </r>
  <r>
    <x v="816"/>
    <x v="682"/>
    <x v="1"/>
    <x v="40"/>
    <x v="84"/>
    <x v="207"/>
    <x v="1"/>
    <x v="0"/>
    <x v="0"/>
    <x v="1"/>
    <x v="0"/>
    <x v="3"/>
    <x v="1"/>
    <x v="1"/>
    <x v="681"/>
    <x v="298"/>
    <x v="63"/>
    <x v="219"/>
    <x v="223"/>
    <x v="3"/>
    <x v="2"/>
    <x v="240"/>
    <x v="0"/>
  </r>
  <r>
    <x v="815"/>
    <x v="642"/>
    <x v="1"/>
    <x v="16"/>
    <x v="43"/>
    <x v="166"/>
    <x v="1"/>
    <x v="0"/>
    <x v="0"/>
    <x v="1"/>
    <x v="0"/>
    <x v="15"/>
    <x v="0"/>
    <x v="2"/>
    <x v="648"/>
    <x v="294"/>
    <x v="365"/>
    <x v="135"/>
    <x v="228"/>
    <x v="3"/>
    <x v="2"/>
    <x v="238"/>
    <x v="0"/>
  </r>
  <r>
    <x v="814"/>
    <x v="637"/>
    <x v="1"/>
    <x v="6"/>
    <x v="37"/>
    <x v="160"/>
    <x v="1"/>
    <x v="0"/>
    <x v="0"/>
    <x v="1"/>
    <x v="0"/>
    <x v="95"/>
    <x v="0"/>
    <x v="1"/>
    <x v="658"/>
    <x v="344"/>
    <x v="129"/>
    <x v="152"/>
    <x v="259"/>
    <x v="3"/>
    <x v="2"/>
    <x v="237"/>
    <x v="0"/>
  </r>
  <r>
    <x v="813"/>
    <x v="638"/>
    <x v="1"/>
    <x v="36"/>
    <x v="65"/>
    <x v="188"/>
    <x v="0"/>
    <x v="0"/>
    <x v="0"/>
    <x v="1"/>
    <x v="0"/>
    <x v="3"/>
    <x v="0"/>
    <x v="2"/>
    <x v="669"/>
    <x v="293"/>
    <x v="49"/>
    <x v="265"/>
    <x v="183"/>
    <x v="3"/>
    <x v="2"/>
    <x v="237"/>
    <x v="0"/>
  </r>
  <r>
    <x v="812"/>
    <x v="631"/>
    <x v="1"/>
    <x v="6"/>
    <x v="35"/>
    <x v="158"/>
    <x v="1"/>
    <x v="0"/>
    <x v="0"/>
    <x v="1"/>
    <x v="0"/>
    <x v="188"/>
    <x v="0"/>
    <x v="1"/>
    <x v="631"/>
    <x v="292"/>
    <x v="184"/>
    <x v="194"/>
    <x v="231"/>
    <x v="3"/>
    <x v="2"/>
    <x v="236"/>
    <x v="0"/>
  </r>
  <r>
    <x v="811"/>
    <x v="632"/>
    <x v="1"/>
    <x v="37"/>
    <x v="70"/>
    <x v="193"/>
    <x v="0"/>
    <x v="0"/>
    <x v="0"/>
    <x v="1"/>
    <x v="0"/>
    <x v="170"/>
    <x v="0"/>
    <x v="2"/>
    <x v="452"/>
    <x v="292"/>
    <x v="76"/>
    <x v="267"/>
    <x v="178"/>
    <x v="3"/>
    <x v="2"/>
    <x v="236"/>
    <x v="0"/>
  </r>
  <r>
    <x v="810"/>
    <x v="623"/>
    <x v="1"/>
    <x v="61"/>
    <x v="104"/>
    <x v="227"/>
    <x v="1"/>
    <x v="0"/>
    <x v="0"/>
    <x v="1"/>
    <x v="0"/>
    <x v="3"/>
    <x v="2"/>
    <x v="2"/>
    <x v="635"/>
    <x v="291"/>
    <x v="95"/>
    <x v="61"/>
    <x v="309"/>
    <x v="3"/>
    <x v="2"/>
    <x v="234"/>
    <x v="0"/>
  </r>
  <r>
    <x v="809"/>
    <x v="600"/>
    <x v="1"/>
    <x v="7"/>
    <x v="38"/>
    <x v="161"/>
    <x v="1"/>
    <x v="0"/>
    <x v="0"/>
    <x v="1"/>
    <x v="0"/>
    <x v="216"/>
    <x v="0"/>
    <x v="1"/>
    <x v="632"/>
    <x v="289"/>
    <x v="251"/>
    <x v="79"/>
    <x v="292"/>
    <x v="3"/>
    <x v="2"/>
    <x v="227"/>
    <x v="0"/>
  </r>
  <r>
    <x v="808"/>
    <x v="599"/>
    <x v="1"/>
    <x v="39"/>
    <x v="78"/>
    <x v="201"/>
    <x v="1"/>
    <x v="0"/>
    <x v="0"/>
    <x v="1"/>
    <x v="0"/>
    <x v="3"/>
    <x v="0"/>
    <x v="2"/>
    <x v="630"/>
    <x v="279"/>
    <x v="38"/>
    <x v="250"/>
    <x v="208"/>
    <x v="3"/>
    <x v="2"/>
    <x v="226"/>
    <x v="0"/>
  </r>
  <r>
    <x v="807"/>
    <x v="597"/>
    <x v="1"/>
    <x v="36"/>
    <x v="61"/>
    <x v="184"/>
    <x v="1"/>
    <x v="0"/>
    <x v="0"/>
    <x v="1"/>
    <x v="0"/>
    <x v="3"/>
    <x v="0"/>
    <x v="0"/>
    <x v="643"/>
    <x v="280"/>
    <x v="54"/>
    <x v="260"/>
    <x v="190"/>
    <x v="3"/>
    <x v="2"/>
    <x v="226"/>
    <x v="0"/>
  </r>
  <r>
    <x v="806"/>
    <x v="598"/>
    <x v="1"/>
    <x v="39"/>
    <x v="77"/>
    <x v="200"/>
    <x v="1"/>
    <x v="0"/>
    <x v="0"/>
    <x v="1"/>
    <x v="0"/>
    <x v="8"/>
    <x v="0"/>
    <x v="2"/>
    <x v="606"/>
    <x v="279"/>
    <x v="58"/>
    <x v="243"/>
    <x v="209"/>
    <x v="3"/>
    <x v="2"/>
    <x v="226"/>
    <x v="0"/>
  </r>
  <r>
    <x v="805"/>
    <x v="596"/>
    <x v="1"/>
    <x v="3"/>
    <x v="25"/>
    <x v="148"/>
    <x v="1"/>
    <x v="0"/>
    <x v="0"/>
    <x v="1"/>
    <x v="0"/>
    <x v="22"/>
    <x v="0"/>
    <x v="1"/>
    <x v="655"/>
    <x v="286"/>
    <x v="275"/>
    <x v="151"/>
    <x v="236"/>
    <x v="3"/>
    <x v="2"/>
    <x v="226"/>
    <x v="0"/>
  </r>
  <r>
    <x v="804"/>
    <x v="595"/>
    <x v="1"/>
    <x v="19"/>
    <x v="47"/>
    <x v="170"/>
    <x v="1"/>
    <x v="0"/>
    <x v="0"/>
    <x v="1"/>
    <x v="0"/>
    <x v="2"/>
    <x v="2"/>
    <x v="0"/>
    <x v="629"/>
    <x v="310"/>
    <x v="546"/>
    <x v="129"/>
    <x v="204"/>
    <x v="3"/>
    <x v="2"/>
    <x v="225"/>
    <x v="0"/>
  </r>
  <r>
    <x v="803"/>
    <x v="584"/>
    <x v="1"/>
    <x v="6"/>
    <x v="33"/>
    <x v="156"/>
    <x v="1"/>
    <x v="0"/>
    <x v="0"/>
    <x v="1"/>
    <x v="0"/>
    <x v="3"/>
    <x v="0"/>
    <x v="2"/>
    <x v="627"/>
    <x v="274"/>
    <x v="157"/>
    <x v="159"/>
    <x v="249"/>
    <x v="3"/>
    <x v="2"/>
    <x v="220"/>
    <x v="0"/>
  </r>
  <r>
    <x v="802"/>
    <x v="585"/>
    <x v="1"/>
    <x v="6"/>
    <x v="34"/>
    <x v="157"/>
    <x v="1"/>
    <x v="0"/>
    <x v="0"/>
    <x v="1"/>
    <x v="0"/>
    <x v="3"/>
    <x v="0"/>
    <x v="2"/>
    <x v="627"/>
    <x v="275"/>
    <x v="158"/>
    <x v="160"/>
    <x v="248"/>
    <x v="3"/>
    <x v="2"/>
    <x v="220"/>
    <x v="0"/>
  </r>
  <r>
    <x v="801"/>
    <x v="581"/>
    <x v="1"/>
    <x v="25"/>
    <x v="56"/>
    <x v="179"/>
    <x v="1"/>
    <x v="0"/>
    <x v="0"/>
    <x v="1"/>
    <x v="0"/>
    <x v="16"/>
    <x v="2"/>
    <x v="2"/>
    <x v="593"/>
    <x v="273"/>
    <x v="29"/>
    <x v="207"/>
    <x v="240"/>
    <x v="3"/>
    <x v="2"/>
    <x v="219"/>
    <x v="0"/>
  </r>
  <r>
    <x v="800"/>
    <x v="569"/>
    <x v="1"/>
    <x v="4"/>
    <x v="28"/>
    <x v="151"/>
    <x v="1"/>
    <x v="0"/>
    <x v="0"/>
    <x v="1"/>
    <x v="0"/>
    <x v="53"/>
    <x v="0"/>
    <x v="2"/>
    <x v="560"/>
    <x v="293"/>
    <x v="178"/>
    <x v="147"/>
    <x v="258"/>
    <x v="3"/>
    <x v="2"/>
    <x v="213"/>
    <x v="0"/>
  </r>
  <r>
    <x v="799"/>
    <x v="482"/>
    <x v="1"/>
    <x v="25"/>
    <x v="54"/>
    <x v="177"/>
    <x v="0"/>
    <x v="0"/>
    <x v="0"/>
    <x v="1"/>
    <x v="0"/>
    <x v="35"/>
    <x v="0"/>
    <x v="2"/>
    <x v="486"/>
    <x v="239"/>
    <x v="28"/>
    <x v="206"/>
    <x v="241"/>
    <x v="3"/>
    <x v="2"/>
    <x v="191"/>
    <x v="0"/>
  </r>
  <r>
    <x v="798"/>
    <x v="483"/>
    <x v="1"/>
    <x v="36"/>
    <x v="60"/>
    <x v="183"/>
    <x v="0"/>
    <x v="0"/>
    <x v="0"/>
    <x v="1"/>
    <x v="0"/>
    <x v="48"/>
    <x v="0"/>
    <x v="2"/>
    <x v="454"/>
    <x v="239"/>
    <x v="44"/>
    <x v="264"/>
    <x v="184"/>
    <x v="3"/>
    <x v="2"/>
    <x v="191"/>
    <x v="0"/>
  </r>
  <r>
    <x v="797"/>
    <x v="466"/>
    <x v="1"/>
    <x v="26"/>
    <x v="58"/>
    <x v="181"/>
    <x v="1"/>
    <x v="0"/>
    <x v="0"/>
    <x v="1"/>
    <x v="0"/>
    <x v="139"/>
    <x v="2"/>
    <x v="0"/>
    <x v="97"/>
    <x v="226"/>
    <x v="113"/>
    <x v="149"/>
    <x v="266"/>
    <x v="3"/>
    <x v="2"/>
    <x v="185"/>
    <x v="0"/>
  </r>
  <r>
    <x v="796"/>
    <x v="372"/>
    <x v="1"/>
    <x v="6"/>
    <x v="31"/>
    <x v="154"/>
    <x v="1"/>
    <x v="0"/>
    <x v="0"/>
    <x v="1"/>
    <x v="0"/>
    <x v="101"/>
    <x v="0"/>
    <x v="2"/>
    <x v="429"/>
    <x v="195"/>
    <x v="165"/>
    <x v="154"/>
    <x v="247"/>
    <x v="3"/>
    <x v="2"/>
    <x v="156"/>
    <x v="0"/>
  </r>
  <r>
    <x v="795"/>
    <x v="262"/>
    <x v="1"/>
    <x v="20"/>
    <x v="48"/>
    <x v="171"/>
    <x v="1"/>
    <x v="0"/>
    <x v="0"/>
    <x v="1"/>
    <x v="0"/>
    <x v="25"/>
    <x v="0"/>
    <x v="2"/>
    <x v="10"/>
    <x v="157"/>
    <x v="580"/>
    <x v="99"/>
    <x v="210"/>
    <x v="3"/>
    <x v="2"/>
    <x v="110"/>
    <x v="0"/>
  </r>
  <r>
    <x v="794"/>
    <x v="227"/>
    <x v="1"/>
    <x v="20"/>
    <x v="49"/>
    <x v="172"/>
    <x v="1"/>
    <x v="0"/>
    <x v="0"/>
    <x v="1"/>
    <x v="0"/>
    <x v="11"/>
    <x v="0"/>
    <x v="0"/>
    <x v="13"/>
    <x v="163"/>
    <x v="620"/>
    <x v="198"/>
    <x v="125"/>
    <x v="3"/>
    <x v="2"/>
    <x v="101"/>
    <x v="0"/>
  </r>
  <r>
    <x v="793"/>
    <x v="228"/>
    <x v="1"/>
    <x v="20"/>
    <x v="50"/>
    <x v="173"/>
    <x v="1"/>
    <x v="0"/>
    <x v="0"/>
    <x v="1"/>
    <x v="0"/>
    <x v="21"/>
    <x v="0"/>
    <x v="0"/>
    <x v="186"/>
    <x v="150"/>
    <x v="624"/>
    <x v="178"/>
    <x v="144"/>
    <x v="3"/>
    <x v="2"/>
    <x v="101"/>
    <x v="0"/>
  </r>
  <r>
    <x v="792"/>
    <x v="49"/>
    <x v="1"/>
    <x v="26"/>
    <x v="57"/>
    <x v="180"/>
    <x v="0"/>
    <x v="0"/>
    <x v="0"/>
    <x v="1"/>
    <x v="0"/>
    <x v="286"/>
    <x v="2"/>
    <x v="2"/>
    <x v="51"/>
    <x v="123"/>
    <x v="91"/>
    <x v="164"/>
    <x v="264"/>
    <x v="3"/>
    <x v="2"/>
    <x v="34"/>
    <x v="0"/>
  </r>
  <r>
    <x v="791"/>
    <x v="16"/>
    <x v="1"/>
    <x v="19"/>
    <x v="46"/>
    <x v="169"/>
    <x v="0"/>
    <x v="0"/>
    <x v="0"/>
    <x v="1"/>
    <x v="0"/>
    <x v="2"/>
    <x v="0"/>
    <x v="2"/>
    <x v="29"/>
    <x v="17"/>
    <x v="530"/>
    <x v="134"/>
    <x v="206"/>
    <x v="3"/>
    <x v="2"/>
    <x v="12"/>
    <x v="0"/>
  </r>
  <r>
    <x v="790"/>
    <x v="10"/>
    <x v="1"/>
    <x v="3"/>
    <x v="20"/>
    <x v="143"/>
    <x v="0"/>
    <x v="0"/>
    <x v="0"/>
    <x v="1"/>
    <x v="0"/>
    <x v="360"/>
    <x v="0"/>
    <x v="2"/>
    <x v="26"/>
    <x v="19"/>
    <x v="297"/>
    <x v="93"/>
    <x v="278"/>
    <x v="3"/>
    <x v="2"/>
    <x v="8"/>
    <x v="0"/>
  </r>
  <r>
    <x v="789"/>
    <x v="4"/>
    <x v="1"/>
    <x v="58"/>
    <x v="89"/>
    <x v="212"/>
    <x v="0"/>
    <x v="0"/>
    <x v="0"/>
    <x v="1"/>
    <x v="0"/>
    <x v="133"/>
    <x v="2"/>
    <x v="2"/>
    <x v="8"/>
    <x v="11"/>
    <x v="67"/>
    <x v="172"/>
    <x v="275"/>
    <x v="3"/>
    <x v="2"/>
    <x v="6"/>
    <x v="0"/>
  </r>
  <r>
    <x v="788"/>
    <x v="1"/>
    <x v="1"/>
    <x v="4"/>
    <x v="5"/>
    <x v="141"/>
    <x v="0"/>
    <x v="0"/>
    <x v="0"/>
    <x v="1"/>
    <x v="0"/>
    <x v="92"/>
    <x v="1"/>
    <x v="2"/>
    <x v="5"/>
    <x v="3"/>
    <x v="156"/>
    <x v="142"/>
    <x v="262"/>
    <x v="2"/>
    <x v="2"/>
    <x v="1"/>
    <x v="0"/>
  </r>
  <r>
    <x v="787"/>
    <x v="0"/>
    <x v="1"/>
    <x v="59"/>
    <x v="6"/>
    <x v="142"/>
    <x v="0"/>
    <x v="0"/>
    <x v="0"/>
    <x v="1"/>
    <x v="0"/>
    <x v="8"/>
    <x v="2"/>
    <x v="2"/>
    <x v="4"/>
    <x v="2"/>
    <x v="110"/>
    <x v="138"/>
    <x v="280"/>
    <x v="2"/>
    <x v="2"/>
    <x v="0"/>
    <x v="0"/>
  </r>
  <r>
    <x v="786"/>
    <x v="885"/>
    <x v="2"/>
    <x v="12"/>
    <x v="107"/>
    <x v="447"/>
    <x v="1"/>
    <x v="0"/>
    <x v="0"/>
    <x v="0"/>
    <x v="0"/>
    <x v="8"/>
    <x v="0"/>
    <x v="2"/>
    <x v="722"/>
    <x v="446"/>
    <x v="207"/>
    <x v="514"/>
    <x v="367"/>
    <x v="3"/>
    <x v="2"/>
    <x v="286"/>
    <x v="0"/>
  </r>
  <r>
    <x v="785"/>
    <x v="881"/>
    <x v="2"/>
    <x v="43"/>
    <x v="252"/>
    <x v="592"/>
    <x v="1"/>
    <x v="0"/>
    <x v="0"/>
    <x v="0"/>
    <x v="0"/>
    <x v="8"/>
    <x v="2"/>
    <x v="1"/>
    <x v="708"/>
    <x v="436"/>
    <x v="359"/>
    <x v="482"/>
    <x v="311"/>
    <x v="3"/>
    <x v="2"/>
    <x v="285"/>
    <x v="0"/>
  </r>
  <r>
    <x v="784"/>
    <x v="876"/>
    <x v="2"/>
    <x v="43"/>
    <x v="199"/>
    <x v="539"/>
    <x v="1"/>
    <x v="0"/>
    <x v="0"/>
    <x v="0"/>
    <x v="0"/>
    <x v="168"/>
    <x v="2"/>
    <x v="1"/>
    <x v="353"/>
    <x v="436"/>
    <x v="507"/>
    <x v="495"/>
    <x v="182"/>
    <x v="3"/>
    <x v="2"/>
    <x v="283"/>
    <x v="0"/>
  </r>
  <r>
    <x v="783"/>
    <x v="796"/>
    <x v="2"/>
    <x v="43"/>
    <x v="236"/>
    <x v="576"/>
    <x v="1"/>
    <x v="0"/>
    <x v="0"/>
    <x v="0"/>
    <x v="0"/>
    <x v="320"/>
    <x v="0"/>
    <x v="1"/>
    <x v="523"/>
    <x v="375"/>
    <x v="443"/>
    <x v="478"/>
    <x v="318"/>
    <x v="3"/>
    <x v="2"/>
    <x v="266"/>
    <x v="0"/>
  </r>
  <r>
    <x v="782"/>
    <x v="791"/>
    <x v="2"/>
    <x v="43"/>
    <x v="245"/>
    <x v="585"/>
    <x v="1"/>
    <x v="0"/>
    <x v="0"/>
    <x v="0"/>
    <x v="0"/>
    <x v="100"/>
    <x v="0"/>
    <x v="1"/>
    <x v="623"/>
    <x v="374"/>
    <x v="403"/>
    <x v="474"/>
    <x v="322"/>
    <x v="3"/>
    <x v="2"/>
    <x v="265"/>
    <x v="0"/>
  </r>
  <r>
    <x v="781"/>
    <x v="790"/>
    <x v="2"/>
    <x v="43"/>
    <x v="117"/>
    <x v="457"/>
    <x v="1"/>
    <x v="0"/>
    <x v="0"/>
    <x v="0"/>
    <x v="0"/>
    <x v="506"/>
    <x v="0"/>
    <x v="1"/>
    <x v="96"/>
    <x v="373"/>
    <x v="410"/>
    <x v="477"/>
    <x v="319"/>
    <x v="3"/>
    <x v="2"/>
    <x v="265"/>
    <x v="0"/>
  </r>
  <r>
    <x v="780"/>
    <x v="792"/>
    <x v="2"/>
    <x v="43"/>
    <x v="251"/>
    <x v="591"/>
    <x v="1"/>
    <x v="0"/>
    <x v="0"/>
    <x v="0"/>
    <x v="0"/>
    <x v="28"/>
    <x v="0"/>
    <x v="2"/>
    <x v="675"/>
    <x v="372"/>
    <x v="376"/>
    <x v="518"/>
    <x v="257"/>
    <x v="3"/>
    <x v="2"/>
    <x v="265"/>
    <x v="0"/>
  </r>
  <r>
    <x v="779"/>
    <x v="788"/>
    <x v="2"/>
    <x v="67"/>
    <x v="253"/>
    <x v="593"/>
    <x v="1"/>
    <x v="0"/>
    <x v="0"/>
    <x v="0"/>
    <x v="0"/>
    <x v="504"/>
    <x v="1"/>
    <x v="1"/>
    <x v="27"/>
    <x v="434"/>
    <x v="397"/>
    <x v="414"/>
    <x v="394"/>
    <x v="3"/>
    <x v="2"/>
    <x v="264"/>
    <x v="0"/>
  </r>
  <r>
    <x v="778"/>
    <x v="702"/>
    <x v="2"/>
    <x v="43"/>
    <x v="145"/>
    <x v="485"/>
    <x v="1"/>
    <x v="0"/>
    <x v="0"/>
    <x v="0"/>
    <x v="0"/>
    <x v="326"/>
    <x v="1"/>
    <x v="2"/>
    <x v="142"/>
    <x v="436"/>
    <x v="464"/>
    <x v="426"/>
    <x v="378"/>
    <x v="3"/>
    <x v="2"/>
    <x v="251"/>
    <x v="0"/>
  </r>
  <r>
    <x v="777"/>
    <x v="697"/>
    <x v="2"/>
    <x v="43"/>
    <x v="242"/>
    <x v="582"/>
    <x v="1"/>
    <x v="0"/>
    <x v="0"/>
    <x v="0"/>
    <x v="0"/>
    <x v="77"/>
    <x v="1"/>
    <x v="0"/>
    <x v="558"/>
    <x v="436"/>
    <x v="416"/>
    <x v="498"/>
    <x v="173"/>
    <x v="3"/>
    <x v="2"/>
    <x v="248"/>
    <x v="0"/>
  </r>
  <r>
    <x v="776"/>
    <x v="694"/>
    <x v="2"/>
    <x v="43"/>
    <x v="167"/>
    <x v="507"/>
    <x v="1"/>
    <x v="0"/>
    <x v="0"/>
    <x v="0"/>
    <x v="0"/>
    <x v="227"/>
    <x v="1"/>
    <x v="2"/>
    <x v="183"/>
    <x v="436"/>
    <x v="463"/>
    <x v="526"/>
    <x v="788"/>
    <x v="3"/>
    <x v="2"/>
    <x v="247"/>
    <x v="0"/>
  </r>
  <r>
    <x v="775"/>
    <x v="695"/>
    <x v="2"/>
    <x v="43"/>
    <x v="233"/>
    <x v="573"/>
    <x v="1"/>
    <x v="0"/>
    <x v="0"/>
    <x v="0"/>
    <x v="0"/>
    <x v="233"/>
    <x v="2"/>
    <x v="2"/>
    <x v="465"/>
    <x v="436"/>
    <x v="478"/>
    <x v="513"/>
    <x v="358"/>
    <x v="3"/>
    <x v="2"/>
    <x v="247"/>
    <x v="0"/>
  </r>
  <r>
    <x v="774"/>
    <x v="696"/>
    <x v="2"/>
    <x v="43"/>
    <x v="244"/>
    <x v="584"/>
    <x v="1"/>
    <x v="0"/>
    <x v="0"/>
    <x v="0"/>
    <x v="0"/>
    <x v="8"/>
    <x v="0"/>
    <x v="0"/>
    <x v="590"/>
    <x v="436"/>
    <x v="494"/>
    <x v="527"/>
    <x v="795"/>
    <x v="3"/>
    <x v="2"/>
    <x v="247"/>
    <x v="0"/>
  </r>
  <r>
    <x v="773"/>
    <x v="679"/>
    <x v="2"/>
    <x v="43"/>
    <x v="248"/>
    <x v="588"/>
    <x v="1"/>
    <x v="0"/>
    <x v="0"/>
    <x v="0"/>
    <x v="0"/>
    <x v="22"/>
    <x v="2"/>
    <x v="1"/>
    <x v="675"/>
    <x v="436"/>
    <x v="542"/>
    <x v="531"/>
    <x v="848"/>
    <x v="3"/>
    <x v="2"/>
    <x v="240"/>
    <x v="0"/>
  </r>
  <r>
    <x v="772"/>
    <x v="681"/>
    <x v="2"/>
    <x v="43"/>
    <x v="250"/>
    <x v="590"/>
    <x v="1"/>
    <x v="0"/>
    <x v="0"/>
    <x v="0"/>
    <x v="0"/>
    <x v="22"/>
    <x v="2"/>
    <x v="1"/>
    <x v="675"/>
    <x v="436"/>
    <x v="571"/>
    <x v="520"/>
    <x v="287"/>
    <x v="3"/>
    <x v="2"/>
    <x v="240"/>
    <x v="0"/>
  </r>
  <r>
    <x v="771"/>
    <x v="680"/>
    <x v="2"/>
    <x v="43"/>
    <x v="249"/>
    <x v="589"/>
    <x v="1"/>
    <x v="0"/>
    <x v="0"/>
    <x v="0"/>
    <x v="0"/>
    <x v="22"/>
    <x v="2"/>
    <x v="1"/>
    <x v="675"/>
    <x v="436"/>
    <x v="553"/>
    <x v="510"/>
    <x v="436"/>
    <x v="3"/>
    <x v="2"/>
    <x v="240"/>
    <x v="0"/>
  </r>
  <r>
    <x v="770"/>
    <x v="677"/>
    <x v="2"/>
    <x v="43"/>
    <x v="246"/>
    <x v="586"/>
    <x v="1"/>
    <x v="0"/>
    <x v="0"/>
    <x v="0"/>
    <x v="0"/>
    <x v="22"/>
    <x v="2"/>
    <x v="1"/>
    <x v="675"/>
    <x v="436"/>
    <x v="495"/>
    <x v="508"/>
    <x v="21"/>
    <x v="3"/>
    <x v="2"/>
    <x v="240"/>
    <x v="0"/>
  </r>
  <r>
    <x v="769"/>
    <x v="678"/>
    <x v="2"/>
    <x v="43"/>
    <x v="247"/>
    <x v="587"/>
    <x v="1"/>
    <x v="0"/>
    <x v="0"/>
    <x v="0"/>
    <x v="0"/>
    <x v="22"/>
    <x v="2"/>
    <x v="1"/>
    <x v="675"/>
    <x v="436"/>
    <x v="504"/>
    <x v="544"/>
    <x v="558"/>
    <x v="3"/>
    <x v="2"/>
    <x v="240"/>
    <x v="0"/>
  </r>
  <r>
    <x v="768"/>
    <x v="605"/>
    <x v="2"/>
    <x v="43"/>
    <x v="234"/>
    <x v="574"/>
    <x v="1"/>
    <x v="0"/>
    <x v="0"/>
    <x v="0"/>
    <x v="0"/>
    <x v="240"/>
    <x v="2"/>
    <x v="1"/>
    <x v="465"/>
    <x v="436"/>
    <x v="321"/>
    <x v="515"/>
    <x v="344"/>
    <x v="3"/>
    <x v="2"/>
    <x v="229"/>
    <x v="0"/>
  </r>
  <r>
    <x v="767"/>
    <x v="588"/>
    <x v="2"/>
    <x v="43"/>
    <x v="158"/>
    <x v="498"/>
    <x v="1"/>
    <x v="0"/>
    <x v="0"/>
    <x v="0"/>
    <x v="0"/>
    <x v="485"/>
    <x v="1"/>
    <x v="1"/>
    <x v="142"/>
    <x v="436"/>
    <x v="554"/>
    <x v="504"/>
    <x v="46"/>
    <x v="3"/>
    <x v="2"/>
    <x v="223"/>
    <x v="0"/>
  </r>
  <r>
    <x v="766"/>
    <x v="589"/>
    <x v="2"/>
    <x v="43"/>
    <x v="230"/>
    <x v="570"/>
    <x v="1"/>
    <x v="0"/>
    <x v="0"/>
    <x v="0"/>
    <x v="0"/>
    <x v="180"/>
    <x v="2"/>
    <x v="1"/>
    <x v="447"/>
    <x v="436"/>
    <x v="498"/>
    <x v="543"/>
    <x v="535"/>
    <x v="3"/>
    <x v="2"/>
    <x v="223"/>
    <x v="0"/>
  </r>
  <r>
    <x v="765"/>
    <x v="515"/>
    <x v="2"/>
    <x v="43"/>
    <x v="212"/>
    <x v="552"/>
    <x v="2"/>
    <x v="0"/>
    <x v="0"/>
    <x v="0"/>
    <x v="0"/>
    <x v="130"/>
    <x v="1"/>
    <x v="2"/>
    <x v="397"/>
    <x v="436"/>
    <x v="489"/>
    <x v="416"/>
    <x v="383"/>
    <x v="3"/>
    <x v="2"/>
    <x v="200"/>
    <x v="0"/>
  </r>
  <r>
    <x v="764"/>
    <x v="514"/>
    <x v="2"/>
    <x v="43"/>
    <x v="147"/>
    <x v="487"/>
    <x v="1"/>
    <x v="0"/>
    <x v="0"/>
    <x v="0"/>
    <x v="0"/>
    <x v="501"/>
    <x v="0"/>
    <x v="0"/>
    <x v="142"/>
    <x v="436"/>
    <x v="491"/>
    <x v="465"/>
    <x v="324"/>
    <x v="3"/>
    <x v="2"/>
    <x v="200"/>
    <x v="0"/>
  </r>
  <r>
    <x v="763"/>
    <x v="513"/>
    <x v="2"/>
    <x v="43"/>
    <x v="111"/>
    <x v="451"/>
    <x v="1"/>
    <x v="0"/>
    <x v="0"/>
    <x v="0"/>
    <x v="0"/>
    <x v="458"/>
    <x v="1"/>
    <x v="0"/>
    <x v="32"/>
    <x v="435"/>
    <x v="468"/>
    <x v="456"/>
    <x v="338"/>
    <x v="3"/>
    <x v="2"/>
    <x v="200"/>
    <x v="0"/>
  </r>
  <r>
    <x v="762"/>
    <x v="496"/>
    <x v="2"/>
    <x v="43"/>
    <x v="164"/>
    <x v="504"/>
    <x v="1"/>
    <x v="0"/>
    <x v="0"/>
    <x v="0"/>
    <x v="0"/>
    <x v="194"/>
    <x v="0"/>
    <x v="2"/>
    <x v="183"/>
    <x v="436"/>
    <x v="477"/>
    <x v="530"/>
    <x v="831"/>
    <x v="3"/>
    <x v="2"/>
    <x v="194"/>
    <x v="0"/>
  </r>
  <r>
    <x v="761"/>
    <x v="498"/>
    <x v="2"/>
    <x v="43"/>
    <x v="168"/>
    <x v="508"/>
    <x v="1"/>
    <x v="0"/>
    <x v="0"/>
    <x v="0"/>
    <x v="0"/>
    <x v="318"/>
    <x v="1"/>
    <x v="0"/>
    <x v="183"/>
    <x v="436"/>
    <x v="490"/>
    <x v="444"/>
    <x v="351"/>
    <x v="3"/>
    <x v="2"/>
    <x v="194"/>
    <x v="0"/>
  </r>
  <r>
    <x v="760"/>
    <x v="499"/>
    <x v="2"/>
    <x v="43"/>
    <x v="175"/>
    <x v="515"/>
    <x v="1"/>
    <x v="0"/>
    <x v="0"/>
    <x v="0"/>
    <x v="0"/>
    <x v="422"/>
    <x v="1"/>
    <x v="2"/>
    <x v="242"/>
    <x v="436"/>
    <x v="591"/>
    <x v="479"/>
    <x v="308"/>
    <x v="3"/>
    <x v="2"/>
    <x v="194"/>
    <x v="0"/>
  </r>
  <r>
    <x v="759"/>
    <x v="495"/>
    <x v="2"/>
    <x v="43"/>
    <x v="132"/>
    <x v="472"/>
    <x v="1"/>
    <x v="0"/>
    <x v="0"/>
    <x v="0"/>
    <x v="0"/>
    <x v="446"/>
    <x v="0"/>
    <x v="2"/>
    <x v="117"/>
    <x v="436"/>
    <x v="492"/>
    <x v="432"/>
    <x v="365"/>
    <x v="3"/>
    <x v="2"/>
    <x v="194"/>
    <x v="0"/>
  </r>
  <r>
    <x v="758"/>
    <x v="500"/>
    <x v="2"/>
    <x v="43"/>
    <x v="243"/>
    <x v="583"/>
    <x v="1"/>
    <x v="0"/>
    <x v="0"/>
    <x v="0"/>
    <x v="0"/>
    <x v="22"/>
    <x v="2"/>
    <x v="1"/>
    <x v="558"/>
    <x v="436"/>
    <x v="501"/>
    <x v="521"/>
    <x v="663"/>
    <x v="3"/>
    <x v="2"/>
    <x v="194"/>
    <x v="0"/>
  </r>
  <r>
    <x v="757"/>
    <x v="497"/>
    <x v="2"/>
    <x v="43"/>
    <x v="166"/>
    <x v="506"/>
    <x v="1"/>
    <x v="0"/>
    <x v="0"/>
    <x v="0"/>
    <x v="0"/>
    <x v="41"/>
    <x v="0"/>
    <x v="2"/>
    <x v="183"/>
    <x v="436"/>
    <x v="496"/>
    <x v="447"/>
    <x v="346"/>
    <x v="3"/>
    <x v="2"/>
    <x v="194"/>
    <x v="0"/>
  </r>
  <r>
    <x v="756"/>
    <x v="490"/>
    <x v="2"/>
    <x v="43"/>
    <x v="240"/>
    <x v="580"/>
    <x v="1"/>
    <x v="0"/>
    <x v="0"/>
    <x v="0"/>
    <x v="0"/>
    <x v="28"/>
    <x v="2"/>
    <x v="1"/>
    <x v="558"/>
    <x v="436"/>
    <x v="466"/>
    <x v="511"/>
    <x v="446"/>
    <x v="3"/>
    <x v="2"/>
    <x v="192"/>
    <x v="0"/>
  </r>
  <r>
    <x v="755"/>
    <x v="491"/>
    <x v="2"/>
    <x v="43"/>
    <x v="241"/>
    <x v="581"/>
    <x v="1"/>
    <x v="0"/>
    <x v="0"/>
    <x v="0"/>
    <x v="0"/>
    <x v="15"/>
    <x v="2"/>
    <x v="1"/>
    <x v="558"/>
    <x v="436"/>
    <x v="465"/>
    <x v="455"/>
    <x v="340"/>
    <x v="3"/>
    <x v="2"/>
    <x v="192"/>
    <x v="0"/>
  </r>
  <r>
    <x v="754"/>
    <x v="486"/>
    <x v="2"/>
    <x v="43"/>
    <x v="239"/>
    <x v="579"/>
    <x v="1"/>
    <x v="0"/>
    <x v="0"/>
    <x v="0"/>
    <x v="0"/>
    <x v="57"/>
    <x v="2"/>
    <x v="1"/>
    <x v="558"/>
    <x v="436"/>
    <x v="444"/>
    <x v="503"/>
    <x v="64"/>
    <x v="3"/>
    <x v="2"/>
    <x v="191"/>
    <x v="0"/>
  </r>
  <r>
    <x v="753"/>
    <x v="467"/>
    <x v="2"/>
    <x v="43"/>
    <x v="237"/>
    <x v="577"/>
    <x v="1"/>
    <x v="0"/>
    <x v="0"/>
    <x v="0"/>
    <x v="0"/>
    <x v="26"/>
    <x v="2"/>
    <x v="1"/>
    <x v="523"/>
    <x v="436"/>
    <x v="451"/>
    <x v="463"/>
    <x v="329"/>
    <x v="3"/>
    <x v="2"/>
    <x v="186"/>
    <x v="0"/>
  </r>
  <r>
    <x v="752"/>
    <x v="468"/>
    <x v="2"/>
    <x v="43"/>
    <x v="238"/>
    <x v="578"/>
    <x v="1"/>
    <x v="0"/>
    <x v="0"/>
    <x v="0"/>
    <x v="0"/>
    <x v="108"/>
    <x v="2"/>
    <x v="1"/>
    <x v="523"/>
    <x v="436"/>
    <x v="323"/>
    <x v="516"/>
    <x v="328"/>
    <x v="3"/>
    <x v="2"/>
    <x v="186"/>
    <x v="0"/>
  </r>
  <r>
    <x v="751"/>
    <x v="443"/>
    <x v="2"/>
    <x v="43"/>
    <x v="235"/>
    <x v="575"/>
    <x v="1"/>
    <x v="0"/>
    <x v="0"/>
    <x v="0"/>
    <x v="0"/>
    <x v="69"/>
    <x v="2"/>
    <x v="1"/>
    <x v="523"/>
    <x v="436"/>
    <x v="480"/>
    <x v="532"/>
    <x v="868"/>
    <x v="3"/>
    <x v="2"/>
    <x v="178"/>
    <x v="0"/>
  </r>
  <r>
    <x v="750"/>
    <x v="408"/>
    <x v="2"/>
    <x v="43"/>
    <x v="205"/>
    <x v="545"/>
    <x v="1"/>
    <x v="0"/>
    <x v="0"/>
    <x v="0"/>
    <x v="0"/>
    <x v="198"/>
    <x v="2"/>
    <x v="1"/>
    <x v="364"/>
    <x v="436"/>
    <x v="529"/>
    <x v="442"/>
    <x v="353"/>
    <x v="3"/>
    <x v="2"/>
    <x v="165"/>
    <x v="0"/>
  </r>
  <r>
    <x v="749"/>
    <x v="404"/>
    <x v="2"/>
    <x v="43"/>
    <x v="127"/>
    <x v="467"/>
    <x v="1"/>
    <x v="0"/>
    <x v="0"/>
    <x v="0"/>
    <x v="0"/>
    <x v="131"/>
    <x v="2"/>
    <x v="1"/>
    <x v="117"/>
    <x v="435"/>
    <x v="601"/>
    <x v="475"/>
    <x v="310"/>
    <x v="3"/>
    <x v="2"/>
    <x v="165"/>
    <x v="0"/>
  </r>
  <r>
    <x v="748"/>
    <x v="405"/>
    <x v="2"/>
    <x v="43"/>
    <x v="141"/>
    <x v="481"/>
    <x v="1"/>
    <x v="0"/>
    <x v="0"/>
    <x v="0"/>
    <x v="0"/>
    <x v="432"/>
    <x v="2"/>
    <x v="1"/>
    <x v="117"/>
    <x v="436"/>
    <x v="537"/>
    <x v="424"/>
    <x v="372"/>
    <x v="3"/>
    <x v="2"/>
    <x v="165"/>
    <x v="0"/>
  </r>
  <r>
    <x v="747"/>
    <x v="406"/>
    <x v="2"/>
    <x v="43"/>
    <x v="153"/>
    <x v="493"/>
    <x v="1"/>
    <x v="0"/>
    <x v="0"/>
    <x v="0"/>
    <x v="0"/>
    <x v="252"/>
    <x v="2"/>
    <x v="1"/>
    <x v="142"/>
    <x v="436"/>
    <x v="539"/>
    <x v="415"/>
    <x v="381"/>
    <x v="3"/>
    <x v="2"/>
    <x v="165"/>
    <x v="0"/>
  </r>
  <r>
    <x v="746"/>
    <x v="409"/>
    <x v="2"/>
    <x v="43"/>
    <x v="206"/>
    <x v="546"/>
    <x v="1"/>
    <x v="0"/>
    <x v="0"/>
    <x v="0"/>
    <x v="0"/>
    <x v="270"/>
    <x v="2"/>
    <x v="1"/>
    <x v="364"/>
    <x v="436"/>
    <x v="578"/>
    <x v="467"/>
    <x v="320"/>
    <x v="3"/>
    <x v="2"/>
    <x v="165"/>
    <x v="0"/>
  </r>
  <r>
    <x v="745"/>
    <x v="403"/>
    <x v="2"/>
    <x v="43"/>
    <x v="124"/>
    <x v="464"/>
    <x v="1"/>
    <x v="0"/>
    <x v="0"/>
    <x v="0"/>
    <x v="0"/>
    <x v="461"/>
    <x v="2"/>
    <x v="1"/>
    <x v="117"/>
    <x v="435"/>
    <x v="569"/>
    <x v="464"/>
    <x v="323"/>
    <x v="3"/>
    <x v="2"/>
    <x v="165"/>
    <x v="0"/>
  </r>
  <r>
    <x v="744"/>
    <x v="407"/>
    <x v="2"/>
    <x v="43"/>
    <x v="176"/>
    <x v="516"/>
    <x v="1"/>
    <x v="0"/>
    <x v="0"/>
    <x v="0"/>
    <x v="0"/>
    <x v="361"/>
    <x v="2"/>
    <x v="1"/>
    <x v="242"/>
    <x v="436"/>
    <x v="597"/>
    <x v="472"/>
    <x v="313"/>
    <x v="3"/>
    <x v="2"/>
    <x v="165"/>
    <x v="0"/>
  </r>
  <r>
    <x v="743"/>
    <x v="400"/>
    <x v="2"/>
    <x v="43"/>
    <x v="232"/>
    <x v="572"/>
    <x v="1"/>
    <x v="0"/>
    <x v="0"/>
    <x v="0"/>
    <x v="0"/>
    <x v="57"/>
    <x v="2"/>
    <x v="1"/>
    <x v="465"/>
    <x v="436"/>
    <x v="574"/>
    <x v="493"/>
    <x v="176"/>
    <x v="3"/>
    <x v="2"/>
    <x v="163"/>
    <x v="0"/>
  </r>
  <r>
    <x v="742"/>
    <x v="393"/>
    <x v="2"/>
    <x v="43"/>
    <x v="178"/>
    <x v="518"/>
    <x v="1"/>
    <x v="0"/>
    <x v="0"/>
    <x v="0"/>
    <x v="0"/>
    <x v="400"/>
    <x v="2"/>
    <x v="1"/>
    <x v="242"/>
    <x v="436"/>
    <x v="573"/>
    <x v="490"/>
    <x v="189"/>
    <x v="3"/>
    <x v="2"/>
    <x v="160"/>
    <x v="0"/>
  </r>
  <r>
    <x v="741"/>
    <x v="390"/>
    <x v="2"/>
    <x v="43"/>
    <x v="133"/>
    <x v="473"/>
    <x v="1"/>
    <x v="0"/>
    <x v="0"/>
    <x v="0"/>
    <x v="0"/>
    <x v="302"/>
    <x v="2"/>
    <x v="1"/>
    <x v="117"/>
    <x v="436"/>
    <x v="493"/>
    <x v="489"/>
    <x v="221"/>
    <x v="3"/>
    <x v="2"/>
    <x v="160"/>
    <x v="0"/>
  </r>
  <r>
    <x v="740"/>
    <x v="392"/>
    <x v="2"/>
    <x v="43"/>
    <x v="169"/>
    <x v="509"/>
    <x v="1"/>
    <x v="0"/>
    <x v="0"/>
    <x v="0"/>
    <x v="0"/>
    <x v="490"/>
    <x v="2"/>
    <x v="1"/>
    <x v="183"/>
    <x v="436"/>
    <x v="522"/>
    <x v="497"/>
    <x v="137"/>
    <x v="3"/>
    <x v="2"/>
    <x v="160"/>
    <x v="0"/>
  </r>
  <r>
    <x v="739"/>
    <x v="391"/>
    <x v="2"/>
    <x v="43"/>
    <x v="163"/>
    <x v="503"/>
    <x v="1"/>
    <x v="0"/>
    <x v="0"/>
    <x v="0"/>
    <x v="0"/>
    <x v="411"/>
    <x v="2"/>
    <x v="1"/>
    <x v="183"/>
    <x v="436"/>
    <x v="502"/>
    <x v="496"/>
    <x v="146"/>
    <x v="3"/>
    <x v="2"/>
    <x v="160"/>
    <x v="0"/>
  </r>
  <r>
    <x v="738"/>
    <x v="389"/>
    <x v="2"/>
    <x v="43"/>
    <x v="120"/>
    <x v="460"/>
    <x v="1"/>
    <x v="0"/>
    <x v="0"/>
    <x v="0"/>
    <x v="0"/>
    <x v="430"/>
    <x v="2"/>
    <x v="1"/>
    <x v="96"/>
    <x v="435"/>
    <x v="526"/>
    <x v="486"/>
    <x v="226"/>
    <x v="3"/>
    <x v="2"/>
    <x v="160"/>
    <x v="0"/>
  </r>
  <r>
    <x v="737"/>
    <x v="394"/>
    <x v="2"/>
    <x v="43"/>
    <x v="200"/>
    <x v="540"/>
    <x v="1"/>
    <x v="0"/>
    <x v="0"/>
    <x v="0"/>
    <x v="0"/>
    <x v="400"/>
    <x v="2"/>
    <x v="1"/>
    <x v="353"/>
    <x v="436"/>
    <x v="485"/>
    <x v="487"/>
    <x v="234"/>
    <x v="3"/>
    <x v="2"/>
    <x v="160"/>
    <x v="0"/>
  </r>
  <r>
    <x v="736"/>
    <x v="377"/>
    <x v="2"/>
    <x v="43"/>
    <x v="149"/>
    <x v="489"/>
    <x v="1"/>
    <x v="0"/>
    <x v="0"/>
    <x v="0"/>
    <x v="0"/>
    <x v="59"/>
    <x v="2"/>
    <x v="1"/>
    <x v="142"/>
    <x v="436"/>
    <x v="520"/>
    <x v="433"/>
    <x v="362"/>
    <x v="3"/>
    <x v="2"/>
    <x v="158"/>
    <x v="0"/>
  </r>
  <r>
    <x v="735"/>
    <x v="375"/>
    <x v="2"/>
    <x v="43"/>
    <x v="130"/>
    <x v="470"/>
    <x v="1"/>
    <x v="0"/>
    <x v="0"/>
    <x v="0"/>
    <x v="0"/>
    <x v="317"/>
    <x v="2"/>
    <x v="1"/>
    <x v="117"/>
    <x v="435"/>
    <x v="514"/>
    <x v="418"/>
    <x v="379"/>
    <x v="3"/>
    <x v="2"/>
    <x v="158"/>
    <x v="0"/>
  </r>
  <r>
    <x v="734"/>
    <x v="381"/>
    <x v="2"/>
    <x v="43"/>
    <x v="196"/>
    <x v="536"/>
    <x v="1"/>
    <x v="0"/>
    <x v="0"/>
    <x v="0"/>
    <x v="0"/>
    <x v="298"/>
    <x v="2"/>
    <x v="1"/>
    <x v="301"/>
    <x v="436"/>
    <x v="548"/>
    <x v="425"/>
    <x v="370"/>
    <x v="3"/>
    <x v="2"/>
    <x v="158"/>
    <x v="0"/>
  </r>
  <r>
    <x v="733"/>
    <x v="379"/>
    <x v="2"/>
    <x v="43"/>
    <x v="161"/>
    <x v="501"/>
    <x v="1"/>
    <x v="0"/>
    <x v="0"/>
    <x v="0"/>
    <x v="0"/>
    <x v="442"/>
    <x v="1"/>
    <x v="1"/>
    <x v="142"/>
    <x v="436"/>
    <x v="503"/>
    <x v="421"/>
    <x v="380"/>
    <x v="3"/>
    <x v="2"/>
    <x v="158"/>
    <x v="0"/>
  </r>
  <r>
    <x v="732"/>
    <x v="380"/>
    <x v="2"/>
    <x v="43"/>
    <x v="177"/>
    <x v="517"/>
    <x v="1"/>
    <x v="0"/>
    <x v="0"/>
    <x v="0"/>
    <x v="0"/>
    <x v="292"/>
    <x v="2"/>
    <x v="1"/>
    <x v="242"/>
    <x v="436"/>
    <x v="532"/>
    <x v="423"/>
    <x v="374"/>
    <x v="3"/>
    <x v="2"/>
    <x v="158"/>
    <x v="0"/>
  </r>
  <r>
    <x v="731"/>
    <x v="378"/>
    <x v="2"/>
    <x v="43"/>
    <x v="150"/>
    <x v="490"/>
    <x v="1"/>
    <x v="0"/>
    <x v="0"/>
    <x v="0"/>
    <x v="0"/>
    <x v="389"/>
    <x v="2"/>
    <x v="1"/>
    <x v="142"/>
    <x v="436"/>
    <x v="524"/>
    <x v="438"/>
    <x v="356"/>
    <x v="3"/>
    <x v="2"/>
    <x v="158"/>
    <x v="0"/>
  </r>
  <r>
    <x v="730"/>
    <x v="376"/>
    <x v="2"/>
    <x v="43"/>
    <x v="148"/>
    <x v="488"/>
    <x v="1"/>
    <x v="0"/>
    <x v="0"/>
    <x v="0"/>
    <x v="0"/>
    <x v="376"/>
    <x v="2"/>
    <x v="1"/>
    <x v="142"/>
    <x v="436"/>
    <x v="500"/>
    <x v="411"/>
    <x v="387"/>
    <x v="3"/>
    <x v="2"/>
    <x v="158"/>
    <x v="0"/>
  </r>
  <r>
    <x v="729"/>
    <x v="382"/>
    <x v="2"/>
    <x v="43"/>
    <x v="218"/>
    <x v="558"/>
    <x v="1"/>
    <x v="0"/>
    <x v="0"/>
    <x v="0"/>
    <x v="0"/>
    <x v="156"/>
    <x v="2"/>
    <x v="1"/>
    <x v="403"/>
    <x v="436"/>
    <x v="523"/>
    <x v="430"/>
    <x v="364"/>
    <x v="3"/>
    <x v="2"/>
    <x v="158"/>
    <x v="0"/>
  </r>
  <r>
    <x v="728"/>
    <x v="371"/>
    <x v="2"/>
    <x v="43"/>
    <x v="229"/>
    <x v="569"/>
    <x v="1"/>
    <x v="0"/>
    <x v="0"/>
    <x v="0"/>
    <x v="0"/>
    <x v="22"/>
    <x v="2"/>
    <x v="1"/>
    <x v="447"/>
    <x v="436"/>
    <x v="560"/>
    <x v="517"/>
    <x v="306"/>
    <x v="3"/>
    <x v="2"/>
    <x v="155"/>
    <x v="0"/>
  </r>
  <r>
    <x v="727"/>
    <x v="370"/>
    <x v="2"/>
    <x v="43"/>
    <x v="228"/>
    <x v="568"/>
    <x v="1"/>
    <x v="0"/>
    <x v="0"/>
    <x v="0"/>
    <x v="0"/>
    <x v="247"/>
    <x v="2"/>
    <x v="1"/>
    <x v="447"/>
    <x v="436"/>
    <x v="556"/>
    <x v="526"/>
    <x v="780"/>
    <x v="3"/>
    <x v="2"/>
    <x v="155"/>
    <x v="0"/>
  </r>
  <r>
    <x v="726"/>
    <x v="368"/>
    <x v="2"/>
    <x v="43"/>
    <x v="227"/>
    <x v="567"/>
    <x v="1"/>
    <x v="0"/>
    <x v="0"/>
    <x v="0"/>
    <x v="0"/>
    <x v="70"/>
    <x v="2"/>
    <x v="1"/>
    <x v="447"/>
    <x v="436"/>
    <x v="583"/>
    <x v="473"/>
    <x v="315"/>
    <x v="3"/>
    <x v="2"/>
    <x v="154"/>
    <x v="0"/>
  </r>
  <r>
    <x v="725"/>
    <x v="367"/>
    <x v="2"/>
    <x v="43"/>
    <x v="226"/>
    <x v="566"/>
    <x v="1"/>
    <x v="0"/>
    <x v="0"/>
    <x v="0"/>
    <x v="0"/>
    <x v="215"/>
    <x v="2"/>
    <x v="1"/>
    <x v="447"/>
    <x v="436"/>
    <x v="581"/>
    <x v="470"/>
    <x v="316"/>
    <x v="3"/>
    <x v="2"/>
    <x v="154"/>
    <x v="0"/>
  </r>
  <r>
    <x v="724"/>
    <x v="363"/>
    <x v="2"/>
    <x v="43"/>
    <x v="231"/>
    <x v="571"/>
    <x v="1"/>
    <x v="0"/>
    <x v="0"/>
    <x v="0"/>
    <x v="0"/>
    <x v="37"/>
    <x v="2"/>
    <x v="1"/>
    <x v="447"/>
    <x v="436"/>
    <x v="481"/>
    <x v="539"/>
    <x v="882"/>
    <x v="3"/>
    <x v="2"/>
    <x v="151"/>
    <x v="0"/>
  </r>
  <r>
    <x v="723"/>
    <x v="358"/>
    <x v="2"/>
    <x v="43"/>
    <x v="165"/>
    <x v="505"/>
    <x v="1"/>
    <x v="0"/>
    <x v="0"/>
    <x v="0"/>
    <x v="0"/>
    <x v="296"/>
    <x v="2"/>
    <x v="1"/>
    <x v="183"/>
    <x v="436"/>
    <x v="486"/>
    <x v="476"/>
    <x v="317"/>
    <x v="3"/>
    <x v="2"/>
    <x v="148"/>
    <x v="0"/>
  </r>
  <r>
    <x v="722"/>
    <x v="359"/>
    <x v="2"/>
    <x v="43"/>
    <x v="170"/>
    <x v="510"/>
    <x v="1"/>
    <x v="0"/>
    <x v="0"/>
    <x v="0"/>
    <x v="0"/>
    <x v="417"/>
    <x v="2"/>
    <x v="1"/>
    <x v="183"/>
    <x v="436"/>
    <x v="519"/>
    <x v="492"/>
    <x v="188"/>
    <x v="3"/>
    <x v="2"/>
    <x v="148"/>
    <x v="0"/>
  </r>
  <r>
    <x v="721"/>
    <x v="356"/>
    <x v="2"/>
    <x v="43"/>
    <x v="116"/>
    <x v="456"/>
    <x v="1"/>
    <x v="0"/>
    <x v="0"/>
    <x v="0"/>
    <x v="0"/>
    <x v="444"/>
    <x v="0"/>
    <x v="2"/>
    <x v="96"/>
    <x v="435"/>
    <x v="424"/>
    <x v="468"/>
    <x v="325"/>
    <x v="3"/>
    <x v="2"/>
    <x v="146"/>
    <x v="0"/>
  </r>
  <r>
    <x v="720"/>
    <x v="354"/>
    <x v="2"/>
    <x v="43"/>
    <x v="131"/>
    <x v="471"/>
    <x v="1"/>
    <x v="0"/>
    <x v="0"/>
    <x v="0"/>
    <x v="0"/>
    <x v="267"/>
    <x v="0"/>
    <x v="2"/>
    <x v="117"/>
    <x v="436"/>
    <x v="433"/>
    <x v="466"/>
    <x v="326"/>
    <x v="3"/>
    <x v="2"/>
    <x v="145"/>
    <x v="0"/>
  </r>
  <r>
    <x v="719"/>
    <x v="282"/>
    <x v="2"/>
    <x v="43"/>
    <x v="135"/>
    <x v="475"/>
    <x v="1"/>
    <x v="0"/>
    <x v="0"/>
    <x v="0"/>
    <x v="0"/>
    <x v="289"/>
    <x v="1"/>
    <x v="1"/>
    <x v="117"/>
    <x v="436"/>
    <x v="513"/>
    <x v="437"/>
    <x v="361"/>
    <x v="3"/>
    <x v="2"/>
    <x v="123"/>
    <x v="0"/>
  </r>
  <r>
    <x v="718"/>
    <x v="281"/>
    <x v="2"/>
    <x v="43"/>
    <x v="201"/>
    <x v="541"/>
    <x v="1"/>
    <x v="0"/>
    <x v="0"/>
    <x v="0"/>
    <x v="0"/>
    <x v="421"/>
    <x v="2"/>
    <x v="1"/>
    <x v="353"/>
    <x v="436"/>
    <x v="509"/>
    <x v="519"/>
    <x v="68"/>
    <x v="3"/>
    <x v="2"/>
    <x v="122"/>
    <x v="0"/>
  </r>
  <r>
    <x v="717"/>
    <x v="280"/>
    <x v="2"/>
    <x v="43"/>
    <x v="162"/>
    <x v="502"/>
    <x v="1"/>
    <x v="0"/>
    <x v="0"/>
    <x v="0"/>
    <x v="0"/>
    <x v="235"/>
    <x v="0"/>
    <x v="2"/>
    <x v="183"/>
    <x v="436"/>
    <x v="473"/>
    <x v="528"/>
    <x v="804"/>
    <x v="3"/>
    <x v="2"/>
    <x v="122"/>
    <x v="0"/>
  </r>
  <r>
    <x v="716"/>
    <x v="277"/>
    <x v="2"/>
    <x v="43"/>
    <x v="225"/>
    <x v="565"/>
    <x v="1"/>
    <x v="0"/>
    <x v="0"/>
    <x v="0"/>
    <x v="0"/>
    <x v="37"/>
    <x v="2"/>
    <x v="1"/>
    <x v="418"/>
    <x v="436"/>
    <x v="552"/>
    <x v="529"/>
    <x v="823"/>
    <x v="3"/>
    <x v="2"/>
    <x v="120"/>
    <x v="0"/>
  </r>
  <r>
    <x v="715"/>
    <x v="276"/>
    <x v="2"/>
    <x v="43"/>
    <x v="224"/>
    <x v="564"/>
    <x v="1"/>
    <x v="0"/>
    <x v="0"/>
    <x v="0"/>
    <x v="0"/>
    <x v="90"/>
    <x v="2"/>
    <x v="1"/>
    <x v="418"/>
    <x v="436"/>
    <x v="512"/>
    <x v="536"/>
    <x v="878"/>
    <x v="3"/>
    <x v="2"/>
    <x v="119"/>
    <x v="0"/>
  </r>
  <r>
    <x v="714"/>
    <x v="274"/>
    <x v="2"/>
    <x v="43"/>
    <x v="223"/>
    <x v="563"/>
    <x v="1"/>
    <x v="0"/>
    <x v="0"/>
    <x v="0"/>
    <x v="0"/>
    <x v="128"/>
    <x v="2"/>
    <x v="1"/>
    <x v="412"/>
    <x v="436"/>
    <x v="457"/>
    <x v="579"/>
    <x v="697"/>
    <x v="3"/>
    <x v="2"/>
    <x v="117"/>
    <x v="0"/>
  </r>
  <r>
    <x v="713"/>
    <x v="269"/>
    <x v="2"/>
    <x v="43"/>
    <x v="174"/>
    <x v="514"/>
    <x v="1"/>
    <x v="0"/>
    <x v="0"/>
    <x v="0"/>
    <x v="0"/>
    <x v="426"/>
    <x v="2"/>
    <x v="1"/>
    <x v="183"/>
    <x v="436"/>
    <x v="510"/>
    <x v="533"/>
    <x v="872"/>
    <x v="3"/>
    <x v="2"/>
    <x v="114"/>
    <x v="0"/>
  </r>
  <r>
    <x v="712"/>
    <x v="268"/>
    <x v="2"/>
    <x v="43"/>
    <x v="221"/>
    <x v="561"/>
    <x v="1"/>
    <x v="0"/>
    <x v="0"/>
    <x v="0"/>
    <x v="0"/>
    <x v="41"/>
    <x v="2"/>
    <x v="1"/>
    <x v="403"/>
    <x v="436"/>
    <x v="470"/>
    <x v="569"/>
    <x v="684"/>
    <x v="3"/>
    <x v="2"/>
    <x v="113"/>
    <x v="0"/>
  </r>
  <r>
    <x v="711"/>
    <x v="267"/>
    <x v="2"/>
    <x v="43"/>
    <x v="220"/>
    <x v="560"/>
    <x v="1"/>
    <x v="0"/>
    <x v="0"/>
    <x v="0"/>
    <x v="0"/>
    <x v="205"/>
    <x v="2"/>
    <x v="1"/>
    <x v="403"/>
    <x v="436"/>
    <x v="488"/>
    <x v="548"/>
    <x v="587"/>
    <x v="3"/>
    <x v="2"/>
    <x v="113"/>
    <x v="0"/>
  </r>
  <r>
    <x v="710"/>
    <x v="263"/>
    <x v="2"/>
    <x v="43"/>
    <x v="222"/>
    <x v="562"/>
    <x v="1"/>
    <x v="0"/>
    <x v="0"/>
    <x v="0"/>
    <x v="0"/>
    <x v="366"/>
    <x v="2"/>
    <x v="1"/>
    <x v="403"/>
    <x v="436"/>
    <x v="629"/>
    <x v="408"/>
    <x v="377"/>
    <x v="3"/>
    <x v="2"/>
    <x v="111"/>
    <x v="0"/>
  </r>
  <r>
    <x v="709"/>
    <x v="255"/>
    <x v="2"/>
    <x v="43"/>
    <x v="219"/>
    <x v="559"/>
    <x v="1"/>
    <x v="0"/>
    <x v="0"/>
    <x v="0"/>
    <x v="0"/>
    <x v="410"/>
    <x v="2"/>
    <x v="1"/>
    <x v="403"/>
    <x v="436"/>
    <x v="572"/>
    <x v="409"/>
    <x v="384"/>
    <x v="3"/>
    <x v="2"/>
    <x v="108"/>
    <x v="0"/>
  </r>
  <r>
    <x v="708"/>
    <x v="236"/>
    <x v="2"/>
    <x v="43"/>
    <x v="217"/>
    <x v="557"/>
    <x v="1"/>
    <x v="0"/>
    <x v="0"/>
    <x v="0"/>
    <x v="0"/>
    <x v="304"/>
    <x v="2"/>
    <x v="1"/>
    <x v="397"/>
    <x v="436"/>
    <x v="623"/>
    <x v="469"/>
    <x v="314"/>
    <x v="3"/>
    <x v="2"/>
    <x v="102"/>
    <x v="0"/>
  </r>
  <r>
    <x v="707"/>
    <x v="230"/>
    <x v="2"/>
    <x v="43"/>
    <x v="179"/>
    <x v="519"/>
    <x v="1"/>
    <x v="0"/>
    <x v="0"/>
    <x v="0"/>
    <x v="0"/>
    <x v="244"/>
    <x v="2"/>
    <x v="1"/>
    <x v="242"/>
    <x v="436"/>
    <x v="584"/>
    <x v="499"/>
    <x v="92"/>
    <x v="3"/>
    <x v="2"/>
    <x v="102"/>
    <x v="0"/>
  </r>
  <r>
    <x v="706"/>
    <x v="229"/>
    <x v="2"/>
    <x v="43"/>
    <x v="134"/>
    <x v="474"/>
    <x v="1"/>
    <x v="0"/>
    <x v="0"/>
    <x v="0"/>
    <x v="0"/>
    <x v="210"/>
    <x v="0"/>
    <x v="0"/>
    <x v="117"/>
    <x v="436"/>
    <x v="606"/>
    <x v="453"/>
    <x v="335"/>
    <x v="3"/>
    <x v="2"/>
    <x v="102"/>
    <x v="0"/>
  </r>
  <r>
    <x v="705"/>
    <x v="232"/>
    <x v="2"/>
    <x v="43"/>
    <x v="204"/>
    <x v="544"/>
    <x v="1"/>
    <x v="0"/>
    <x v="0"/>
    <x v="0"/>
    <x v="0"/>
    <x v="328"/>
    <x v="2"/>
    <x v="1"/>
    <x v="364"/>
    <x v="436"/>
    <x v="555"/>
    <x v="446"/>
    <x v="345"/>
    <x v="3"/>
    <x v="2"/>
    <x v="102"/>
    <x v="0"/>
  </r>
  <r>
    <x v="704"/>
    <x v="234"/>
    <x v="2"/>
    <x v="43"/>
    <x v="213"/>
    <x v="553"/>
    <x v="1"/>
    <x v="0"/>
    <x v="0"/>
    <x v="0"/>
    <x v="0"/>
    <x v="79"/>
    <x v="2"/>
    <x v="1"/>
    <x v="397"/>
    <x v="436"/>
    <x v="575"/>
    <x v="509"/>
    <x v="478"/>
    <x v="3"/>
    <x v="2"/>
    <x v="102"/>
    <x v="0"/>
  </r>
  <r>
    <x v="703"/>
    <x v="235"/>
    <x v="2"/>
    <x v="43"/>
    <x v="216"/>
    <x v="556"/>
    <x v="1"/>
    <x v="0"/>
    <x v="0"/>
    <x v="0"/>
    <x v="0"/>
    <x v="121"/>
    <x v="2"/>
    <x v="1"/>
    <x v="397"/>
    <x v="436"/>
    <x v="531"/>
    <x v="500"/>
    <x v="111"/>
    <x v="3"/>
    <x v="2"/>
    <x v="102"/>
    <x v="0"/>
  </r>
  <r>
    <x v="702"/>
    <x v="233"/>
    <x v="2"/>
    <x v="43"/>
    <x v="211"/>
    <x v="551"/>
    <x v="1"/>
    <x v="0"/>
    <x v="0"/>
    <x v="0"/>
    <x v="0"/>
    <x v="130"/>
    <x v="2"/>
    <x v="1"/>
    <x v="387"/>
    <x v="436"/>
    <x v="544"/>
    <x v="440"/>
    <x v="352"/>
    <x v="3"/>
    <x v="2"/>
    <x v="102"/>
    <x v="0"/>
  </r>
  <r>
    <x v="701"/>
    <x v="231"/>
    <x v="2"/>
    <x v="43"/>
    <x v="180"/>
    <x v="520"/>
    <x v="1"/>
    <x v="0"/>
    <x v="0"/>
    <x v="0"/>
    <x v="0"/>
    <x v="263"/>
    <x v="2"/>
    <x v="1"/>
    <x v="242"/>
    <x v="436"/>
    <x v="551"/>
    <x v="451"/>
    <x v="342"/>
    <x v="3"/>
    <x v="2"/>
    <x v="102"/>
    <x v="0"/>
  </r>
  <r>
    <x v="700"/>
    <x v="217"/>
    <x v="2"/>
    <x v="43"/>
    <x v="214"/>
    <x v="554"/>
    <x v="1"/>
    <x v="0"/>
    <x v="0"/>
    <x v="0"/>
    <x v="0"/>
    <x v="75"/>
    <x v="2"/>
    <x v="1"/>
    <x v="397"/>
    <x v="436"/>
    <x v="527"/>
    <x v="512"/>
    <x v="393"/>
    <x v="3"/>
    <x v="2"/>
    <x v="96"/>
    <x v="0"/>
  </r>
  <r>
    <x v="699"/>
    <x v="218"/>
    <x v="2"/>
    <x v="43"/>
    <x v="215"/>
    <x v="555"/>
    <x v="1"/>
    <x v="0"/>
    <x v="0"/>
    <x v="0"/>
    <x v="0"/>
    <x v="57"/>
    <x v="2"/>
    <x v="1"/>
    <x v="397"/>
    <x v="436"/>
    <x v="482"/>
    <x v="568"/>
    <x v="682"/>
    <x v="3"/>
    <x v="2"/>
    <x v="96"/>
    <x v="0"/>
  </r>
  <r>
    <x v="698"/>
    <x v="212"/>
    <x v="2"/>
    <x v="43"/>
    <x v="209"/>
    <x v="549"/>
    <x v="1"/>
    <x v="0"/>
    <x v="0"/>
    <x v="0"/>
    <x v="0"/>
    <x v="87"/>
    <x v="2"/>
    <x v="1"/>
    <x v="387"/>
    <x v="436"/>
    <x v="528"/>
    <x v="460"/>
    <x v="332"/>
    <x v="3"/>
    <x v="2"/>
    <x v="94"/>
    <x v="0"/>
  </r>
  <r>
    <x v="697"/>
    <x v="210"/>
    <x v="2"/>
    <x v="43"/>
    <x v="144"/>
    <x v="484"/>
    <x v="1"/>
    <x v="0"/>
    <x v="0"/>
    <x v="0"/>
    <x v="0"/>
    <x v="408"/>
    <x v="2"/>
    <x v="1"/>
    <x v="142"/>
    <x v="436"/>
    <x v="590"/>
    <x v="429"/>
    <x v="360"/>
    <x v="3"/>
    <x v="2"/>
    <x v="94"/>
    <x v="0"/>
  </r>
  <r>
    <x v="696"/>
    <x v="209"/>
    <x v="2"/>
    <x v="43"/>
    <x v="143"/>
    <x v="483"/>
    <x v="1"/>
    <x v="0"/>
    <x v="0"/>
    <x v="0"/>
    <x v="0"/>
    <x v="364"/>
    <x v="1"/>
    <x v="1"/>
    <x v="142"/>
    <x v="436"/>
    <x v="596"/>
    <x v="422"/>
    <x v="368"/>
    <x v="3"/>
    <x v="2"/>
    <x v="94"/>
    <x v="0"/>
  </r>
  <r>
    <x v="695"/>
    <x v="211"/>
    <x v="2"/>
    <x v="43"/>
    <x v="155"/>
    <x v="495"/>
    <x v="1"/>
    <x v="0"/>
    <x v="0"/>
    <x v="0"/>
    <x v="0"/>
    <x v="471"/>
    <x v="2"/>
    <x v="1"/>
    <x v="142"/>
    <x v="436"/>
    <x v="605"/>
    <x v="420"/>
    <x v="369"/>
    <x v="3"/>
    <x v="2"/>
    <x v="94"/>
    <x v="0"/>
  </r>
  <r>
    <x v="694"/>
    <x v="213"/>
    <x v="2"/>
    <x v="43"/>
    <x v="210"/>
    <x v="550"/>
    <x v="1"/>
    <x v="0"/>
    <x v="0"/>
    <x v="0"/>
    <x v="0"/>
    <x v="45"/>
    <x v="2"/>
    <x v="1"/>
    <x v="387"/>
    <x v="436"/>
    <x v="533"/>
    <x v="461"/>
    <x v="331"/>
    <x v="3"/>
    <x v="2"/>
    <x v="94"/>
    <x v="0"/>
  </r>
  <r>
    <x v="693"/>
    <x v="204"/>
    <x v="2"/>
    <x v="43"/>
    <x v="208"/>
    <x v="548"/>
    <x v="1"/>
    <x v="0"/>
    <x v="0"/>
    <x v="0"/>
    <x v="0"/>
    <x v="86"/>
    <x v="2"/>
    <x v="1"/>
    <x v="387"/>
    <x v="436"/>
    <x v="585"/>
    <x v="535"/>
    <x v="873"/>
    <x v="3"/>
    <x v="2"/>
    <x v="91"/>
    <x v="0"/>
  </r>
  <r>
    <x v="692"/>
    <x v="200"/>
    <x v="2"/>
    <x v="43"/>
    <x v="207"/>
    <x v="547"/>
    <x v="1"/>
    <x v="0"/>
    <x v="0"/>
    <x v="0"/>
    <x v="0"/>
    <x v="187"/>
    <x v="2"/>
    <x v="1"/>
    <x v="364"/>
    <x v="436"/>
    <x v="593"/>
    <x v="505"/>
    <x v="35"/>
    <x v="3"/>
    <x v="2"/>
    <x v="88"/>
    <x v="0"/>
  </r>
  <r>
    <x v="691"/>
    <x v="199"/>
    <x v="2"/>
    <x v="43"/>
    <x v="202"/>
    <x v="542"/>
    <x v="1"/>
    <x v="0"/>
    <x v="0"/>
    <x v="0"/>
    <x v="0"/>
    <x v="149"/>
    <x v="2"/>
    <x v="1"/>
    <x v="364"/>
    <x v="436"/>
    <x v="617"/>
    <x v="483"/>
    <x v="233"/>
    <x v="3"/>
    <x v="2"/>
    <x v="87"/>
    <x v="0"/>
  </r>
  <r>
    <x v="690"/>
    <x v="196"/>
    <x v="2"/>
    <x v="43"/>
    <x v="203"/>
    <x v="543"/>
    <x v="1"/>
    <x v="0"/>
    <x v="0"/>
    <x v="0"/>
    <x v="0"/>
    <x v="141"/>
    <x v="2"/>
    <x v="1"/>
    <x v="364"/>
    <x v="436"/>
    <x v="476"/>
    <x v="594"/>
    <x v="713"/>
    <x v="3"/>
    <x v="2"/>
    <x v="85"/>
    <x v="0"/>
  </r>
  <r>
    <x v="689"/>
    <x v="194"/>
    <x v="2"/>
    <x v="43"/>
    <x v="198"/>
    <x v="538"/>
    <x v="1"/>
    <x v="0"/>
    <x v="0"/>
    <x v="0"/>
    <x v="0"/>
    <x v="352"/>
    <x v="2"/>
    <x v="1"/>
    <x v="353"/>
    <x v="436"/>
    <x v="633"/>
    <x v="457"/>
    <x v="327"/>
    <x v="3"/>
    <x v="2"/>
    <x v="84"/>
    <x v="0"/>
  </r>
  <r>
    <x v="688"/>
    <x v="193"/>
    <x v="2"/>
    <x v="43"/>
    <x v="197"/>
    <x v="537"/>
    <x v="1"/>
    <x v="0"/>
    <x v="0"/>
    <x v="0"/>
    <x v="0"/>
    <x v="312"/>
    <x v="2"/>
    <x v="1"/>
    <x v="353"/>
    <x v="436"/>
    <x v="563"/>
    <x v="484"/>
    <x v="239"/>
    <x v="3"/>
    <x v="2"/>
    <x v="84"/>
    <x v="0"/>
  </r>
  <r>
    <x v="687"/>
    <x v="161"/>
    <x v="2"/>
    <x v="43"/>
    <x v="193"/>
    <x v="533"/>
    <x v="1"/>
    <x v="0"/>
    <x v="0"/>
    <x v="0"/>
    <x v="0"/>
    <x v="173"/>
    <x v="2"/>
    <x v="1"/>
    <x v="301"/>
    <x v="436"/>
    <x v="609"/>
    <x v="481"/>
    <x v="283"/>
    <x v="3"/>
    <x v="2"/>
    <x v="77"/>
    <x v="0"/>
  </r>
  <r>
    <x v="686"/>
    <x v="162"/>
    <x v="2"/>
    <x v="43"/>
    <x v="194"/>
    <x v="534"/>
    <x v="1"/>
    <x v="0"/>
    <x v="0"/>
    <x v="0"/>
    <x v="0"/>
    <x v="316"/>
    <x v="2"/>
    <x v="1"/>
    <x v="301"/>
    <x v="436"/>
    <x v="625"/>
    <x v="462"/>
    <x v="321"/>
    <x v="3"/>
    <x v="2"/>
    <x v="77"/>
    <x v="0"/>
  </r>
  <r>
    <x v="685"/>
    <x v="163"/>
    <x v="2"/>
    <x v="43"/>
    <x v="195"/>
    <x v="535"/>
    <x v="1"/>
    <x v="0"/>
    <x v="0"/>
    <x v="0"/>
    <x v="0"/>
    <x v="356"/>
    <x v="2"/>
    <x v="1"/>
    <x v="301"/>
    <x v="436"/>
    <x v="630"/>
    <x v="450"/>
    <x v="336"/>
    <x v="3"/>
    <x v="2"/>
    <x v="77"/>
    <x v="0"/>
  </r>
  <r>
    <x v="684"/>
    <x v="148"/>
    <x v="2"/>
    <x v="43"/>
    <x v="192"/>
    <x v="532"/>
    <x v="1"/>
    <x v="0"/>
    <x v="0"/>
    <x v="0"/>
    <x v="0"/>
    <x v="199"/>
    <x v="2"/>
    <x v="1"/>
    <x v="301"/>
    <x v="436"/>
    <x v="445"/>
    <x v="605"/>
    <x v="734"/>
    <x v="3"/>
    <x v="2"/>
    <x v="71"/>
    <x v="0"/>
  </r>
  <r>
    <x v="683"/>
    <x v="141"/>
    <x v="2"/>
    <x v="43"/>
    <x v="185"/>
    <x v="525"/>
    <x v="1"/>
    <x v="0"/>
    <x v="0"/>
    <x v="0"/>
    <x v="0"/>
    <x v="357"/>
    <x v="2"/>
    <x v="1"/>
    <x v="301"/>
    <x v="436"/>
    <x v="461"/>
    <x v="590"/>
    <x v="710"/>
    <x v="3"/>
    <x v="2"/>
    <x v="71"/>
    <x v="0"/>
  </r>
  <r>
    <x v="682"/>
    <x v="143"/>
    <x v="2"/>
    <x v="43"/>
    <x v="187"/>
    <x v="527"/>
    <x v="1"/>
    <x v="0"/>
    <x v="0"/>
    <x v="0"/>
    <x v="0"/>
    <x v="319"/>
    <x v="2"/>
    <x v="1"/>
    <x v="301"/>
    <x v="436"/>
    <x v="450"/>
    <x v="588"/>
    <x v="708"/>
    <x v="3"/>
    <x v="2"/>
    <x v="71"/>
    <x v="0"/>
  </r>
  <r>
    <x v="681"/>
    <x v="144"/>
    <x v="2"/>
    <x v="43"/>
    <x v="188"/>
    <x v="528"/>
    <x v="1"/>
    <x v="0"/>
    <x v="0"/>
    <x v="0"/>
    <x v="0"/>
    <x v="272"/>
    <x v="2"/>
    <x v="1"/>
    <x v="301"/>
    <x v="436"/>
    <x v="471"/>
    <x v="542"/>
    <x v="533"/>
    <x v="3"/>
    <x v="2"/>
    <x v="71"/>
    <x v="0"/>
  </r>
  <r>
    <x v="680"/>
    <x v="145"/>
    <x v="2"/>
    <x v="43"/>
    <x v="189"/>
    <x v="529"/>
    <x v="1"/>
    <x v="0"/>
    <x v="0"/>
    <x v="0"/>
    <x v="0"/>
    <x v="267"/>
    <x v="2"/>
    <x v="1"/>
    <x v="301"/>
    <x v="436"/>
    <x v="440"/>
    <x v="552"/>
    <x v="607"/>
    <x v="3"/>
    <x v="2"/>
    <x v="71"/>
    <x v="0"/>
  </r>
  <r>
    <x v="679"/>
    <x v="146"/>
    <x v="2"/>
    <x v="43"/>
    <x v="190"/>
    <x v="530"/>
    <x v="1"/>
    <x v="0"/>
    <x v="0"/>
    <x v="0"/>
    <x v="0"/>
    <x v="237"/>
    <x v="2"/>
    <x v="1"/>
    <x v="301"/>
    <x v="436"/>
    <x v="474"/>
    <x v="556"/>
    <x v="638"/>
    <x v="3"/>
    <x v="2"/>
    <x v="71"/>
    <x v="0"/>
  </r>
  <r>
    <x v="678"/>
    <x v="147"/>
    <x v="2"/>
    <x v="43"/>
    <x v="191"/>
    <x v="531"/>
    <x v="1"/>
    <x v="0"/>
    <x v="0"/>
    <x v="0"/>
    <x v="0"/>
    <x v="231"/>
    <x v="2"/>
    <x v="1"/>
    <x v="301"/>
    <x v="436"/>
    <x v="499"/>
    <x v="559"/>
    <x v="650"/>
    <x v="3"/>
    <x v="2"/>
    <x v="71"/>
    <x v="0"/>
  </r>
  <r>
    <x v="677"/>
    <x v="142"/>
    <x v="2"/>
    <x v="43"/>
    <x v="186"/>
    <x v="526"/>
    <x v="1"/>
    <x v="0"/>
    <x v="0"/>
    <x v="0"/>
    <x v="0"/>
    <x v="371"/>
    <x v="2"/>
    <x v="1"/>
    <x v="301"/>
    <x v="436"/>
    <x v="448"/>
    <x v="593"/>
    <x v="716"/>
    <x v="3"/>
    <x v="2"/>
    <x v="71"/>
    <x v="0"/>
  </r>
  <r>
    <x v="676"/>
    <x v="128"/>
    <x v="2"/>
    <x v="43"/>
    <x v="184"/>
    <x v="524"/>
    <x v="1"/>
    <x v="0"/>
    <x v="0"/>
    <x v="0"/>
    <x v="0"/>
    <x v="255"/>
    <x v="2"/>
    <x v="1"/>
    <x v="242"/>
    <x v="436"/>
    <x v="562"/>
    <x v="427"/>
    <x v="366"/>
    <x v="3"/>
    <x v="2"/>
    <x v="68"/>
    <x v="0"/>
  </r>
  <r>
    <x v="675"/>
    <x v="126"/>
    <x v="2"/>
    <x v="43"/>
    <x v="182"/>
    <x v="522"/>
    <x v="1"/>
    <x v="0"/>
    <x v="0"/>
    <x v="0"/>
    <x v="0"/>
    <x v="311"/>
    <x v="2"/>
    <x v="1"/>
    <x v="242"/>
    <x v="436"/>
    <x v="565"/>
    <x v="459"/>
    <x v="333"/>
    <x v="3"/>
    <x v="2"/>
    <x v="68"/>
    <x v="0"/>
  </r>
  <r>
    <x v="674"/>
    <x v="125"/>
    <x v="2"/>
    <x v="43"/>
    <x v="181"/>
    <x v="521"/>
    <x v="1"/>
    <x v="0"/>
    <x v="0"/>
    <x v="0"/>
    <x v="0"/>
    <x v="330"/>
    <x v="2"/>
    <x v="1"/>
    <x v="242"/>
    <x v="436"/>
    <x v="538"/>
    <x v="485"/>
    <x v="237"/>
    <x v="3"/>
    <x v="2"/>
    <x v="68"/>
    <x v="0"/>
  </r>
  <r>
    <x v="673"/>
    <x v="127"/>
    <x v="2"/>
    <x v="43"/>
    <x v="183"/>
    <x v="523"/>
    <x v="1"/>
    <x v="0"/>
    <x v="0"/>
    <x v="0"/>
    <x v="0"/>
    <x v="233"/>
    <x v="2"/>
    <x v="1"/>
    <x v="242"/>
    <x v="436"/>
    <x v="547"/>
    <x v="443"/>
    <x v="348"/>
    <x v="3"/>
    <x v="2"/>
    <x v="68"/>
    <x v="0"/>
  </r>
  <r>
    <x v="672"/>
    <x v="104"/>
    <x v="2"/>
    <x v="43"/>
    <x v="173"/>
    <x v="513"/>
    <x v="1"/>
    <x v="0"/>
    <x v="0"/>
    <x v="0"/>
    <x v="0"/>
    <x v="222"/>
    <x v="2"/>
    <x v="1"/>
    <x v="183"/>
    <x v="436"/>
    <x v="517"/>
    <x v="538"/>
    <x v="881"/>
    <x v="3"/>
    <x v="2"/>
    <x v="62"/>
    <x v="0"/>
  </r>
  <r>
    <x v="671"/>
    <x v="101"/>
    <x v="2"/>
    <x v="43"/>
    <x v="172"/>
    <x v="512"/>
    <x v="1"/>
    <x v="0"/>
    <x v="0"/>
    <x v="0"/>
    <x v="0"/>
    <x v="288"/>
    <x v="2"/>
    <x v="1"/>
    <x v="183"/>
    <x v="436"/>
    <x v="566"/>
    <x v="488"/>
    <x v="217"/>
    <x v="3"/>
    <x v="2"/>
    <x v="61"/>
    <x v="0"/>
  </r>
  <r>
    <x v="670"/>
    <x v="100"/>
    <x v="2"/>
    <x v="43"/>
    <x v="171"/>
    <x v="511"/>
    <x v="1"/>
    <x v="0"/>
    <x v="0"/>
    <x v="0"/>
    <x v="0"/>
    <x v="309"/>
    <x v="2"/>
    <x v="1"/>
    <x v="183"/>
    <x v="436"/>
    <x v="545"/>
    <x v="448"/>
    <x v="343"/>
    <x v="3"/>
    <x v="2"/>
    <x v="61"/>
    <x v="0"/>
  </r>
  <r>
    <x v="669"/>
    <x v="88"/>
    <x v="2"/>
    <x v="43"/>
    <x v="160"/>
    <x v="500"/>
    <x v="1"/>
    <x v="0"/>
    <x v="0"/>
    <x v="0"/>
    <x v="0"/>
    <x v="250"/>
    <x v="2"/>
    <x v="1"/>
    <x v="142"/>
    <x v="436"/>
    <x v="561"/>
    <x v="524"/>
    <x v="692"/>
    <x v="3"/>
    <x v="2"/>
    <x v="53"/>
    <x v="0"/>
  </r>
  <r>
    <x v="668"/>
    <x v="87"/>
    <x v="2"/>
    <x v="43"/>
    <x v="159"/>
    <x v="499"/>
    <x v="1"/>
    <x v="0"/>
    <x v="0"/>
    <x v="0"/>
    <x v="0"/>
    <x v="367"/>
    <x v="2"/>
    <x v="1"/>
    <x v="142"/>
    <x v="436"/>
    <x v="550"/>
    <x v="507"/>
    <x v="26"/>
    <x v="3"/>
    <x v="2"/>
    <x v="52"/>
    <x v="0"/>
  </r>
  <r>
    <x v="667"/>
    <x v="86"/>
    <x v="2"/>
    <x v="43"/>
    <x v="157"/>
    <x v="497"/>
    <x v="1"/>
    <x v="0"/>
    <x v="0"/>
    <x v="0"/>
    <x v="0"/>
    <x v="338"/>
    <x v="2"/>
    <x v="1"/>
    <x v="142"/>
    <x v="436"/>
    <x v="577"/>
    <x v="506"/>
    <x v="30"/>
    <x v="3"/>
    <x v="2"/>
    <x v="52"/>
    <x v="0"/>
  </r>
  <r>
    <x v="666"/>
    <x v="85"/>
    <x v="2"/>
    <x v="43"/>
    <x v="146"/>
    <x v="486"/>
    <x v="1"/>
    <x v="0"/>
    <x v="0"/>
    <x v="0"/>
    <x v="0"/>
    <x v="57"/>
    <x v="2"/>
    <x v="1"/>
    <x v="142"/>
    <x v="436"/>
    <x v="439"/>
    <x v="558"/>
    <x v="651"/>
    <x v="3"/>
    <x v="2"/>
    <x v="51"/>
    <x v="0"/>
  </r>
  <r>
    <x v="665"/>
    <x v="81"/>
    <x v="2"/>
    <x v="43"/>
    <x v="151"/>
    <x v="491"/>
    <x v="1"/>
    <x v="0"/>
    <x v="0"/>
    <x v="0"/>
    <x v="0"/>
    <x v="202"/>
    <x v="2"/>
    <x v="1"/>
    <x v="142"/>
    <x v="436"/>
    <x v="536"/>
    <x v="435"/>
    <x v="359"/>
    <x v="3"/>
    <x v="2"/>
    <x v="50"/>
    <x v="0"/>
  </r>
  <r>
    <x v="664"/>
    <x v="82"/>
    <x v="2"/>
    <x v="43"/>
    <x v="152"/>
    <x v="492"/>
    <x v="1"/>
    <x v="0"/>
    <x v="0"/>
    <x v="0"/>
    <x v="0"/>
    <x v="156"/>
    <x v="2"/>
    <x v="1"/>
    <x v="142"/>
    <x v="436"/>
    <x v="534"/>
    <x v="428"/>
    <x v="363"/>
    <x v="3"/>
    <x v="2"/>
    <x v="50"/>
    <x v="0"/>
  </r>
  <r>
    <x v="663"/>
    <x v="83"/>
    <x v="2"/>
    <x v="43"/>
    <x v="154"/>
    <x v="494"/>
    <x v="1"/>
    <x v="0"/>
    <x v="0"/>
    <x v="0"/>
    <x v="0"/>
    <x v="278"/>
    <x v="2"/>
    <x v="1"/>
    <x v="142"/>
    <x v="436"/>
    <x v="579"/>
    <x v="453"/>
    <x v="337"/>
    <x v="3"/>
    <x v="2"/>
    <x v="50"/>
    <x v="0"/>
  </r>
  <r>
    <x v="662"/>
    <x v="84"/>
    <x v="2"/>
    <x v="43"/>
    <x v="156"/>
    <x v="496"/>
    <x v="1"/>
    <x v="0"/>
    <x v="0"/>
    <x v="0"/>
    <x v="0"/>
    <x v="244"/>
    <x v="2"/>
    <x v="1"/>
    <x v="142"/>
    <x v="436"/>
    <x v="614"/>
    <x v="454"/>
    <x v="334"/>
    <x v="3"/>
    <x v="2"/>
    <x v="50"/>
    <x v="0"/>
  </r>
  <r>
    <x v="661"/>
    <x v="74"/>
    <x v="2"/>
    <x v="43"/>
    <x v="118"/>
    <x v="458"/>
    <x v="1"/>
    <x v="0"/>
    <x v="0"/>
    <x v="0"/>
    <x v="0"/>
    <x v="228"/>
    <x v="0"/>
    <x v="0"/>
    <x v="96"/>
    <x v="435"/>
    <x v="557"/>
    <x v="419"/>
    <x v="376"/>
    <x v="3"/>
    <x v="2"/>
    <x v="44"/>
    <x v="0"/>
  </r>
  <r>
    <x v="660"/>
    <x v="72"/>
    <x v="2"/>
    <x v="43"/>
    <x v="140"/>
    <x v="480"/>
    <x v="1"/>
    <x v="0"/>
    <x v="0"/>
    <x v="0"/>
    <x v="0"/>
    <x v="108"/>
    <x v="2"/>
    <x v="1"/>
    <x v="117"/>
    <x v="436"/>
    <x v="628"/>
    <x v="434"/>
    <x v="347"/>
    <x v="3"/>
    <x v="2"/>
    <x v="43"/>
    <x v="0"/>
  </r>
  <r>
    <x v="659"/>
    <x v="73"/>
    <x v="2"/>
    <x v="43"/>
    <x v="142"/>
    <x v="482"/>
    <x v="1"/>
    <x v="0"/>
    <x v="0"/>
    <x v="0"/>
    <x v="0"/>
    <x v="77"/>
    <x v="2"/>
    <x v="1"/>
    <x v="117"/>
    <x v="436"/>
    <x v="568"/>
    <x v="480"/>
    <x v="296"/>
    <x v="3"/>
    <x v="2"/>
    <x v="43"/>
    <x v="0"/>
  </r>
  <r>
    <x v="658"/>
    <x v="68"/>
    <x v="2"/>
    <x v="43"/>
    <x v="136"/>
    <x v="476"/>
    <x v="1"/>
    <x v="0"/>
    <x v="0"/>
    <x v="0"/>
    <x v="0"/>
    <x v="141"/>
    <x v="2"/>
    <x v="1"/>
    <x v="117"/>
    <x v="436"/>
    <x v="610"/>
    <x v="471"/>
    <x v="312"/>
    <x v="3"/>
    <x v="2"/>
    <x v="43"/>
    <x v="0"/>
  </r>
  <r>
    <x v="657"/>
    <x v="71"/>
    <x v="2"/>
    <x v="43"/>
    <x v="139"/>
    <x v="479"/>
    <x v="1"/>
    <x v="0"/>
    <x v="0"/>
    <x v="0"/>
    <x v="0"/>
    <x v="99"/>
    <x v="2"/>
    <x v="1"/>
    <x v="117"/>
    <x v="436"/>
    <x v="615"/>
    <x v="431"/>
    <x v="355"/>
    <x v="3"/>
    <x v="2"/>
    <x v="43"/>
    <x v="0"/>
  </r>
  <r>
    <x v="656"/>
    <x v="69"/>
    <x v="2"/>
    <x v="43"/>
    <x v="137"/>
    <x v="477"/>
    <x v="1"/>
    <x v="0"/>
    <x v="0"/>
    <x v="0"/>
    <x v="0"/>
    <x v="114"/>
    <x v="2"/>
    <x v="1"/>
    <x v="117"/>
    <x v="436"/>
    <x v="598"/>
    <x v="458"/>
    <x v="330"/>
    <x v="3"/>
    <x v="2"/>
    <x v="43"/>
    <x v="0"/>
  </r>
  <r>
    <x v="655"/>
    <x v="70"/>
    <x v="2"/>
    <x v="43"/>
    <x v="138"/>
    <x v="478"/>
    <x v="1"/>
    <x v="0"/>
    <x v="0"/>
    <x v="0"/>
    <x v="0"/>
    <x v="57"/>
    <x v="2"/>
    <x v="1"/>
    <x v="117"/>
    <x v="436"/>
    <x v="607"/>
    <x v="449"/>
    <x v="339"/>
    <x v="3"/>
    <x v="2"/>
    <x v="43"/>
    <x v="0"/>
  </r>
  <r>
    <x v="654"/>
    <x v="60"/>
    <x v="2"/>
    <x v="43"/>
    <x v="128"/>
    <x v="468"/>
    <x v="1"/>
    <x v="0"/>
    <x v="0"/>
    <x v="0"/>
    <x v="0"/>
    <x v="150"/>
    <x v="2"/>
    <x v="1"/>
    <x v="117"/>
    <x v="435"/>
    <x v="608"/>
    <x v="491"/>
    <x v="174"/>
    <x v="3"/>
    <x v="2"/>
    <x v="39"/>
    <x v="0"/>
  </r>
  <r>
    <x v="653"/>
    <x v="59"/>
    <x v="2"/>
    <x v="43"/>
    <x v="126"/>
    <x v="466"/>
    <x v="1"/>
    <x v="0"/>
    <x v="0"/>
    <x v="0"/>
    <x v="0"/>
    <x v="121"/>
    <x v="2"/>
    <x v="1"/>
    <x v="117"/>
    <x v="435"/>
    <x v="570"/>
    <x v="410"/>
    <x v="385"/>
    <x v="3"/>
    <x v="2"/>
    <x v="39"/>
    <x v="0"/>
  </r>
  <r>
    <x v="652"/>
    <x v="61"/>
    <x v="2"/>
    <x v="43"/>
    <x v="129"/>
    <x v="469"/>
    <x v="1"/>
    <x v="0"/>
    <x v="0"/>
    <x v="0"/>
    <x v="0"/>
    <x v="45"/>
    <x v="2"/>
    <x v="1"/>
    <x v="117"/>
    <x v="435"/>
    <x v="611"/>
    <x v="494"/>
    <x v="148"/>
    <x v="3"/>
    <x v="2"/>
    <x v="39"/>
    <x v="0"/>
  </r>
  <r>
    <x v="651"/>
    <x v="58"/>
    <x v="2"/>
    <x v="43"/>
    <x v="125"/>
    <x v="465"/>
    <x v="1"/>
    <x v="0"/>
    <x v="0"/>
    <x v="0"/>
    <x v="0"/>
    <x v="8"/>
    <x v="2"/>
    <x v="1"/>
    <x v="117"/>
    <x v="435"/>
    <x v="540"/>
    <x v="439"/>
    <x v="354"/>
    <x v="3"/>
    <x v="2"/>
    <x v="39"/>
    <x v="0"/>
  </r>
  <r>
    <x v="650"/>
    <x v="55"/>
    <x v="2"/>
    <x v="43"/>
    <x v="121"/>
    <x v="461"/>
    <x v="1"/>
    <x v="0"/>
    <x v="0"/>
    <x v="0"/>
    <x v="0"/>
    <x v="8"/>
    <x v="2"/>
    <x v="1"/>
    <x v="96"/>
    <x v="435"/>
    <x v="483"/>
    <x v="445"/>
    <x v="349"/>
    <x v="3"/>
    <x v="2"/>
    <x v="38"/>
    <x v="0"/>
  </r>
  <r>
    <x v="649"/>
    <x v="54"/>
    <x v="2"/>
    <x v="43"/>
    <x v="119"/>
    <x v="459"/>
    <x v="1"/>
    <x v="0"/>
    <x v="0"/>
    <x v="0"/>
    <x v="0"/>
    <x v="69"/>
    <x v="2"/>
    <x v="1"/>
    <x v="96"/>
    <x v="435"/>
    <x v="567"/>
    <x v="417"/>
    <x v="375"/>
    <x v="3"/>
    <x v="2"/>
    <x v="38"/>
    <x v="0"/>
  </r>
  <r>
    <x v="648"/>
    <x v="53"/>
    <x v="2"/>
    <x v="43"/>
    <x v="115"/>
    <x v="455"/>
    <x v="1"/>
    <x v="0"/>
    <x v="0"/>
    <x v="0"/>
    <x v="0"/>
    <x v="77"/>
    <x v="1"/>
    <x v="1"/>
    <x v="96"/>
    <x v="435"/>
    <x v="599"/>
    <x v="406"/>
    <x v="382"/>
    <x v="3"/>
    <x v="2"/>
    <x v="38"/>
    <x v="0"/>
  </r>
  <r>
    <x v="647"/>
    <x v="57"/>
    <x v="2"/>
    <x v="43"/>
    <x v="123"/>
    <x v="463"/>
    <x v="1"/>
    <x v="0"/>
    <x v="0"/>
    <x v="0"/>
    <x v="0"/>
    <x v="228"/>
    <x v="2"/>
    <x v="1"/>
    <x v="96"/>
    <x v="435"/>
    <x v="559"/>
    <x v="441"/>
    <x v="350"/>
    <x v="3"/>
    <x v="2"/>
    <x v="38"/>
    <x v="0"/>
  </r>
  <r>
    <x v="646"/>
    <x v="56"/>
    <x v="2"/>
    <x v="43"/>
    <x v="122"/>
    <x v="462"/>
    <x v="1"/>
    <x v="0"/>
    <x v="0"/>
    <x v="0"/>
    <x v="0"/>
    <x v="156"/>
    <x v="2"/>
    <x v="1"/>
    <x v="96"/>
    <x v="435"/>
    <x v="543"/>
    <x v="436"/>
    <x v="357"/>
    <x v="3"/>
    <x v="2"/>
    <x v="38"/>
    <x v="0"/>
  </r>
  <r>
    <x v="645"/>
    <x v="13"/>
    <x v="2"/>
    <x v="43"/>
    <x v="113"/>
    <x v="453"/>
    <x v="1"/>
    <x v="0"/>
    <x v="0"/>
    <x v="0"/>
    <x v="0"/>
    <x v="134"/>
    <x v="2"/>
    <x v="1"/>
    <x v="34"/>
    <x v="435"/>
    <x v="505"/>
    <x v="608"/>
    <x v="737"/>
    <x v="3"/>
    <x v="2"/>
    <x v="10"/>
    <x v="0"/>
  </r>
  <r>
    <x v="644"/>
    <x v="12"/>
    <x v="2"/>
    <x v="43"/>
    <x v="112"/>
    <x v="452"/>
    <x v="1"/>
    <x v="0"/>
    <x v="0"/>
    <x v="0"/>
    <x v="0"/>
    <x v="205"/>
    <x v="2"/>
    <x v="1"/>
    <x v="34"/>
    <x v="435"/>
    <x v="497"/>
    <x v="578"/>
    <x v="693"/>
    <x v="3"/>
    <x v="2"/>
    <x v="10"/>
    <x v="0"/>
  </r>
  <r>
    <x v="643"/>
    <x v="14"/>
    <x v="2"/>
    <x v="43"/>
    <x v="114"/>
    <x v="454"/>
    <x v="1"/>
    <x v="0"/>
    <x v="0"/>
    <x v="0"/>
    <x v="0"/>
    <x v="308"/>
    <x v="2"/>
    <x v="1"/>
    <x v="34"/>
    <x v="435"/>
    <x v="387"/>
    <x v="557"/>
    <x v="666"/>
    <x v="3"/>
    <x v="2"/>
    <x v="10"/>
    <x v="0"/>
  </r>
  <r>
    <x v="642"/>
    <x v="6"/>
    <x v="2"/>
    <x v="43"/>
    <x v="109"/>
    <x v="449"/>
    <x v="1"/>
    <x v="0"/>
    <x v="0"/>
    <x v="0"/>
    <x v="0"/>
    <x v="267"/>
    <x v="2"/>
    <x v="1"/>
    <x v="25"/>
    <x v="435"/>
    <x v="592"/>
    <x v="501"/>
    <x v="62"/>
    <x v="3"/>
    <x v="2"/>
    <x v="7"/>
    <x v="0"/>
  </r>
  <r>
    <x v="641"/>
    <x v="5"/>
    <x v="2"/>
    <x v="43"/>
    <x v="108"/>
    <x v="448"/>
    <x v="1"/>
    <x v="0"/>
    <x v="0"/>
    <x v="0"/>
    <x v="0"/>
    <x v="156"/>
    <x v="2"/>
    <x v="1"/>
    <x v="25"/>
    <x v="435"/>
    <x v="558"/>
    <x v="452"/>
    <x v="341"/>
    <x v="3"/>
    <x v="2"/>
    <x v="7"/>
    <x v="0"/>
  </r>
  <r>
    <x v="640"/>
    <x v="7"/>
    <x v="2"/>
    <x v="43"/>
    <x v="110"/>
    <x v="450"/>
    <x v="1"/>
    <x v="0"/>
    <x v="0"/>
    <x v="0"/>
    <x v="0"/>
    <x v="267"/>
    <x v="2"/>
    <x v="1"/>
    <x v="25"/>
    <x v="435"/>
    <x v="589"/>
    <x v="502"/>
    <x v="41"/>
    <x v="3"/>
    <x v="2"/>
    <x v="7"/>
    <x v="0"/>
  </r>
  <r>
    <x v="639"/>
    <x v="606"/>
    <x v="3"/>
    <x v="71"/>
    <x v="254"/>
    <x v="138"/>
    <x v="2"/>
    <x v="0"/>
    <x v="0"/>
    <x v="1"/>
    <x v="0"/>
    <x v="74"/>
    <x v="0"/>
    <x v="2"/>
    <x v="591"/>
    <x v="356"/>
    <x v="2"/>
    <x v="861"/>
    <x v="698"/>
    <x v="3"/>
    <x v="2"/>
    <x v="230"/>
    <x v="0"/>
  </r>
  <r>
    <x v="638"/>
    <x v="693"/>
    <x v="4"/>
    <x v="71"/>
    <x v="256"/>
    <x v="133"/>
    <x v="1"/>
    <x v="0"/>
    <x v="0"/>
    <x v="1"/>
    <x v="0"/>
    <x v="477"/>
    <x v="2"/>
    <x v="2"/>
    <x v="141"/>
    <x v="449"/>
    <x v="309"/>
    <x v="868"/>
    <x v="678"/>
    <x v="3"/>
    <x v="2"/>
    <x v="246"/>
    <x v="0"/>
  </r>
  <r>
    <x v="637"/>
    <x v="602"/>
    <x v="4"/>
    <x v="71"/>
    <x v="257"/>
    <x v="135"/>
    <x v="1"/>
    <x v="0"/>
    <x v="0"/>
    <x v="1"/>
    <x v="0"/>
    <x v="304"/>
    <x v="2"/>
    <x v="2"/>
    <x v="241"/>
    <x v="449"/>
    <x v="354"/>
    <x v="866"/>
    <x v="677"/>
    <x v="3"/>
    <x v="2"/>
    <x v="228"/>
    <x v="0"/>
  </r>
  <r>
    <x v="636"/>
    <x v="603"/>
    <x v="4"/>
    <x v="71"/>
    <x v="258"/>
    <x v="136"/>
    <x v="1"/>
    <x v="0"/>
    <x v="0"/>
    <x v="1"/>
    <x v="0"/>
    <x v="397"/>
    <x v="0"/>
    <x v="2"/>
    <x v="421"/>
    <x v="449"/>
    <x v="234"/>
    <x v="867"/>
    <x v="683"/>
    <x v="3"/>
    <x v="2"/>
    <x v="228"/>
    <x v="0"/>
  </r>
  <r>
    <x v="635"/>
    <x v="601"/>
    <x v="4"/>
    <x v="71"/>
    <x v="255"/>
    <x v="132"/>
    <x v="1"/>
    <x v="0"/>
    <x v="0"/>
    <x v="1"/>
    <x v="0"/>
    <x v="440"/>
    <x v="2"/>
    <x v="2"/>
    <x v="115"/>
    <x v="449"/>
    <x v="238"/>
    <x v="865"/>
    <x v="681"/>
    <x v="3"/>
    <x v="2"/>
    <x v="228"/>
    <x v="0"/>
  </r>
  <r>
    <x v="634"/>
    <x v="604"/>
    <x v="4"/>
    <x v="71"/>
    <x v="259"/>
    <x v="137"/>
    <x v="1"/>
    <x v="0"/>
    <x v="0"/>
    <x v="1"/>
    <x v="0"/>
    <x v="228"/>
    <x v="0"/>
    <x v="2"/>
    <x v="426"/>
    <x v="449"/>
    <x v="270"/>
    <x v="860"/>
    <x v="676"/>
    <x v="3"/>
    <x v="2"/>
    <x v="228"/>
    <x v="0"/>
  </r>
  <r>
    <x v="633"/>
    <x v="727"/>
    <x v="5"/>
    <x v="1"/>
    <x v="261"/>
    <x v="140"/>
    <x v="2"/>
    <x v="0"/>
    <x v="0"/>
    <x v="1"/>
    <x v="1"/>
    <x v="348"/>
    <x v="0"/>
    <x v="0"/>
    <x v="571"/>
    <x v="255"/>
    <x v="1"/>
    <x v="875"/>
    <x v="726"/>
    <x v="3"/>
    <x v="2"/>
    <x v="254"/>
    <x v="0"/>
  </r>
  <r>
    <x v="632"/>
    <x v="583"/>
    <x v="5"/>
    <x v="0"/>
    <x v="260"/>
    <x v="139"/>
    <x v="2"/>
    <x v="0"/>
    <x v="0"/>
    <x v="1"/>
    <x v="1"/>
    <x v="45"/>
    <x v="0"/>
    <x v="2"/>
    <x v="571"/>
    <x v="255"/>
    <x v="0"/>
    <x v="870"/>
    <x v="719"/>
    <x v="3"/>
    <x v="2"/>
    <x v="220"/>
    <x v="0"/>
  </r>
  <r>
    <x v="631"/>
    <x v="856"/>
    <x v="6"/>
    <x v="15"/>
    <x v="311"/>
    <x v="436"/>
    <x v="1"/>
    <x v="0"/>
    <x v="0"/>
    <x v="0"/>
    <x v="0"/>
    <x v="496"/>
    <x v="2"/>
    <x v="1"/>
    <x v="517"/>
    <x v="449"/>
    <x v="711"/>
    <x v="157"/>
    <x v="89"/>
    <x v="3"/>
    <x v="2"/>
    <x v="275"/>
    <x v="0"/>
  </r>
  <r>
    <x v="630"/>
    <x v="841"/>
    <x v="6"/>
    <x v="54"/>
    <x v="344"/>
    <x v="746"/>
    <x v="1"/>
    <x v="0"/>
    <x v="0"/>
    <x v="0"/>
    <x v="0"/>
    <x v="57"/>
    <x v="2"/>
    <x v="1"/>
    <x v="731"/>
    <x v="449"/>
    <x v="647"/>
    <x v="312"/>
    <x v="489"/>
    <x v="3"/>
    <x v="2"/>
    <x v="273"/>
    <x v="0"/>
  </r>
  <r>
    <x v="629"/>
    <x v="839"/>
    <x v="6"/>
    <x v="54"/>
    <x v="342"/>
    <x v="744"/>
    <x v="1"/>
    <x v="0"/>
    <x v="0"/>
    <x v="0"/>
    <x v="0"/>
    <x v="82"/>
    <x v="2"/>
    <x v="1"/>
    <x v="638"/>
    <x v="449"/>
    <x v="670"/>
    <x v="380"/>
    <x v="400"/>
    <x v="3"/>
    <x v="2"/>
    <x v="273"/>
    <x v="0"/>
  </r>
  <r>
    <x v="628"/>
    <x v="838"/>
    <x v="6"/>
    <x v="54"/>
    <x v="341"/>
    <x v="743"/>
    <x v="1"/>
    <x v="0"/>
    <x v="0"/>
    <x v="0"/>
    <x v="0"/>
    <x v="8"/>
    <x v="0"/>
    <x v="1"/>
    <x v="729"/>
    <x v="449"/>
    <x v="665"/>
    <x v="318"/>
    <x v="481"/>
    <x v="3"/>
    <x v="2"/>
    <x v="273"/>
    <x v="0"/>
  </r>
  <r>
    <x v="627"/>
    <x v="840"/>
    <x v="6"/>
    <x v="54"/>
    <x v="343"/>
    <x v="745"/>
    <x v="1"/>
    <x v="0"/>
    <x v="0"/>
    <x v="0"/>
    <x v="0"/>
    <x v="69"/>
    <x v="2"/>
    <x v="1"/>
    <x v="620"/>
    <x v="449"/>
    <x v="686"/>
    <x v="336"/>
    <x v="440"/>
    <x v="3"/>
    <x v="2"/>
    <x v="273"/>
    <x v="0"/>
  </r>
  <r>
    <x v="626"/>
    <x v="834"/>
    <x v="6"/>
    <x v="63"/>
    <x v="393"/>
    <x v="803"/>
    <x v="1"/>
    <x v="0"/>
    <x v="0"/>
    <x v="0"/>
    <x v="0"/>
    <x v="8"/>
    <x v="2"/>
    <x v="1"/>
    <x v="243"/>
    <x v="449"/>
    <x v="830"/>
    <x v="90"/>
    <x v="75"/>
    <x v="3"/>
    <x v="2"/>
    <x v="272"/>
    <x v="0"/>
  </r>
  <r>
    <x v="625"/>
    <x v="821"/>
    <x v="6"/>
    <x v="63"/>
    <x v="419"/>
    <x v="829"/>
    <x v="1"/>
    <x v="0"/>
    <x v="0"/>
    <x v="0"/>
    <x v="0"/>
    <x v="22"/>
    <x v="2"/>
    <x v="1"/>
    <x v="730"/>
    <x v="449"/>
    <x v="814"/>
    <x v="71"/>
    <x v="112"/>
    <x v="3"/>
    <x v="2"/>
    <x v="270"/>
    <x v="0"/>
  </r>
  <r>
    <x v="624"/>
    <x v="811"/>
    <x v="6"/>
    <x v="54"/>
    <x v="345"/>
    <x v="747"/>
    <x v="1"/>
    <x v="0"/>
    <x v="0"/>
    <x v="0"/>
    <x v="0"/>
    <x v="8"/>
    <x v="2"/>
    <x v="1"/>
    <x v="243"/>
    <x v="449"/>
    <x v="666"/>
    <x v="318"/>
    <x v="480"/>
    <x v="3"/>
    <x v="2"/>
    <x v="269"/>
    <x v="0"/>
  </r>
  <r>
    <x v="623"/>
    <x v="789"/>
    <x v="6"/>
    <x v="70"/>
    <x v="435"/>
    <x v="851"/>
    <x v="1"/>
    <x v="0"/>
    <x v="0"/>
    <x v="0"/>
    <x v="0"/>
    <x v="493"/>
    <x v="0"/>
    <x v="1"/>
    <x v="401"/>
    <x v="449"/>
    <x v="733"/>
    <x v="255"/>
    <x v="8"/>
    <x v="3"/>
    <x v="2"/>
    <x v="265"/>
    <x v="0"/>
  </r>
  <r>
    <x v="622"/>
    <x v="729"/>
    <x v="6"/>
    <x v="70"/>
    <x v="460"/>
    <x v="876"/>
    <x v="1"/>
    <x v="0"/>
    <x v="0"/>
    <x v="0"/>
    <x v="0"/>
    <x v="481"/>
    <x v="2"/>
    <x v="1"/>
    <x v="643"/>
    <x v="449"/>
    <x v="774"/>
    <x v="237"/>
    <x v="15"/>
    <x v="3"/>
    <x v="2"/>
    <x v="254"/>
    <x v="0"/>
  </r>
  <r>
    <x v="621"/>
    <x v="717"/>
    <x v="6"/>
    <x v="13"/>
    <x v="271"/>
    <x v="387"/>
    <x v="1"/>
    <x v="0"/>
    <x v="0"/>
    <x v="0"/>
    <x v="0"/>
    <x v="101"/>
    <x v="2"/>
    <x v="1"/>
    <x v="489"/>
    <x v="449"/>
    <x v="837"/>
    <x v="23"/>
    <x v="200"/>
    <x v="3"/>
    <x v="2"/>
    <x v="253"/>
    <x v="0"/>
  </r>
  <r>
    <x v="620"/>
    <x v="686"/>
    <x v="6"/>
    <x v="63"/>
    <x v="418"/>
    <x v="828"/>
    <x v="1"/>
    <x v="0"/>
    <x v="0"/>
    <x v="0"/>
    <x v="0"/>
    <x v="57"/>
    <x v="2"/>
    <x v="1"/>
    <x v="706"/>
    <x v="449"/>
    <x v="794"/>
    <x v="199"/>
    <x v="33"/>
    <x v="3"/>
    <x v="2"/>
    <x v="241"/>
    <x v="0"/>
  </r>
  <r>
    <x v="619"/>
    <x v="685"/>
    <x v="6"/>
    <x v="63"/>
    <x v="416"/>
    <x v="826"/>
    <x v="1"/>
    <x v="0"/>
    <x v="0"/>
    <x v="0"/>
    <x v="0"/>
    <x v="132"/>
    <x v="2"/>
    <x v="1"/>
    <x v="585"/>
    <x v="449"/>
    <x v="776"/>
    <x v="68"/>
    <x v="143"/>
    <x v="3"/>
    <x v="2"/>
    <x v="241"/>
    <x v="0"/>
  </r>
  <r>
    <x v="618"/>
    <x v="674"/>
    <x v="6"/>
    <x v="54"/>
    <x v="326"/>
    <x v="728"/>
    <x v="1"/>
    <x v="0"/>
    <x v="0"/>
    <x v="0"/>
    <x v="0"/>
    <x v="345"/>
    <x v="2"/>
    <x v="1"/>
    <x v="279"/>
    <x v="449"/>
    <x v="677"/>
    <x v="335"/>
    <x v="447"/>
    <x v="3"/>
    <x v="2"/>
    <x v="239"/>
    <x v="0"/>
  </r>
  <r>
    <x v="617"/>
    <x v="676"/>
    <x v="6"/>
    <x v="54"/>
    <x v="330"/>
    <x v="732"/>
    <x v="1"/>
    <x v="0"/>
    <x v="0"/>
    <x v="0"/>
    <x v="0"/>
    <x v="228"/>
    <x v="2"/>
    <x v="1"/>
    <x v="291"/>
    <x v="449"/>
    <x v="659"/>
    <x v="378"/>
    <x v="409"/>
    <x v="3"/>
    <x v="2"/>
    <x v="239"/>
    <x v="0"/>
  </r>
  <r>
    <x v="616"/>
    <x v="671"/>
    <x v="6"/>
    <x v="54"/>
    <x v="323"/>
    <x v="725"/>
    <x v="1"/>
    <x v="0"/>
    <x v="0"/>
    <x v="0"/>
    <x v="0"/>
    <x v="415"/>
    <x v="1"/>
    <x v="1"/>
    <x v="208"/>
    <x v="449"/>
    <x v="658"/>
    <x v="317"/>
    <x v="483"/>
    <x v="3"/>
    <x v="2"/>
    <x v="239"/>
    <x v="0"/>
  </r>
  <r>
    <x v="615"/>
    <x v="672"/>
    <x v="6"/>
    <x v="54"/>
    <x v="324"/>
    <x v="726"/>
    <x v="1"/>
    <x v="0"/>
    <x v="0"/>
    <x v="0"/>
    <x v="0"/>
    <x v="457"/>
    <x v="2"/>
    <x v="1"/>
    <x v="209"/>
    <x v="449"/>
    <x v="652"/>
    <x v="326"/>
    <x v="474"/>
    <x v="3"/>
    <x v="2"/>
    <x v="239"/>
    <x v="0"/>
  </r>
  <r>
    <x v="614"/>
    <x v="669"/>
    <x v="6"/>
    <x v="54"/>
    <x v="317"/>
    <x v="719"/>
    <x v="1"/>
    <x v="0"/>
    <x v="0"/>
    <x v="0"/>
    <x v="0"/>
    <x v="488"/>
    <x v="2"/>
    <x v="1"/>
    <x v="98"/>
    <x v="449"/>
    <x v="675"/>
    <x v="373"/>
    <x v="412"/>
    <x v="3"/>
    <x v="2"/>
    <x v="239"/>
    <x v="0"/>
  </r>
  <r>
    <x v="613"/>
    <x v="670"/>
    <x v="6"/>
    <x v="54"/>
    <x v="319"/>
    <x v="721"/>
    <x v="1"/>
    <x v="0"/>
    <x v="0"/>
    <x v="0"/>
    <x v="0"/>
    <x v="452"/>
    <x v="2"/>
    <x v="1"/>
    <x v="191"/>
    <x v="449"/>
    <x v="651"/>
    <x v="313"/>
    <x v="488"/>
    <x v="3"/>
    <x v="2"/>
    <x v="239"/>
    <x v="0"/>
  </r>
  <r>
    <x v="612"/>
    <x v="675"/>
    <x v="6"/>
    <x v="54"/>
    <x v="327"/>
    <x v="729"/>
    <x v="1"/>
    <x v="0"/>
    <x v="0"/>
    <x v="0"/>
    <x v="0"/>
    <x v="378"/>
    <x v="2"/>
    <x v="1"/>
    <x v="331"/>
    <x v="449"/>
    <x v="642"/>
    <x v="387"/>
    <x v="396"/>
    <x v="3"/>
    <x v="2"/>
    <x v="239"/>
    <x v="0"/>
  </r>
  <r>
    <x v="611"/>
    <x v="673"/>
    <x v="6"/>
    <x v="54"/>
    <x v="325"/>
    <x v="727"/>
    <x v="1"/>
    <x v="0"/>
    <x v="0"/>
    <x v="0"/>
    <x v="0"/>
    <x v="378"/>
    <x v="2"/>
    <x v="1"/>
    <x v="237"/>
    <x v="449"/>
    <x v="688"/>
    <x v="337"/>
    <x v="439"/>
    <x v="3"/>
    <x v="2"/>
    <x v="239"/>
    <x v="0"/>
  </r>
  <r>
    <x v="610"/>
    <x v="658"/>
    <x v="6"/>
    <x v="54"/>
    <x v="333"/>
    <x v="735"/>
    <x v="1"/>
    <x v="0"/>
    <x v="0"/>
    <x v="0"/>
    <x v="0"/>
    <x v="427"/>
    <x v="1"/>
    <x v="1"/>
    <x v="444"/>
    <x v="449"/>
    <x v="693"/>
    <x v="321"/>
    <x v="476"/>
    <x v="3"/>
    <x v="2"/>
    <x v="238"/>
    <x v="0"/>
  </r>
  <r>
    <x v="609"/>
    <x v="663"/>
    <x v="6"/>
    <x v="70"/>
    <x v="467"/>
    <x v="883"/>
    <x v="1"/>
    <x v="0"/>
    <x v="0"/>
    <x v="0"/>
    <x v="0"/>
    <x v="69"/>
    <x v="2"/>
    <x v="1"/>
    <x v="702"/>
    <x v="449"/>
    <x v="700"/>
    <x v="330"/>
    <x v="448"/>
    <x v="3"/>
    <x v="2"/>
    <x v="238"/>
    <x v="0"/>
  </r>
  <r>
    <x v="608"/>
    <x v="657"/>
    <x v="6"/>
    <x v="54"/>
    <x v="322"/>
    <x v="724"/>
    <x v="1"/>
    <x v="0"/>
    <x v="0"/>
    <x v="0"/>
    <x v="0"/>
    <x v="346"/>
    <x v="2"/>
    <x v="1"/>
    <x v="207"/>
    <x v="449"/>
    <x v="653"/>
    <x v="308"/>
    <x v="491"/>
    <x v="3"/>
    <x v="2"/>
    <x v="238"/>
    <x v="0"/>
  </r>
  <r>
    <x v="607"/>
    <x v="660"/>
    <x v="6"/>
    <x v="70"/>
    <x v="464"/>
    <x v="880"/>
    <x v="1"/>
    <x v="0"/>
    <x v="0"/>
    <x v="0"/>
    <x v="0"/>
    <x v="53"/>
    <x v="2"/>
    <x v="1"/>
    <x v="697"/>
    <x v="449"/>
    <x v="726"/>
    <x v="324"/>
    <x v="467"/>
    <x v="3"/>
    <x v="2"/>
    <x v="238"/>
    <x v="0"/>
  </r>
  <r>
    <x v="606"/>
    <x v="661"/>
    <x v="6"/>
    <x v="70"/>
    <x v="465"/>
    <x v="881"/>
    <x v="1"/>
    <x v="0"/>
    <x v="0"/>
    <x v="0"/>
    <x v="0"/>
    <x v="280"/>
    <x v="2"/>
    <x v="1"/>
    <x v="699"/>
    <x v="449"/>
    <x v="717"/>
    <x v="329"/>
    <x v="454"/>
    <x v="3"/>
    <x v="2"/>
    <x v="238"/>
    <x v="0"/>
  </r>
  <r>
    <x v="605"/>
    <x v="662"/>
    <x v="6"/>
    <x v="70"/>
    <x v="466"/>
    <x v="882"/>
    <x v="1"/>
    <x v="0"/>
    <x v="0"/>
    <x v="0"/>
    <x v="0"/>
    <x v="188"/>
    <x v="2"/>
    <x v="1"/>
    <x v="700"/>
    <x v="449"/>
    <x v="722"/>
    <x v="333"/>
    <x v="435"/>
    <x v="3"/>
    <x v="2"/>
    <x v="238"/>
    <x v="0"/>
  </r>
  <r>
    <x v="604"/>
    <x v="659"/>
    <x v="6"/>
    <x v="54"/>
    <x v="334"/>
    <x v="736"/>
    <x v="1"/>
    <x v="0"/>
    <x v="0"/>
    <x v="0"/>
    <x v="0"/>
    <x v="208"/>
    <x v="2"/>
    <x v="1"/>
    <x v="424"/>
    <x v="449"/>
    <x v="692"/>
    <x v="301"/>
    <x v="501"/>
    <x v="3"/>
    <x v="2"/>
    <x v="238"/>
    <x v="0"/>
  </r>
  <r>
    <x v="603"/>
    <x v="665"/>
    <x v="6"/>
    <x v="70"/>
    <x v="469"/>
    <x v="885"/>
    <x v="1"/>
    <x v="0"/>
    <x v="0"/>
    <x v="0"/>
    <x v="0"/>
    <x v="225"/>
    <x v="2"/>
    <x v="1"/>
    <x v="704"/>
    <x v="449"/>
    <x v="792"/>
    <x v="228"/>
    <x v="14"/>
    <x v="3"/>
    <x v="2"/>
    <x v="238"/>
    <x v="0"/>
  </r>
  <r>
    <x v="602"/>
    <x v="664"/>
    <x v="6"/>
    <x v="70"/>
    <x v="468"/>
    <x v="884"/>
    <x v="1"/>
    <x v="0"/>
    <x v="0"/>
    <x v="0"/>
    <x v="0"/>
    <x v="55"/>
    <x v="2"/>
    <x v="1"/>
    <x v="703"/>
    <x v="449"/>
    <x v="728"/>
    <x v="364"/>
    <x v="411"/>
    <x v="3"/>
    <x v="2"/>
    <x v="238"/>
    <x v="0"/>
  </r>
  <r>
    <x v="601"/>
    <x v="640"/>
    <x v="6"/>
    <x v="70"/>
    <x v="463"/>
    <x v="879"/>
    <x v="1"/>
    <x v="0"/>
    <x v="0"/>
    <x v="0"/>
    <x v="0"/>
    <x v="70"/>
    <x v="2"/>
    <x v="1"/>
    <x v="651"/>
    <x v="449"/>
    <x v="706"/>
    <x v="269"/>
    <x v="5"/>
    <x v="3"/>
    <x v="2"/>
    <x v="237"/>
    <x v="0"/>
  </r>
  <r>
    <x v="600"/>
    <x v="635"/>
    <x v="6"/>
    <x v="63"/>
    <x v="417"/>
    <x v="827"/>
    <x v="1"/>
    <x v="0"/>
    <x v="0"/>
    <x v="0"/>
    <x v="0"/>
    <x v="188"/>
    <x v="2"/>
    <x v="1"/>
    <x v="599"/>
    <x v="449"/>
    <x v="763"/>
    <x v="83"/>
    <x v="141"/>
    <x v="3"/>
    <x v="2"/>
    <x v="236"/>
    <x v="0"/>
  </r>
  <r>
    <x v="599"/>
    <x v="636"/>
    <x v="6"/>
    <x v="70"/>
    <x v="462"/>
    <x v="878"/>
    <x v="0"/>
    <x v="0"/>
    <x v="0"/>
    <x v="0"/>
    <x v="0"/>
    <x v="28"/>
    <x v="0"/>
    <x v="1"/>
    <x v="690"/>
    <x v="449"/>
    <x v="713"/>
    <x v="278"/>
    <x v="506"/>
    <x v="3"/>
    <x v="2"/>
    <x v="236"/>
    <x v="0"/>
  </r>
  <r>
    <x v="598"/>
    <x v="594"/>
    <x v="6"/>
    <x v="15"/>
    <x v="283"/>
    <x v="408"/>
    <x v="1"/>
    <x v="0"/>
    <x v="0"/>
    <x v="0"/>
    <x v="0"/>
    <x v="529"/>
    <x v="0"/>
    <x v="1"/>
    <x v="174"/>
    <x v="449"/>
    <x v="690"/>
    <x v="173"/>
    <x v="98"/>
    <x v="3"/>
    <x v="2"/>
    <x v="225"/>
    <x v="0"/>
  </r>
  <r>
    <x v="597"/>
    <x v="590"/>
    <x v="6"/>
    <x v="54"/>
    <x v="340"/>
    <x v="742"/>
    <x v="1"/>
    <x v="0"/>
    <x v="0"/>
    <x v="0"/>
    <x v="0"/>
    <x v="57"/>
    <x v="0"/>
    <x v="1"/>
    <x v="671"/>
    <x v="449"/>
    <x v="667"/>
    <x v="311"/>
    <x v="486"/>
    <x v="3"/>
    <x v="2"/>
    <x v="223"/>
    <x v="0"/>
  </r>
  <r>
    <x v="596"/>
    <x v="577"/>
    <x v="6"/>
    <x v="70"/>
    <x v="461"/>
    <x v="877"/>
    <x v="1"/>
    <x v="0"/>
    <x v="0"/>
    <x v="0"/>
    <x v="0"/>
    <x v="98"/>
    <x v="2"/>
    <x v="1"/>
    <x v="619"/>
    <x v="449"/>
    <x v="752"/>
    <x v="303"/>
    <x v="485"/>
    <x v="3"/>
    <x v="2"/>
    <x v="218"/>
    <x v="0"/>
  </r>
  <r>
    <x v="595"/>
    <x v="576"/>
    <x v="6"/>
    <x v="70"/>
    <x v="459"/>
    <x v="875"/>
    <x v="1"/>
    <x v="0"/>
    <x v="0"/>
    <x v="0"/>
    <x v="0"/>
    <x v="128"/>
    <x v="2"/>
    <x v="1"/>
    <x v="610"/>
    <x v="449"/>
    <x v="820"/>
    <x v="300"/>
    <x v="482"/>
    <x v="3"/>
    <x v="2"/>
    <x v="218"/>
    <x v="0"/>
  </r>
  <r>
    <x v="594"/>
    <x v="559"/>
    <x v="6"/>
    <x v="15"/>
    <x v="281"/>
    <x v="406"/>
    <x v="1"/>
    <x v="0"/>
    <x v="0"/>
    <x v="0"/>
    <x v="0"/>
    <x v="399"/>
    <x v="0"/>
    <x v="1"/>
    <x v="139"/>
    <x v="449"/>
    <x v="684"/>
    <x v="174"/>
    <x v="108"/>
    <x v="3"/>
    <x v="2"/>
    <x v="209"/>
    <x v="0"/>
  </r>
  <r>
    <x v="593"/>
    <x v="557"/>
    <x v="6"/>
    <x v="15"/>
    <x v="282"/>
    <x v="407"/>
    <x v="1"/>
    <x v="0"/>
    <x v="0"/>
    <x v="0"/>
    <x v="0"/>
    <x v="507"/>
    <x v="0"/>
    <x v="1"/>
    <x v="158"/>
    <x v="449"/>
    <x v="740"/>
    <x v="108"/>
    <x v="116"/>
    <x v="3"/>
    <x v="2"/>
    <x v="208"/>
    <x v="0"/>
  </r>
  <r>
    <x v="592"/>
    <x v="558"/>
    <x v="6"/>
    <x v="70"/>
    <x v="439"/>
    <x v="855"/>
    <x v="1"/>
    <x v="0"/>
    <x v="0"/>
    <x v="0"/>
    <x v="0"/>
    <x v="414"/>
    <x v="2"/>
    <x v="1"/>
    <x v="505"/>
    <x v="449"/>
    <x v="731"/>
    <x v="297"/>
    <x v="497"/>
    <x v="3"/>
    <x v="2"/>
    <x v="208"/>
    <x v="0"/>
  </r>
  <r>
    <x v="591"/>
    <x v="553"/>
    <x v="6"/>
    <x v="70"/>
    <x v="457"/>
    <x v="873"/>
    <x v="1"/>
    <x v="0"/>
    <x v="0"/>
    <x v="0"/>
    <x v="0"/>
    <x v="96"/>
    <x v="2"/>
    <x v="1"/>
    <x v="587"/>
    <x v="449"/>
    <x v="790"/>
    <x v="289"/>
    <x v="493"/>
    <x v="3"/>
    <x v="2"/>
    <x v="207"/>
    <x v="0"/>
  </r>
  <r>
    <x v="590"/>
    <x v="552"/>
    <x v="6"/>
    <x v="70"/>
    <x v="456"/>
    <x v="872"/>
    <x v="1"/>
    <x v="0"/>
    <x v="0"/>
    <x v="0"/>
    <x v="0"/>
    <x v="94"/>
    <x v="2"/>
    <x v="1"/>
    <x v="542"/>
    <x v="449"/>
    <x v="751"/>
    <x v="370"/>
    <x v="399"/>
    <x v="3"/>
    <x v="2"/>
    <x v="207"/>
    <x v="0"/>
  </r>
  <r>
    <x v="589"/>
    <x v="554"/>
    <x v="6"/>
    <x v="70"/>
    <x v="458"/>
    <x v="874"/>
    <x v="1"/>
    <x v="0"/>
    <x v="0"/>
    <x v="0"/>
    <x v="0"/>
    <x v="28"/>
    <x v="2"/>
    <x v="1"/>
    <x v="609"/>
    <x v="449"/>
    <x v="777"/>
    <x v="328"/>
    <x v="444"/>
    <x v="3"/>
    <x v="2"/>
    <x v="207"/>
    <x v="0"/>
  </r>
  <r>
    <x v="588"/>
    <x v="547"/>
    <x v="6"/>
    <x v="54"/>
    <x v="312"/>
    <x v="714"/>
    <x v="1"/>
    <x v="0"/>
    <x v="0"/>
    <x v="0"/>
    <x v="0"/>
    <x v="45"/>
    <x v="0"/>
    <x v="0"/>
    <x v="11"/>
    <x v="449"/>
    <x v="679"/>
    <x v="242"/>
    <x v="42"/>
    <x v="3"/>
    <x v="2"/>
    <x v="206"/>
    <x v="0"/>
  </r>
  <r>
    <x v="587"/>
    <x v="548"/>
    <x v="6"/>
    <x v="70"/>
    <x v="455"/>
    <x v="871"/>
    <x v="1"/>
    <x v="0"/>
    <x v="0"/>
    <x v="0"/>
    <x v="0"/>
    <x v="41"/>
    <x v="2"/>
    <x v="1"/>
    <x v="512"/>
    <x v="449"/>
    <x v="742"/>
    <x v="314"/>
    <x v="477"/>
    <x v="3"/>
    <x v="2"/>
    <x v="206"/>
    <x v="0"/>
  </r>
  <r>
    <x v="586"/>
    <x v="538"/>
    <x v="6"/>
    <x v="70"/>
    <x v="428"/>
    <x v="844"/>
    <x v="1"/>
    <x v="0"/>
    <x v="0"/>
    <x v="0"/>
    <x v="0"/>
    <x v="533"/>
    <x v="2"/>
    <x v="1"/>
    <x v="182"/>
    <x v="449"/>
    <x v="813"/>
    <x v="238"/>
    <x v="2"/>
    <x v="3"/>
    <x v="2"/>
    <x v="204"/>
    <x v="0"/>
  </r>
  <r>
    <x v="585"/>
    <x v="541"/>
    <x v="6"/>
    <x v="70"/>
    <x v="441"/>
    <x v="857"/>
    <x v="1"/>
    <x v="0"/>
    <x v="0"/>
    <x v="0"/>
    <x v="0"/>
    <x v="363"/>
    <x v="2"/>
    <x v="1"/>
    <x v="513"/>
    <x v="449"/>
    <x v="788"/>
    <x v="266"/>
    <x v="507"/>
    <x v="3"/>
    <x v="2"/>
    <x v="204"/>
    <x v="0"/>
  </r>
  <r>
    <x v="584"/>
    <x v="542"/>
    <x v="6"/>
    <x v="70"/>
    <x v="444"/>
    <x v="860"/>
    <x v="1"/>
    <x v="0"/>
    <x v="0"/>
    <x v="0"/>
    <x v="0"/>
    <x v="450"/>
    <x v="2"/>
    <x v="1"/>
    <x v="539"/>
    <x v="449"/>
    <x v="759"/>
    <x v="218"/>
    <x v="27"/>
    <x v="3"/>
    <x v="2"/>
    <x v="204"/>
    <x v="0"/>
  </r>
  <r>
    <x v="583"/>
    <x v="539"/>
    <x v="6"/>
    <x v="70"/>
    <x v="436"/>
    <x v="852"/>
    <x v="1"/>
    <x v="0"/>
    <x v="0"/>
    <x v="0"/>
    <x v="0"/>
    <x v="499"/>
    <x v="2"/>
    <x v="1"/>
    <x v="410"/>
    <x v="449"/>
    <x v="785"/>
    <x v="256"/>
    <x v="518"/>
    <x v="3"/>
    <x v="2"/>
    <x v="204"/>
    <x v="0"/>
  </r>
  <r>
    <x v="582"/>
    <x v="537"/>
    <x v="6"/>
    <x v="70"/>
    <x v="427"/>
    <x v="843"/>
    <x v="1"/>
    <x v="0"/>
    <x v="0"/>
    <x v="0"/>
    <x v="0"/>
    <x v="530"/>
    <x v="2"/>
    <x v="1"/>
    <x v="173"/>
    <x v="449"/>
    <x v="760"/>
    <x v="202"/>
    <x v="45"/>
    <x v="3"/>
    <x v="2"/>
    <x v="204"/>
    <x v="0"/>
  </r>
  <r>
    <x v="581"/>
    <x v="536"/>
    <x v="6"/>
    <x v="70"/>
    <x v="426"/>
    <x v="842"/>
    <x v="1"/>
    <x v="0"/>
    <x v="0"/>
    <x v="0"/>
    <x v="0"/>
    <x v="531"/>
    <x v="2"/>
    <x v="1"/>
    <x v="171"/>
    <x v="449"/>
    <x v="793"/>
    <x v="268"/>
    <x v="505"/>
    <x v="3"/>
    <x v="2"/>
    <x v="204"/>
    <x v="0"/>
  </r>
  <r>
    <x v="580"/>
    <x v="543"/>
    <x v="6"/>
    <x v="70"/>
    <x v="454"/>
    <x v="870"/>
    <x v="1"/>
    <x v="0"/>
    <x v="0"/>
    <x v="0"/>
    <x v="0"/>
    <x v="135"/>
    <x v="2"/>
    <x v="1"/>
    <x v="611"/>
    <x v="449"/>
    <x v="764"/>
    <x v="227"/>
    <x v="22"/>
    <x v="3"/>
    <x v="2"/>
    <x v="204"/>
    <x v="0"/>
  </r>
  <r>
    <x v="579"/>
    <x v="540"/>
    <x v="6"/>
    <x v="70"/>
    <x v="438"/>
    <x v="854"/>
    <x v="1"/>
    <x v="0"/>
    <x v="0"/>
    <x v="0"/>
    <x v="0"/>
    <x v="179"/>
    <x v="0"/>
    <x v="1"/>
    <x v="497"/>
    <x v="449"/>
    <x v="737"/>
    <x v="290"/>
    <x v="500"/>
    <x v="3"/>
    <x v="2"/>
    <x v="204"/>
    <x v="0"/>
  </r>
  <r>
    <x v="578"/>
    <x v="535"/>
    <x v="6"/>
    <x v="70"/>
    <x v="453"/>
    <x v="869"/>
    <x v="1"/>
    <x v="0"/>
    <x v="0"/>
    <x v="0"/>
    <x v="0"/>
    <x v="102"/>
    <x v="2"/>
    <x v="1"/>
    <x v="608"/>
    <x v="449"/>
    <x v="735"/>
    <x v="316"/>
    <x v="475"/>
    <x v="3"/>
    <x v="2"/>
    <x v="203"/>
    <x v="0"/>
  </r>
  <r>
    <x v="577"/>
    <x v="532"/>
    <x v="6"/>
    <x v="70"/>
    <x v="450"/>
    <x v="866"/>
    <x v="1"/>
    <x v="0"/>
    <x v="0"/>
    <x v="0"/>
    <x v="0"/>
    <x v="356"/>
    <x v="2"/>
    <x v="1"/>
    <x v="567"/>
    <x v="449"/>
    <x v="748"/>
    <x v="213"/>
    <x v="37"/>
    <x v="3"/>
    <x v="2"/>
    <x v="203"/>
    <x v="0"/>
  </r>
  <r>
    <x v="576"/>
    <x v="534"/>
    <x v="6"/>
    <x v="70"/>
    <x v="452"/>
    <x v="868"/>
    <x v="1"/>
    <x v="0"/>
    <x v="0"/>
    <x v="0"/>
    <x v="0"/>
    <x v="103"/>
    <x v="2"/>
    <x v="1"/>
    <x v="588"/>
    <x v="449"/>
    <x v="762"/>
    <x v="315"/>
    <x v="472"/>
    <x v="3"/>
    <x v="2"/>
    <x v="203"/>
    <x v="0"/>
  </r>
  <r>
    <x v="575"/>
    <x v="530"/>
    <x v="6"/>
    <x v="63"/>
    <x v="371"/>
    <x v="781"/>
    <x v="1"/>
    <x v="0"/>
    <x v="0"/>
    <x v="0"/>
    <x v="0"/>
    <x v="293"/>
    <x v="2"/>
    <x v="1"/>
    <x v="245"/>
    <x v="449"/>
    <x v="775"/>
    <x v="60"/>
    <x v="150"/>
    <x v="3"/>
    <x v="2"/>
    <x v="203"/>
    <x v="0"/>
  </r>
  <r>
    <x v="574"/>
    <x v="531"/>
    <x v="6"/>
    <x v="63"/>
    <x v="410"/>
    <x v="820"/>
    <x v="1"/>
    <x v="0"/>
    <x v="0"/>
    <x v="0"/>
    <x v="0"/>
    <x v="260"/>
    <x v="2"/>
    <x v="1"/>
    <x v="526"/>
    <x v="449"/>
    <x v="784"/>
    <x v="70"/>
    <x v="139"/>
    <x v="3"/>
    <x v="2"/>
    <x v="203"/>
    <x v="0"/>
  </r>
  <r>
    <x v="573"/>
    <x v="533"/>
    <x v="6"/>
    <x v="70"/>
    <x v="451"/>
    <x v="867"/>
    <x v="1"/>
    <x v="0"/>
    <x v="0"/>
    <x v="0"/>
    <x v="0"/>
    <x v="345"/>
    <x v="2"/>
    <x v="1"/>
    <x v="568"/>
    <x v="449"/>
    <x v="771"/>
    <x v="234"/>
    <x v="17"/>
    <x v="3"/>
    <x v="2"/>
    <x v="203"/>
    <x v="0"/>
  </r>
  <r>
    <x v="572"/>
    <x v="520"/>
    <x v="6"/>
    <x v="63"/>
    <x v="380"/>
    <x v="790"/>
    <x v="1"/>
    <x v="0"/>
    <x v="0"/>
    <x v="0"/>
    <x v="0"/>
    <x v="520"/>
    <x v="2"/>
    <x v="1"/>
    <x v="355"/>
    <x v="449"/>
    <x v="821"/>
    <x v="205"/>
    <x v="18"/>
    <x v="3"/>
    <x v="2"/>
    <x v="202"/>
    <x v="0"/>
  </r>
  <r>
    <x v="571"/>
    <x v="521"/>
    <x v="6"/>
    <x v="70"/>
    <x v="447"/>
    <x v="863"/>
    <x v="1"/>
    <x v="0"/>
    <x v="0"/>
    <x v="0"/>
    <x v="0"/>
    <x v="57"/>
    <x v="2"/>
    <x v="1"/>
    <x v="511"/>
    <x v="449"/>
    <x v="744"/>
    <x v="304"/>
    <x v="484"/>
    <x v="3"/>
    <x v="2"/>
    <x v="202"/>
    <x v="0"/>
  </r>
  <r>
    <x v="570"/>
    <x v="522"/>
    <x v="6"/>
    <x v="70"/>
    <x v="448"/>
    <x v="864"/>
    <x v="1"/>
    <x v="0"/>
    <x v="0"/>
    <x v="0"/>
    <x v="0"/>
    <x v="237"/>
    <x v="2"/>
    <x v="1"/>
    <x v="540"/>
    <x v="449"/>
    <x v="718"/>
    <x v="342"/>
    <x v="431"/>
    <x v="3"/>
    <x v="2"/>
    <x v="202"/>
    <x v="0"/>
  </r>
  <r>
    <x v="569"/>
    <x v="523"/>
    <x v="6"/>
    <x v="70"/>
    <x v="449"/>
    <x v="865"/>
    <x v="1"/>
    <x v="0"/>
    <x v="0"/>
    <x v="0"/>
    <x v="0"/>
    <x v="233"/>
    <x v="2"/>
    <x v="1"/>
    <x v="566"/>
    <x v="449"/>
    <x v="749"/>
    <x v="209"/>
    <x v="38"/>
    <x v="3"/>
    <x v="2"/>
    <x v="202"/>
    <x v="0"/>
  </r>
  <r>
    <x v="568"/>
    <x v="517"/>
    <x v="6"/>
    <x v="70"/>
    <x v="425"/>
    <x v="841"/>
    <x v="1"/>
    <x v="0"/>
    <x v="0"/>
    <x v="0"/>
    <x v="0"/>
    <x v="518"/>
    <x v="2"/>
    <x v="1"/>
    <x v="165"/>
    <x v="449"/>
    <x v="823"/>
    <x v="251"/>
    <x v="516"/>
    <x v="3"/>
    <x v="2"/>
    <x v="201"/>
    <x v="0"/>
  </r>
  <r>
    <x v="567"/>
    <x v="518"/>
    <x v="6"/>
    <x v="70"/>
    <x v="430"/>
    <x v="846"/>
    <x v="1"/>
    <x v="0"/>
    <x v="0"/>
    <x v="0"/>
    <x v="0"/>
    <x v="423"/>
    <x v="2"/>
    <x v="1"/>
    <x v="201"/>
    <x v="449"/>
    <x v="770"/>
    <x v="210"/>
    <x v="32"/>
    <x v="3"/>
    <x v="2"/>
    <x v="201"/>
    <x v="0"/>
  </r>
  <r>
    <x v="566"/>
    <x v="510"/>
    <x v="6"/>
    <x v="70"/>
    <x v="446"/>
    <x v="862"/>
    <x v="1"/>
    <x v="0"/>
    <x v="0"/>
    <x v="0"/>
    <x v="0"/>
    <x v="69"/>
    <x v="0"/>
    <x v="1"/>
    <x v="582"/>
    <x v="449"/>
    <x v="707"/>
    <x v="299"/>
    <x v="499"/>
    <x v="3"/>
    <x v="2"/>
    <x v="197"/>
    <x v="0"/>
  </r>
  <r>
    <x v="565"/>
    <x v="501"/>
    <x v="6"/>
    <x v="54"/>
    <x v="321"/>
    <x v="723"/>
    <x v="1"/>
    <x v="0"/>
    <x v="0"/>
    <x v="0"/>
    <x v="0"/>
    <x v="377"/>
    <x v="0"/>
    <x v="2"/>
    <x v="219"/>
    <x v="449"/>
    <x v="660"/>
    <x v="263"/>
    <x v="25"/>
    <x v="3"/>
    <x v="2"/>
    <x v="194"/>
    <x v="0"/>
  </r>
  <r>
    <x v="564"/>
    <x v="494"/>
    <x v="6"/>
    <x v="15"/>
    <x v="310"/>
    <x v="435"/>
    <x v="1"/>
    <x v="0"/>
    <x v="0"/>
    <x v="0"/>
    <x v="0"/>
    <x v="335"/>
    <x v="2"/>
    <x v="1"/>
    <x v="577"/>
    <x v="449"/>
    <x v="712"/>
    <x v="153"/>
    <x v="88"/>
    <x v="3"/>
    <x v="2"/>
    <x v="193"/>
    <x v="0"/>
  </r>
  <r>
    <x v="563"/>
    <x v="492"/>
    <x v="6"/>
    <x v="63"/>
    <x v="412"/>
    <x v="822"/>
    <x v="1"/>
    <x v="0"/>
    <x v="0"/>
    <x v="0"/>
    <x v="0"/>
    <x v="261"/>
    <x v="2"/>
    <x v="1"/>
    <x v="544"/>
    <x v="449"/>
    <x v="806"/>
    <x v="69"/>
    <x v="115"/>
    <x v="3"/>
    <x v="2"/>
    <x v="192"/>
    <x v="0"/>
  </r>
  <r>
    <x v="562"/>
    <x v="484"/>
    <x v="6"/>
    <x v="15"/>
    <x v="309"/>
    <x v="434"/>
    <x v="1"/>
    <x v="0"/>
    <x v="0"/>
    <x v="0"/>
    <x v="0"/>
    <x v="261"/>
    <x v="2"/>
    <x v="1"/>
    <x v="574"/>
    <x v="449"/>
    <x v="758"/>
    <x v="104"/>
    <x v="109"/>
    <x v="3"/>
    <x v="2"/>
    <x v="191"/>
    <x v="0"/>
  </r>
  <r>
    <x v="561"/>
    <x v="485"/>
    <x v="6"/>
    <x v="70"/>
    <x v="445"/>
    <x v="861"/>
    <x v="1"/>
    <x v="0"/>
    <x v="0"/>
    <x v="0"/>
    <x v="0"/>
    <x v="86"/>
    <x v="2"/>
    <x v="1"/>
    <x v="572"/>
    <x v="449"/>
    <x v="835"/>
    <x v="274"/>
    <x v="498"/>
    <x v="3"/>
    <x v="2"/>
    <x v="191"/>
    <x v="0"/>
  </r>
  <r>
    <x v="560"/>
    <x v="478"/>
    <x v="6"/>
    <x v="70"/>
    <x v="442"/>
    <x v="858"/>
    <x v="1"/>
    <x v="0"/>
    <x v="0"/>
    <x v="0"/>
    <x v="0"/>
    <x v="69"/>
    <x v="2"/>
    <x v="1"/>
    <x v="514"/>
    <x v="449"/>
    <x v="833"/>
    <x v="279"/>
    <x v="492"/>
    <x v="3"/>
    <x v="2"/>
    <x v="190"/>
    <x v="0"/>
  </r>
  <r>
    <x v="559"/>
    <x v="479"/>
    <x v="6"/>
    <x v="70"/>
    <x v="443"/>
    <x v="859"/>
    <x v="1"/>
    <x v="0"/>
    <x v="0"/>
    <x v="0"/>
    <x v="0"/>
    <x v="211"/>
    <x v="2"/>
    <x v="1"/>
    <x v="515"/>
    <x v="449"/>
    <x v="836"/>
    <x v="277"/>
    <x v="496"/>
    <x v="3"/>
    <x v="2"/>
    <x v="190"/>
    <x v="0"/>
  </r>
  <r>
    <x v="558"/>
    <x v="464"/>
    <x v="6"/>
    <x v="63"/>
    <x v="415"/>
    <x v="825"/>
    <x v="1"/>
    <x v="0"/>
    <x v="0"/>
    <x v="0"/>
    <x v="0"/>
    <x v="28"/>
    <x v="2"/>
    <x v="1"/>
    <x v="554"/>
    <x v="449"/>
    <x v="817"/>
    <x v="103"/>
    <x v="69"/>
    <x v="3"/>
    <x v="2"/>
    <x v="184"/>
    <x v="0"/>
  </r>
  <r>
    <x v="557"/>
    <x v="461"/>
    <x v="6"/>
    <x v="63"/>
    <x v="413"/>
    <x v="823"/>
    <x v="1"/>
    <x v="0"/>
    <x v="0"/>
    <x v="0"/>
    <x v="0"/>
    <x v="45"/>
    <x v="2"/>
    <x v="1"/>
    <x v="544"/>
    <x v="449"/>
    <x v="791"/>
    <x v="118"/>
    <x v="73"/>
    <x v="3"/>
    <x v="2"/>
    <x v="183"/>
    <x v="0"/>
  </r>
  <r>
    <x v="556"/>
    <x v="459"/>
    <x v="6"/>
    <x v="63"/>
    <x v="409"/>
    <x v="819"/>
    <x v="1"/>
    <x v="0"/>
    <x v="0"/>
    <x v="0"/>
    <x v="0"/>
    <x v="93"/>
    <x v="0"/>
    <x v="1"/>
    <x v="526"/>
    <x v="449"/>
    <x v="797"/>
    <x v="116"/>
    <x v="71"/>
    <x v="3"/>
    <x v="2"/>
    <x v="183"/>
    <x v="0"/>
  </r>
  <r>
    <x v="555"/>
    <x v="462"/>
    <x v="6"/>
    <x v="63"/>
    <x v="414"/>
    <x v="824"/>
    <x v="1"/>
    <x v="0"/>
    <x v="0"/>
    <x v="0"/>
    <x v="0"/>
    <x v="45"/>
    <x v="0"/>
    <x v="1"/>
    <x v="532"/>
    <x v="449"/>
    <x v="816"/>
    <x v="112"/>
    <x v="63"/>
    <x v="3"/>
    <x v="2"/>
    <x v="183"/>
    <x v="0"/>
  </r>
  <r>
    <x v="554"/>
    <x v="460"/>
    <x v="6"/>
    <x v="63"/>
    <x v="411"/>
    <x v="821"/>
    <x v="1"/>
    <x v="0"/>
    <x v="0"/>
    <x v="0"/>
    <x v="0"/>
    <x v="57"/>
    <x v="2"/>
    <x v="1"/>
    <x v="536"/>
    <x v="449"/>
    <x v="796"/>
    <x v="131"/>
    <x v="65"/>
    <x v="3"/>
    <x v="2"/>
    <x v="183"/>
    <x v="0"/>
  </r>
  <r>
    <x v="553"/>
    <x v="456"/>
    <x v="6"/>
    <x v="63"/>
    <x v="408"/>
    <x v="818"/>
    <x v="1"/>
    <x v="0"/>
    <x v="0"/>
    <x v="0"/>
    <x v="0"/>
    <x v="177"/>
    <x v="1"/>
    <x v="1"/>
    <x v="526"/>
    <x v="449"/>
    <x v="819"/>
    <x v="110"/>
    <x v="61"/>
    <x v="3"/>
    <x v="2"/>
    <x v="182"/>
    <x v="0"/>
  </r>
  <r>
    <x v="552"/>
    <x v="457"/>
    <x v="6"/>
    <x v="70"/>
    <x v="440"/>
    <x v="856"/>
    <x v="1"/>
    <x v="0"/>
    <x v="0"/>
    <x v="0"/>
    <x v="0"/>
    <x v="41"/>
    <x v="2"/>
    <x v="1"/>
    <x v="502"/>
    <x v="449"/>
    <x v="765"/>
    <x v="306"/>
    <x v="479"/>
    <x v="3"/>
    <x v="2"/>
    <x v="182"/>
    <x v="0"/>
  </r>
  <r>
    <x v="551"/>
    <x v="444"/>
    <x v="6"/>
    <x v="54"/>
    <x v="339"/>
    <x v="741"/>
    <x v="1"/>
    <x v="0"/>
    <x v="0"/>
    <x v="0"/>
    <x v="0"/>
    <x v="156"/>
    <x v="2"/>
    <x v="1"/>
    <x v="358"/>
    <x v="449"/>
    <x v="639"/>
    <x v="249"/>
    <x v="52"/>
    <x v="3"/>
    <x v="2"/>
    <x v="179"/>
    <x v="0"/>
  </r>
  <r>
    <x v="550"/>
    <x v="414"/>
    <x v="6"/>
    <x v="15"/>
    <x v="308"/>
    <x v="433"/>
    <x v="1"/>
    <x v="0"/>
    <x v="0"/>
    <x v="0"/>
    <x v="0"/>
    <x v="77"/>
    <x v="2"/>
    <x v="1"/>
    <x v="430"/>
    <x v="449"/>
    <x v="702"/>
    <x v="183"/>
    <x v="81"/>
    <x v="3"/>
    <x v="2"/>
    <x v="168"/>
    <x v="0"/>
  </r>
  <r>
    <x v="549"/>
    <x v="413"/>
    <x v="6"/>
    <x v="15"/>
    <x v="307"/>
    <x v="432"/>
    <x v="1"/>
    <x v="0"/>
    <x v="0"/>
    <x v="0"/>
    <x v="0"/>
    <x v="77"/>
    <x v="2"/>
    <x v="1"/>
    <x v="475"/>
    <x v="449"/>
    <x v="719"/>
    <x v="175"/>
    <x v="77"/>
    <x v="3"/>
    <x v="2"/>
    <x v="167"/>
    <x v="0"/>
  </r>
  <r>
    <x v="548"/>
    <x v="410"/>
    <x v="6"/>
    <x v="15"/>
    <x v="305"/>
    <x v="430"/>
    <x v="1"/>
    <x v="0"/>
    <x v="0"/>
    <x v="0"/>
    <x v="0"/>
    <x v="188"/>
    <x v="2"/>
    <x v="1"/>
    <x v="473"/>
    <x v="449"/>
    <x v="704"/>
    <x v="190"/>
    <x v="80"/>
    <x v="3"/>
    <x v="2"/>
    <x v="166"/>
    <x v="0"/>
  </r>
  <r>
    <x v="547"/>
    <x v="411"/>
    <x v="6"/>
    <x v="15"/>
    <x v="306"/>
    <x v="431"/>
    <x v="1"/>
    <x v="0"/>
    <x v="0"/>
    <x v="0"/>
    <x v="0"/>
    <x v="77"/>
    <x v="2"/>
    <x v="1"/>
    <x v="431"/>
    <x v="449"/>
    <x v="715"/>
    <x v="193"/>
    <x v="66"/>
    <x v="3"/>
    <x v="2"/>
    <x v="166"/>
    <x v="0"/>
  </r>
  <r>
    <x v="546"/>
    <x v="402"/>
    <x v="6"/>
    <x v="63"/>
    <x v="407"/>
    <x v="817"/>
    <x v="1"/>
    <x v="0"/>
    <x v="0"/>
    <x v="0"/>
    <x v="0"/>
    <x v="45"/>
    <x v="0"/>
    <x v="2"/>
    <x v="434"/>
    <x v="449"/>
    <x v="807"/>
    <x v="96"/>
    <x v="76"/>
    <x v="3"/>
    <x v="2"/>
    <x v="164"/>
    <x v="0"/>
  </r>
  <r>
    <x v="545"/>
    <x v="399"/>
    <x v="6"/>
    <x v="54"/>
    <x v="338"/>
    <x v="740"/>
    <x v="1"/>
    <x v="0"/>
    <x v="0"/>
    <x v="0"/>
    <x v="0"/>
    <x v="213"/>
    <x v="2"/>
    <x v="1"/>
    <x v="455"/>
    <x v="449"/>
    <x v="668"/>
    <x v="341"/>
    <x v="441"/>
    <x v="3"/>
    <x v="2"/>
    <x v="162"/>
    <x v="0"/>
  </r>
  <r>
    <x v="544"/>
    <x v="386"/>
    <x v="6"/>
    <x v="13"/>
    <x v="270"/>
    <x v="386"/>
    <x v="1"/>
    <x v="0"/>
    <x v="0"/>
    <x v="0"/>
    <x v="0"/>
    <x v="15"/>
    <x v="2"/>
    <x v="1"/>
    <x v="459"/>
    <x v="449"/>
    <x v="870"/>
    <x v="25"/>
    <x v="171"/>
    <x v="3"/>
    <x v="2"/>
    <x v="160"/>
    <x v="0"/>
  </r>
  <r>
    <x v="543"/>
    <x v="384"/>
    <x v="6"/>
    <x v="54"/>
    <x v="337"/>
    <x v="739"/>
    <x v="1"/>
    <x v="0"/>
    <x v="0"/>
    <x v="0"/>
    <x v="0"/>
    <x v="84"/>
    <x v="2"/>
    <x v="1"/>
    <x v="457"/>
    <x v="449"/>
    <x v="641"/>
    <x v="365"/>
    <x v="426"/>
    <x v="3"/>
    <x v="2"/>
    <x v="158"/>
    <x v="0"/>
  </r>
  <r>
    <x v="542"/>
    <x v="383"/>
    <x v="6"/>
    <x v="54"/>
    <x v="336"/>
    <x v="738"/>
    <x v="1"/>
    <x v="0"/>
    <x v="0"/>
    <x v="0"/>
    <x v="0"/>
    <x v="205"/>
    <x v="2"/>
    <x v="1"/>
    <x v="398"/>
    <x v="449"/>
    <x v="634"/>
    <x v="400"/>
    <x v="386"/>
    <x v="3"/>
    <x v="2"/>
    <x v="158"/>
    <x v="0"/>
  </r>
  <r>
    <x v="541"/>
    <x v="349"/>
    <x v="6"/>
    <x v="63"/>
    <x v="361"/>
    <x v="771"/>
    <x v="1"/>
    <x v="0"/>
    <x v="0"/>
    <x v="0"/>
    <x v="0"/>
    <x v="181"/>
    <x v="1"/>
    <x v="1"/>
    <x v="181"/>
    <x v="449"/>
    <x v="850"/>
    <x v="40"/>
    <x v="162"/>
    <x v="3"/>
    <x v="2"/>
    <x v="143"/>
    <x v="0"/>
  </r>
  <r>
    <x v="540"/>
    <x v="347"/>
    <x v="6"/>
    <x v="63"/>
    <x v="406"/>
    <x v="816"/>
    <x v="1"/>
    <x v="0"/>
    <x v="0"/>
    <x v="0"/>
    <x v="0"/>
    <x v="197"/>
    <x v="2"/>
    <x v="1"/>
    <x v="413"/>
    <x v="449"/>
    <x v="851"/>
    <x v="35"/>
    <x v="169"/>
    <x v="3"/>
    <x v="2"/>
    <x v="142"/>
    <x v="0"/>
  </r>
  <r>
    <x v="539"/>
    <x v="346"/>
    <x v="6"/>
    <x v="63"/>
    <x v="404"/>
    <x v="814"/>
    <x v="1"/>
    <x v="0"/>
    <x v="0"/>
    <x v="0"/>
    <x v="0"/>
    <x v="394"/>
    <x v="2"/>
    <x v="1"/>
    <x v="411"/>
    <x v="449"/>
    <x v="855"/>
    <x v="226"/>
    <x v="519"/>
    <x v="3"/>
    <x v="2"/>
    <x v="141"/>
    <x v="0"/>
  </r>
  <r>
    <x v="538"/>
    <x v="344"/>
    <x v="6"/>
    <x v="63"/>
    <x v="402"/>
    <x v="812"/>
    <x v="1"/>
    <x v="0"/>
    <x v="0"/>
    <x v="0"/>
    <x v="0"/>
    <x v="337"/>
    <x v="2"/>
    <x v="1"/>
    <x v="377"/>
    <x v="449"/>
    <x v="858"/>
    <x v="146"/>
    <x v="36"/>
    <x v="3"/>
    <x v="2"/>
    <x v="141"/>
    <x v="0"/>
  </r>
  <r>
    <x v="537"/>
    <x v="343"/>
    <x v="6"/>
    <x v="63"/>
    <x v="397"/>
    <x v="807"/>
    <x v="1"/>
    <x v="0"/>
    <x v="0"/>
    <x v="0"/>
    <x v="0"/>
    <x v="276"/>
    <x v="2"/>
    <x v="1"/>
    <x v="333"/>
    <x v="449"/>
    <x v="863"/>
    <x v="130"/>
    <x v="40"/>
    <x v="3"/>
    <x v="2"/>
    <x v="141"/>
    <x v="0"/>
  </r>
  <r>
    <x v="536"/>
    <x v="342"/>
    <x v="6"/>
    <x v="63"/>
    <x v="389"/>
    <x v="799"/>
    <x v="1"/>
    <x v="0"/>
    <x v="0"/>
    <x v="0"/>
    <x v="0"/>
    <x v="150"/>
    <x v="2"/>
    <x v="1"/>
    <x v="298"/>
    <x v="449"/>
    <x v="757"/>
    <x v="56"/>
    <x v="172"/>
    <x v="3"/>
    <x v="2"/>
    <x v="141"/>
    <x v="0"/>
  </r>
  <r>
    <x v="535"/>
    <x v="341"/>
    <x v="6"/>
    <x v="63"/>
    <x v="388"/>
    <x v="798"/>
    <x v="1"/>
    <x v="0"/>
    <x v="0"/>
    <x v="0"/>
    <x v="0"/>
    <x v="308"/>
    <x v="2"/>
    <x v="1"/>
    <x v="339"/>
    <x v="449"/>
    <x v="747"/>
    <x v="64"/>
    <x v="167"/>
    <x v="3"/>
    <x v="2"/>
    <x v="141"/>
    <x v="0"/>
  </r>
  <r>
    <x v="534"/>
    <x v="340"/>
    <x v="6"/>
    <x v="63"/>
    <x v="387"/>
    <x v="797"/>
    <x v="1"/>
    <x v="0"/>
    <x v="0"/>
    <x v="0"/>
    <x v="0"/>
    <x v="205"/>
    <x v="2"/>
    <x v="1"/>
    <x v="338"/>
    <x v="449"/>
    <x v="789"/>
    <x v="89"/>
    <x v="104"/>
    <x v="3"/>
    <x v="2"/>
    <x v="141"/>
    <x v="0"/>
  </r>
  <r>
    <x v="533"/>
    <x v="339"/>
    <x v="6"/>
    <x v="63"/>
    <x v="386"/>
    <x v="796"/>
    <x v="1"/>
    <x v="0"/>
    <x v="0"/>
    <x v="0"/>
    <x v="0"/>
    <x v="365"/>
    <x v="2"/>
    <x v="1"/>
    <x v="112"/>
    <x v="449"/>
    <x v="801"/>
    <x v="203"/>
    <x v="28"/>
    <x v="3"/>
    <x v="2"/>
    <x v="141"/>
    <x v="0"/>
  </r>
  <r>
    <x v="532"/>
    <x v="338"/>
    <x v="6"/>
    <x v="63"/>
    <x v="385"/>
    <x v="795"/>
    <x v="1"/>
    <x v="0"/>
    <x v="0"/>
    <x v="0"/>
    <x v="0"/>
    <x v="428"/>
    <x v="2"/>
    <x v="1"/>
    <x v="244"/>
    <x v="449"/>
    <x v="802"/>
    <x v="201"/>
    <x v="29"/>
    <x v="3"/>
    <x v="2"/>
    <x v="141"/>
    <x v="0"/>
  </r>
  <r>
    <x v="531"/>
    <x v="337"/>
    <x v="6"/>
    <x v="63"/>
    <x v="384"/>
    <x v="794"/>
    <x v="1"/>
    <x v="0"/>
    <x v="0"/>
    <x v="0"/>
    <x v="0"/>
    <x v="284"/>
    <x v="2"/>
    <x v="1"/>
    <x v="336"/>
    <x v="449"/>
    <x v="799"/>
    <x v="200"/>
    <x v="31"/>
    <x v="3"/>
    <x v="2"/>
    <x v="141"/>
    <x v="0"/>
  </r>
  <r>
    <x v="530"/>
    <x v="336"/>
    <x v="6"/>
    <x v="63"/>
    <x v="383"/>
    <x v="793"/>
    <x v="1"/>
    <x v="0"/>
    <x v="0"/>
    <x v="0"/>
    <x v="0"/>
    <x v="519"/>
    <x v="2"/>
    <x v="1"/>
    <x v="247"/>
    <x v="449"/>
    <x v="786"/>
    <x v="188"/>
    <x v="51"/>
    <x v="3"/>
    <x v="2"/>
    <x v="141"/>
    <x v="0"/>
  </r>
  <r>
    <x v="529"/>
    <x v="335"/>
    <x v="6"/>
    <x v="63"/>
    <x v="382"/>
    <x v="792"/>
    <x v="1"/>
    <x v="0"/>
    <x v="0"/>
    <x v="0"/>
    <x v="0"/>
    <x v="492"/>
    <x v="2"/>
    <x v="1"/>
    <x v="246"/>
    <x v="449"/>
    <x v="795"/>
    <x v="168"/>
    <x v="55"/>
    <x v="3"/>
    <x v="2"/>
    <x v="141"/>
    <x v="0"/>
  </r>
  <r>
    <x v="528"/>
    <x v="334"/>
    <x v="6"/>
    <x v="63"/>
    <x v="381"/>
    <x v="791"/>
    <x v="1"/>
    <x v="0"/>
    <x v="0"/>
    <x v="0"/>
    <x v="0"/>
    <x v="419"/>
    <x v="2"/>
    <x v="1"/>
    <x v="362"/>
    <x v="449"/>
    <x v="818"/>
    <x v="208"/>
    <x v="19"/>
    <x v="3"/>
    <x v="2"/>
    <x v="141"/>
    <x v="0"/>
  </r>
  <r>
    <x v="527"/>
    <x v="345"/>
    <x v="6"/>
    <x v="63"/>
    <x v="403"/>
    <x v="813"/>
    <x v="1"/>
    <x v="0"/>
    <x v="0"/>
    <x v="0"/>
    <x v="0"/>
    <x v="451"/>
    <x v="2"/>
    <x v="1"/>
    <x v="378"/>
    <x v="449"/>
    <x v="853"/>
    <x v="245"/>
    <x v="512"/>
    <x v="3"/>
    <x v="2"/>
    <x v="141"/>
    <x v="0"/>
  </r>
  <r>
    <x v="526"/>
    <x v="321"/>
    <x v="6"/>
    <x v="63"/>
    <x v="356"/>
    <x v="766"/>
    <x v="1"/>
    <x v="0"/>
    <x v="0"/>
    <x v="0"/>
    <x v="0"/>
    <x v="108"/>
    <x v="2"/>
    <x v="1"/>
    <x v="107"/>
    <x v="449"/>
    <x v="848"/>
    <x v="34"/>
    <x v="180"/>
    <x v="3"/>
    <x v="2"/>
    <x v="140"/>
    <x v="0"/>
  </r>
  <r>
    <x v="525"/>
    <x v="324"/>
    <x v="6"/>
    <x v="63"/>
    <x v="360"/>
    <x v="770"/>
    <x v="1"/>
    <x v="0"/>
    <x v="0"/>
    <x v="0"/>
    <x v="0"/>
    <x v="114"/>
    <x v="0"/>
    <x v="1"/>
    <x v="159"/>
    <x v="449"/>
    <x v="811"/>
    <x v="78"/>
    <x v="105"/>
    <x v="3"/>
    <x v="2"/>
    <x v="140"/>
    <x v="0"/>
  </r>
  <r>
    <x v="524"/>
    <x v="333"/>
    <x v="6"/>
    <x v="63"/>
    <x v="377"/>
    <x v="787"/>
    <x v="1"/>
    <x v="0"/>
    <x v="0"/>
    <x v="0"/>
    <x v="0"/>
    <x v="486"/>
    <x v="2"/>
    <x v="1"/>
    <x v="93"/>
    <x v="449"/>
    <x v="826"/>
    <x v="215"/>
    <x v="11"/>
    <x v="3"/>
    <x v="2"/>
    <x v="140"/>
    <x v="0"/>
  </r>
  <r>
    <x v="523"/>
    <x v="328"/>
    <x v="6"/>
    <x v="63"/>
    <x v="370"/>
    <x v="780"/>
    <x v="1"/>
    <x v="0"/>
    <x v="0"/>
    <x v="0"/>
    <x v="0"/>
    <x v="213"/>
    <x v="2"/>
    <x v="1"/>
    <x v="251"/>
    <x v="449"/>
    <x v="773"/>
    <x v="59"/>
    <x v="155"/>
    <x v="3"/>
    <x v="2"/>
    <x v="140"/>
    <x v="0"/>
  </r>
  <r>
    <x v="522"/>
    <x v="319"/>
    <x v="6"/>
    <x v="63"/>
    <x v="354"/>
    <x v="764"/>
    <x v="1"/>
    <x v="0"/>
    <x v="0"/>
    <x v="0"/>
    <x v="0"/>
    <x v="246"/>
    <x v="2"/>
    <x v="1"/>
    <x v="90"/>
    <x v="449"/>
    <x v="869"/>
    <x v="36"/>
    <x v="130"/>
    <x v="3"/>
    <x v="2"/>
    <x v="140"/>
    <x v="0"/>
  </r>
  <r>
    <x v="521"/>
    <x v="323"/>
    <x v="6"/>
    <x v="63"/>
    <x v="359"/>
    <x v="769"/>
    <x v="1"/>
    <x v="0"/>
    <x v="0"/>
    <x v="0"/>
    <x v="0"/>
    <x v="406"/>
    <x v="2"/>
    <x v="1"/>
    <x v="107"/>
    <x v="449"/>
    <x v="778"/>
    <x v="106"/>
    <x v="86"/>
    <x v="3"/>
    <x v="2"/>
    <x v="140"/>
    <x v="0"/>
  </r>
  <r>
    <x v="520"/>
    <x v="330"/>
    <x v="6"/>
    <x v="63"/>
    <x v="374"/>
    <x v="784"/>
    <x v="1"/>
    <x v="0"/>
    <x v="0"/>
    <x v="0"/>
    <x v="0"/>
    <x v="434"/>
    <x v="2"/>
    <x v="1"/>
    <x v="233"/>
    <x v="449"/>
    <x v="769"/>
    <x v="80"/>
    <x v="140"/>
    <x v="3"/>
    <x v="2"/>
    <x v="140"/>
    <x v="0"/>
  </r>
  <r>
    <x v="519"/>
    <x v="317"/>
    <x v="6"/>
    <x v="63"/>
    <x v="349"/>
    <x v="759"/>
    <x v="1"/>
    <x v="0"/>
    <x v="0"/>
    <x v="0"/>
    <x v="0"/>
    <x v="469"/>
    <x v="2"/>
    <x v="1"/>
    <x v="47"/>
    <x v="449"/>
    <x v="854"/>
    <x v="53"/>
    <x v="94"/>
    <x v="3"/>
    <x v="2"/>
    <x v="140"/>
    <x v="0"/>
  </r>
  <r>
    <x v="518"/>
    <x v="325"/>
    <x v="6"/>
    <x v="63"/>
    <x v="363"/>
    <x v="773"/>
    <x v="1"/>
    <x v="0"/>
    <x v="0"/>
    <x v="0"/>
    <x v="0"/>
    <x v="156"/>
    <x v="2"/>
    <x v="1"/>
    <x v="145"/>
    <x v="449"/>
    <x v="843"/>
    <x v="48"/>
    <x v="128"/>
    <x v="3"/>
    <x v="2"/>
    <x v="140"/>
    <x v="0"/>
  </r>
  <r>
    <x v="517"/>
    <x v="326"/>
    <x v="6"/>
    <x v="63"/>
    <x v="364"/>
    <x v="774"/>
    <x v="1"/>
    <x v="0"/>
    <x v="0"/>
    <x v="0"/>
    <x v="0"/>
    <x v="222"/>
    <x v="2"/>
    <x v="1"/>
    <x v="178"/>
    <x v="449"/>
    <x v="834"/>
    <x v="44"/>
    <x v="145"/>
    <x v="3"/>
    <x v="2"/>
    <x v="140"/>
    <x v="0"/>
  </r>
  <r>
    <x v="516"/>
    <x v="332"/>
    <x v="6"/>
    <x v="63"/>
    <x v="376"/>
    <x v="786"/>
    <x v="1"/>
    <x v="0"/>
    <x v="0"/>
    <x v="0"/>
    <x v="0"/>
    <x v="413"/>
    <x v="2"/>
    <x v="1"/>
    <x v="250"/>
    <x v="449"/>
    <x v="822"/>
    <x v="235"/>
    <x v="4"/>
    <x v="3"/>
    <x v="2"/>
    <x v="140"/>
    <x v="0"/>
  </r>
  <r>
    <x v="515"/>
    <x v="320"/>
    <x v="6"/>
    <x v="63"/>
    <x v="355"/>
    <x v="765"/>
    <x v="1"/>
    <x v="0"/>
    <x v="0"/>
    <x v="0"/>
    <x v="0"/>
    <x v="205"/>
    <x v="2"/>
    <x v="1"/>
    <x v="89"/>
    <x v="449"/>
    <x v="862"/>
    <x v="26"/>
    <x v="179"/>
    <x v="3"/>
    <x v="2"/>
    <x v="140"/>
    <x v="0"/>
  </r>
  <r>
    <x v="514"/>
    <x v="331"/>
    <x v="6"/>
    <x v="63"/>
    <x v="375"/>
    <x v="785"/>
    <x v="1"/>
    <x v="0"/>
    <x v="0"/>
    <x v="0"/>
    <x v="0"/>
    <x v="218"/>
    <x v="2"/>
    <x v="1"/>
    <x v="298"/>
    <x v="449"/>
    <x v="755"/>
    <x v="58"/>
    <x v="170"/>
    <x v="3"/>
    <x v="2"/>
    <x v="140"/>
    <x v="0"/>
  </r>
  <r>
    <x v="513"/>
    <x v="318"/>
    <x v="6"/>
    <x v="63"/>
    <x v="352"/>
    <x v="762"/>
    <x v="1"/>
    <x v="0"/>
    <x v="0"/>
    <x v="0"/>
    <x v="0"/>
    <x v="327"/>
    <x v="2"/>
    <x v="1"/>
    <x v="74"/>
    <x v="449"/>
    <x v="842"/>
    <x v="67"/>
    <x v="90"/>
    <x v="3"/>
    <x v="2"/>
    <x v="140"/>
    <x v="0"/>
  </r>
  <r>
    <x v="512"/>
    <x v="327"/>
    <x v="6"/>
    <x v="63"/>
    <x v="365"/>
    <x v="775"/>
    <x v="1"/>
    <x v="0"/>
    <x v="0"/>
    <x v="0"/>
    <x v="0"/>
    <x v="157"/>
    <x v="2"/>
    <x v="1"/>
    <x v="200"/>
    <x v="449"/>
    <x v="831"/>
    <x v="43"/>
    <x v="149"/>
    <x v="3"/>
    <x v="2"/>
    <x v="140"/>
    <x v="0"/>
  </r>
  <r>
    <x v="511"/>
    <x v="329"/>
    <x v="6"/>
    <x v="63"/>
    <x v="373"/>
    <x v="783"/>
    <x v="1"/>
    <x v="0"/>
    <x v="0"/>
    <x v="0"/>
    <x v="0"/>
    <x v="45"/>
    <x v="2"/>
    <x v="1"/>
    <x v="280"/>
    <x v="449"/>
    <x v="808"/>
    <x v="81"/>
    <x v="103"/>
    <x v="3"/>
    <x v="2"/>
    <x v="140"/>
    <x v="0"/>
  </r>
  <r>
    <x v="510"/>
    <x v="322"/>
    <x v="6"/>
    <x v="63"/>
    <x v="357"/>
    <x v="767"/>
    <x v="1"/>
    <x v="0"/>
    <x v="0"/>
    <x v="0"/>
    <x v="0"/>
    <x v="226"/>
    <x v="2"/>
    <x v="1"/>
    <x v="92"/>
    <x v="449"/>
    <x v="781"/>
    <x v="55"/>
    <x v="157"/>
    <x v="3"/>
    <x v="2"/>
    <x v="140"/>
    <x v="0"/>
  </r>
  <r>
    <x v="509"/>
    <x v="316"/>
    <x v="6"/>
    <x v="54"/>
    <x v="335"/>
    <x v="737"/>
    <x v="1"/>
    <x v="0"/>
    <x v="0"/>
    <x v="0"/>
    <x v="0"/>
    <x v="45"/>
    <x v="2"/>
    <x v="1"/>
    <x v="359"/>
    <x v="449"/>
    <x v="661"/>
    <x v="392"/>
    <x v="388"/>
    <x v="3"/>
    <x v="2"/>
    <x v="139"/>
    <x v="0"/>
  </r>
  <r>
    <x v="508"/>
    <x v="292"/>
    <x v="6"/>
    <x v="70"/>
    <x v="437"/>
    <x v="853"/>
    <x v="1"/>
    <x v="0"/>
    <x v="0"/>
    <x v="0"/>
    <x v="0"/>
    <x v="192"/>
    <x v="2"/>
    <x v="1"/>
    <x v="435"/>
    <x v="449"/>
    <x v="810"/>
    <x v="212"/>
    <x v="16"/>
    <x v="3"/>
    <x v="2"/>
    <x v="130"/>
    <x v="0"/>
  </r>
  <r>
    <x v="507"/>
    <x v="290"/>
    <x v="6"/>
    <x v="15"/>
    <x v="304"/>
    <x v="429"/>
    <x v="1"/>
    <x v="0"/>
    <x v="0"/>
    <x v="0"/>
    <x v="0"/>
    <x v="402"/>
    <x v="2"/>
    <x v="1"/>
    <x v="422"/>
    <x v="449"/>
    <x v="746"/>
    <x v="179"/>
    <x v="60"/>
    <x v="3"/>
    <x v="2"/>
    <x v="128"/>
    <x v="0"/>
  </r>
  <r>
    <x v="506"/>
    <x v="289"/>
    <x v="6"/>
    <x v="15"/>
    <x v="303"/>
    <x v="428"/>
    <x v="1"/>
    <x v="0"/>
    <x v="0"/>
    <x v="0"/>
    <x v="0"/>
    <x v="45"/>
    <x v="2"/>
    <x v="1"/>
    <x v="425"/>
    <x v="449"/>
    <x v="709"/>
    <x v="140"/>
    <x v="113"/>
    <x v="3"/>
    <x v="2"/>
    <x v="127"/>
    <x v="0"/>
  </r>
  <r>
    <x v="505"/>
    <x v="273"/>
    <x v="6"/>
    <x v="15"/>
    <x v="302"/>
    <x v="427"/>
    <x v="1"/>
    <x v="0"/>
    <x v="0"/>
    <x v="0"/>
    <x v="0"/>
    <x v="37"/>
    <x v="2"/>
    <x v="1"/>
    <x v="417"/>
    <x v="449"/>
    <x v="699"/>
    <x v="176"/>
    <x v="85"/>
    <x v="3"/>
    <x v="2"/>
    <x v="117"/>
    <x v="0"/>
  </r>
  <r>
    <x v="504"/>
    <x v="272"/>
    <x v="6"/>
    <x v="63"/>
    <x v="405"/>
    <x v="815"/>
    <x v="1"/>
    <x v="0"/>
    <x v="0"/>
    <x v="0"/>
    <x v="0"/>
    <x v="26"/>
    <x v="2"/>
    <x v="1"/>
    <x v="409"/>
    <x v="449"/>
    <x v="832"/>
    <x v="42"/>
    <x v="156"/>
    <x v="3"/>
    <x v="2"/>
    <x v="116"/>
    <x v="0"/>
  </r>
  <r>
    <x v="503"/>
    <x v="271"/>
    <x v="6"/>
    <x v="15"/>
    <x v="301"/>
    <x v="426"/>
    <x v="1"/>
    <x v="0"/>
    <x v="0"/>
    <x v="0"/>
    <x v="0"/>
    <x v="140"/>
    <x v="2"/>
    <x v="1"/>
    <x v="406"/>
    <x v="449"/>
    <x v="701"/>
    <x v="169"/>
    <x v="91"/>
    <x v="3"/>
    <x v="2"/>
    <x v="116"/>
    <x v="0"/>
  </r>
  <r>
    <x v="502"/>
    <x v="253"/>
    <x v="6"/>
    <x v="63"/>
    <x v="400"/>
    <x v="810"/>
    <x v="1"/>
    <x v="0"/>
    <x v="0"/>
    <x v="0"/>
    <x v="0"/>
    <x v="28"/>
    <x v="2"/>
    <x v="1"/>
    <x v="249"/>
    <x v="449"/>
    <x v="866"/>
    <x v="105"/>
    <x v="47"/>
    <x v="3"/>
    <x v="2"/>
    <x v="108"/>
    <x v="0"/>
  </r>
  <r>
    <x v="501"/>
    <x v="251"/>
    <x v="6"/>
    <x v="54"/>
    <x v="332"/>
    <x v="734"/>
    <x v="1"/>
    <x v="0"/>
    <x v="0"/>
    <x v="0"/>
    <x v="0"/>
    <x v="53"/>
    <x v="2"/>
    <x v="1"/>
    <x v="400"/>
    <x v="449"/>
    <x v="656"/>
    <x v="220"/>
    <x v="59"/>
    <x v="3"/>
    <x v="2"/>
    <x v="108"/>
    <x v="0"/>
  </r>
  <r>
    <x v="500"/>
    <x v="254"/>
    <x v="6"/>
    <x v="63"/>
    <x v="401"/>
    <x v="811"/>
    <x v="1"/>
    <x v="0"/>
    <x v="0"/>
    <x v="0"/>
    <x v="0"/>
    <x v="143"/>
    <x v="2"/>
    <x v="1"/>
    <x v="257"/>
    <x v="449"/>
    <x v="871"/>
    <x v="39"/>
    <x v="110"/>
    <x v="3"/>
    <x v="2"/>
    <x v="108"/>
    <x v="0"/>
  </r>
  <r>
    <x v="499"/>
    <x v="252"/>
    <x v="6"/>
    <x v="63"/>
    <x v="399"/>
    <x v="809"/>
    <x v="1"/>
    <x v="0"/>
    <x v="0"/>
    <x v="0"/>
    <x v="0"/>
    <x v="57"/>
    <x v="2"/>
    <x v="1"/>
    <x v="248"/>
    <x v="449"/>
    <x v="867"/>
    <x v="92"/>
    <x v="54"/>
    <x v="3"/>
    <x v="2"/>
    <x v="108"/>
    <x v="0"/>
  </r>
  <r>
    <x v="498"/>
    <x v="244"/>
    <x v="6"/>
    <x v="63"/>
    <x v="398"/>
    <x v="808"/>
    <x v="1"/>
    <x v="0"/>
    <x v="0"/>
    <x v="0"/>
    <x v="0"/>
    <x v="22"/>
    <x v="2"/>
    <x v="1"/>
    <x v="376"/>
    <x v="449"/>
    <x v="865"/>
    <x v="127"/>
    <x v="39"/>
    <x v="3"/>
    <x v="2"/>
    <x v="106"/>
    <x v="0"/>
  </r>
  <r>
    <x v="497"/>
    <x v="243"/>
    <x v="6"/>
    <x v="63"/>
    <x v="396"/>
    <x v="806"/>
    <x v="1"/>
    <x v="0"/>
    <x v="0"/>
    <x v="0"/>
    <x v="0"/>
    <x v="57"/>
    <x v="2"/>
    <x v="1"/>
    <x v="374"/>
    <x v="449"/>
    <x v="841"/>
    <x v="76"/>
    <x v="84"/>
    <x v="3"/>
    <x v="2"/>
    <x v="105"/>
    <x v="0"/>
  </r>
  <r>
    <x v="496"/>
    <x v="224"/>
    <x v="6"/>
    <x v="63"/>
    <x v="394"/>
    <x v="804"/>
    <x v="1"/>
    <x v="0"/>
    <x v="0"/>
    <x v="0"/>
    <x v="0"/>
    <x v="199"/>
    <x v="2"/>
    <x v="1"/>
    <x v="375"/>
    <x v="449"/>
    <x v="828"/>
    <x v="87"/>
    <x v="78"/>
    <x v="3"/>
    <x v="2"/>
    <x v="100"/>
    <x v="0"/>
  </r>
  <r>
    <x v="495"/>
    <x v="225"/>
    <x v="6"/>
    <x v="63"/>
    <x v="395"/>
    <x v="805"/>
    <x v="1"/>
    <x v="0"/>
    <x v="0"/>
    <x v="0"/>
    <x v="0"/>
    <x v="121"/>
    <x v="2"/>
    <x v="1"/>
    <x v="373"/>
    <x v="449"/>
    <x v="838"/>
    <x v="74"/>
    <x v="87"/>
    <x v="3"/>
    <x v="2"/>
    <x v="100"/>
    <x v="0"/>
  </r>
  <r>
    <x v="494"/>
    <x v="223"/>
    <x v="6"/>
    <x v="63"/>
    <x v="392"/>
    <x v="802"/>
    <x v="1"/>
    <x v="0"/>
    <x v="0"/>
    <x v="0"/>
    <x v="0"/>
    <x v="69"/>
    <x v="2"/>
    <x v="1"/>
    <x v="240"/>
    <x v="449"/>
    <x v="779"/>
    <x v="113"/>
    <x v="82"/>
    <x v="3"/>
    <x v="2"/>
    <x v="99"/>
    <x v="0"/>
  </r>
  <r>
    <x v="493"/>
    <x v="222"/>
    <x v="6"/>
    <x v="63"/>
    <x v="391"/>
    <x v="801"/>
    <x v="1"/>
    <x v="0"/>
    <x v="0"/>
    <x v="0"/>
    <x v="0"/>
    <x v="22"/>
    <x v="2"/>
    <x v="1"/>
    <x v="234"/>
    <x v="449"/>
    <x v="783"/>
    <x v="52"/>
    <x v="164"/>
    <x v="3"/>
    <x v="2"/>
    <x v="99"/>
    <x v="0"/>
  </r>
  <r>
    <x v="492"/>
    <x v="220"/>
    <x v="6"/>
    <x v="63"/>
    <x v="390"/>
    <x v="800"/>
    <x v="1"/>
    <x v="0"/>
    <x v="0"/>
    <x v="0"/>
    <x v="0"/>
    <x v="121"/>
    <x v="2"/>
    <x v="1"/>
    <x v="253"/>
    <x v="449"/>
    <x v="766"/>
    <x v="54"/>
    <x v="166"/>
    <x v="3"/>
    <x v="2"/>
    <x v="98"/>
    <x v="0"/>
  </r>
  <r>
    <x v="491"/>
    <x v="207"/>
    <x v="6"/>
    <x v="15"/>
    <x v="300"/>
    <x v="425"/>
    <x v="1"/>
    <x v="0"/>
    <x v="0"/>
    <x v="0"/>
    <x v="0"/>
    <x v="20"/>
    <x v="2"/>
    <x v="1"/>
    <x v="300"/>
    <x v="449"/>
    <x v="721"/>
    <x v="122"/>
    <x v="118"/>
    <x v="3"/>
    <x v="2"/>
    <x v="93"/>
    <x v="0"/>
  </r>
  <r>
    <x v="490"/>
    <x v="206"/>
    <x v="6"/>
    <x v="15"/>
    <x v="299"/>
    <x v="424"/>
    <x v="1"/>
    <x v="0"/>
    <x v="0"/>
    <x v="0"/>
    <x v="0"/>
    <x v="28"/>
    <x v="2"/>
    <x v="1"/>
    <x v="360"/>
    <x v="449"/>
    <x v="714"/>
    <x v="123"/>
    <x v="126"/>
    <x v="3"/>
    <x v="2"/>
    <x v="93"/>
    <x v="0"/>
  </r>
  <r>
    <x v="489"/>
    <x v="205"/>
    <x v="6"/>
    <x v="15"/>
    <x v="298"/>
    <x v="423"/>
    <x v="1"/>
    <x v="0"/>
    <x v="0"/>
    <x v="0"/>
    <x v="0"/>
    <x v="22"/>
    <x v="2"/>
    <x v="1"/>
    <x v="239"/>
    <x v="449"/>
    <x v="684"/>
    <x v="156"/>
    <x v="117"/>
    <x v="3"/>
    <x v="2"/>
    <x v="92"/>
    <x v="0"/>
  </r>
  <r>
    <x v="488"/>
    <x v="201"/>
    <x v="6"/>
    <x v="15"/>
    <x v="297"/>
    <x v="422"/>
    <x v="1"/>
    <x v="0"/>
    <x v="0"/>
    <x v="0"/>
    <x v="0"/>
    <x v="275"/>
    <x v="2"/>
    <x v="1"/>
    <x v="337"/>
    <x v="449"/>
    <x v="741"/>
    <x v="119"/>
    <x v="107"/>
    <x v="3"/>
    <x v="2"/>
    <x v="89"/>
    <x v="0"/>
  </r>
  <r>
    <x v="487"/>
    <x v="192"/>
    <x v="6"/>
    <x v="54"/>
    <x v="331"/>
    <x v="733"/>
    <x v="1"/>
    <x v="0"/>
    <x v="0"/>
    <x v="0"/>
    <x v="0"/>
    <x v="191"/>
    <x v="2"/>
    <x v="1"/>
    <x v="101"/>
    <x v="449"/>
    <x v="662"/>
    <x v="349"/>
    <x v="430"/>
    <x v="3"/>
    <x v="2"/>
    <x v="83"/>
    <x v="0"/>
  </r>
  <r>
    <x v="486"/>
    <x v="191"/>
    <x v="6"/>
    <x v="54"/>
    <x v="329"/>
    <x v="731"/>
    <x v="1"/>
    <x v="0"/>
    <x v="0"/>
    <x v="0"/>
    <x v="0"/>
    <x v="132"/>
    <x v="2"/>
    <x v="1"/>
    <x v="143"/>
    <x v="449"/>
    <x v="644"/>
    <x v="381"/>
    <x v="407"/>
    <x v="3"/>
    <x v="2"/>
    <x v="82"/>
    <x v="0"/>
  </r>
  <r>
    <x v="485"/>
    <x v="190"/>
    <x v="6"/>
    <x v="54"/>
    <x v="328"/>
    <x v="730"/>
    <x v="1"/>
    <x v="0"/>
    <x v="0"/>
    <x v="0"/>
    <x v="0"/>
    <x v="128"/>
    <x v="2"/>
    <x v="1"/>
    <x v="352"/>
    <x v="449"/>
    <x v="650"/>
    <x v="389"/>
    <x v="391"/>
    <x v="3"/>
    <x v="2"/>
    <x v="82"/>
    <x v="0"/>
  </r>
  <r>
    <x v="484"/>
    <x v="189"/>
    <x v="6"/>
    <x v="63"/>
    <x v="379"/>
    <x v="789"/>
    <x v="1"/>
    <x v="0"/>
    <x v="0"/>
    <x v="0"/>
    <x v="0"/>
    <x v="22"/>
    <x v="2"/>
    <x v="1"/>
    <x v="354"/>
    <x v="449"/>
    <x v="827"/>
    <x v="217"/>
    <x v="10"/>
    <x v="3"/>
    <x v="2"/>
    <x v="81"/>
    <x v="0"/>
  </r>
  <r>
    <x v="483"/>
    <x v="188"/>
    <x v="6"/>
    <x v="63"/>
    <x v="378"/>
    <x v="788"/>
    <x v="1"/>
    <x v="0"/>
    <x v="0"/>
    <x v="0"/>
    <x v="0"/>
    <x v="205"/>
    <x v="2"/>
    <x v="1"/>
    <x v="93"/>
    <x v="449"/>
    <x v="824"/>
    <x v="216"/>
    <x v="12"/>
    <x v="3"/>
    <x v="2"/>
    <x v="81"/>
    <x v="0"/>
  </r>
  <r>
    <x v="482"/>
    <x v="168"/>
    <x v="6"/>
    <x v="70"/>
    <x v="429"/>
    <x v="845"/>
    <x v="1"/>
    <x v="0"/>
    <x v="0"/>
    <x v="0"/>
    <x v="0"/>
    <x v="355"/>
    <x v="2"/>
    <x v="1"/>
    <x v="197"/>
    <x v="449"/>
    <x v="729"/>
    <x v="319"/>
    <x v="473"/>
    <x v="3"/>
    <x v="2"/>
    <x v="78"/>
    <x v="0"/>
  </r>
  <r>
    <x v="481"/>
    <x v="169"/>
    <x v="6"/>
    <x v="70"/>
    <x v="431"/>
    <x v="847"/>
    <x v="1"/>
    <x v="0"/>
    <x v="0"/>
    <x v="0"/>
    <x v="0"/>
    <x v="303"/>
    <x v="2"/>
    <x v="1"/>
    <x v="255"/>
    <x v="449"/>
    <x v="782"/>
    <x v="197"/>
    <x v="44"/>
    <x v="3"/>
    <x v="2"/>
    <x v="78"/>
    <x v="0"/>
  </r>
  <r>
    <x v="480"/>
    <x v="167"/>
    <x v="6"/>
    <x v="70"/>
    <x v="421"/>
    <x v="837"/>
    <x v="1"/>
    <x v="0"/>
    <x v="0"/>
    <x v="0"/>
    <x v="0"/>
    <x v="132"/>
    <x v="2"/>
    <x v="1"/>
    <x v="102"/>
    <x v="449"/>
    <x v="703"/>
    <x v="356"/>
    <x v="424"/>
    <x v="3"/>
    <x v="2"/>
    <x v="78"/>
    <x v="0"/>
  </r>
  <r>
    <x v="479"/>
    <x v="164"/>
    <x v="6"/>
    <x v="15"/>
    <x v="276"/>
    <x v="401"/>
    <x v="1"/>
    <x v="0"/>
    <x v="0"/>
    <x v="0"/>
    <x v="0"/>
    <x v="456"/>
    <x v="0"/>
    <x v="1"/>
    <x v="94"/>
    <x v="449"/>
    <x v="691"/>
    <x v="145"/>
    <x v="123"/>
    <x v="3"/>
    <x v="2"/>
    <x v="78"/>
    <x v="0"/>
  </r>
  <r>
    <x v="478"/>
    <x v="170"/>
    <x v="6"/>
    <x v="70"/>
    <x v="434"/>
    <x v="850"/>
    <x v="1"/>
    <x v="0"/>
    <x v="0"/>
    <x v="0"/>
    <x v="0"/>
    <x v="190"/>
    <x v="2"/>
    <x v="1"/>
    <x v="254"/>
    <x v="449"/>
    <x v="723"/>
    <x v="374"/>
    <x v="398"/>
    <x v="3"/>
    <x v="2"/>
    <x v="78"/>
    <x v="0"/>
  </r>
  <r>
    <x v="477"/>
    <x v="165"/>
    <x v="6"/>
    <x v="54"/>
    <x v="314"/>
    <x v="716"/>
    <x v="1"/>
    <x v="0"/>
    <x v="0"/>
    <x v="0"/>
    <x v="0"/>
    <x v="225"/>
    <x v="2"/>
    <x v="1"/>
    <x v="81"/>
    <x v="449"/>
    <x v="673"/>
    <x v="343"/>
    <x v="433"/>
    <x v="3"/>
    <x v="2"/>
    <x v="78"/>
    <x v="0"/>
  </r>
  <r>
    <x v="476"/>
    <x v="166"/>
    <x v="6"/>
    <x v="54"/>
    <x v="315"/>
    <x v="717"/>
    <x v="1"/>
    <x v="0"/>
    <x v="0"/>
    <x v="0"/>
    <x v="0"/>
    <x v="366"/>
    <x v="2"/>
    <x v="1"/>
    <x v="109"/>
    <x v="449"/>
    <x v="640"/>
    <x v="246"/>
    <x v="53"/>
    <x v="3"/>
    <x v="2"/>
    <x v="78"/>
    <x v="0"/>
  </r>
  <r>
    <x v="475"/>
    <x v="159"/>
    <x v="6"/>
    <x v="13"/>
    <x v="269"/>
    <x v="385"/>
    <x v="1"/>
    <x v="0"/>
    <x v="0"/>
    <x v="0"/>
    <x v="0"/>
    <x v="267"/>
    <x v="2"/>
    <x v="1"/>
    <x v="82"/>
    <x v="449"/>
    <x v="815"/>
    <x v="31"/>
    <x v="197"/>
    <x v="3"/>
    <x v="2"/>
    <x v="76"/>
    <x v="0"/>
  </r>
  <r>
    <x v="474"/>
    <x v="160"/>
    <x v="6"/>
    <x v="63"/>
    <x v="372"/>
    <x v="782"/>
    <x v="1"/>
    <x v="0"/>
    <x v="0"/>
    <x v="0"/>
    <x v="0"/>
    <x v="126"/>
    <x v="2"/>
    <x v="1"/>
    <x v="252"/>
    <x v="449"/>
    <x v="772"/>
    <x v="57"/>
    <x v="163"/>
    <x v="3"/>
    <x v="2"/>
    <x v="76"/>
    <x v="0"/>
  </r>
  <r>
    <x v="473"/>
    <x v="158"/>
    <x v="6"/>
    <x v="63"/>
    <x v="369"/>
    <x v="779"/>
    <x v="1"/>
    <x v="0"/>
    <x v="0"/>
    <x v="0"/>
    <x v="0"/>
    <x v="114"/>
    <x v="2"/>
    <x v="1"/>
    <x v="256"/>
    <x v="449"/>
    <x v="755"/>
    <x v="65"/>
    <x v="165"/>
    <x v="3"/>
    <x v="2"/>
    <x v="75"/>
    <x v="0"/>
  </r>
  <r>
    <x v="472"/>
    <x v="157"/>
    <x v="6"/>
    <x v="63"/>
    <x v="368"/>
    <x v="778"/>
    <x v="1"/>
    <x v="0"/>
    <x v="0"/>
    <x v="0"/>
    <x v="0"/>
    <x v="37"/>
    <x v="2"/>
    <x v="1"/>
    <x v="305"/>
    <x v="449"/>
    <x v="839"/>
    <x v="51"/>
    <x v="127"/>
    <x v="3"/>
    <x v="2"/>
    <x v="75"/>
    <x v="0"/>
  </r>
  <r>
    <x v="471"/>
    <x v="154"/>
    <x v="6"/>
    <x v="15"/>
    <x v="296"/>
    <x v="421"/>
    <x v="1"/>
    <x v="0"/>
    <x v="0"/>
    <x v="0"/>
    <x v="0"/>
    <x v="101"/>
    <x v="2"/>
    <x v="1"/>
    <x v="328"/>
    <x v="449"/>
    <x v="697"/>
    <x v="107"/>
    <x v="152"/>
    <x v="3"/>
    <x v="2"/>
    <x v="73"/>
    <x v="0"/>
  </r>
  <r>
    <x v="470"/>
    <x v="153"/>
    <x v="6"/>
    <x v="15"/>
    <x v="295"/>
    <x v="420"/>
    <x v="1"/>
    <x v="0"/>
    <x v="0"/>
    <x v="0"/>
    <x v="0"/>
    <x v="250"/>
    <x v="2"/>
    <x v="1"/>
    <x v="325"/>
    <x v="449"/>
    <x v="761"/>
    <x v="114"/>
    <x v="96"/>
    <x v="3"/>
    <x v="2"/>
    <x v="73"/>
    <x v="0"/>
  </r>
  <r>
    <x v="469"/>
    <x v="150"/>
    <x v="6"/>
    <x v="15"/>
    <x v="293"/>
    <x v="418"/>
    <x v="1"/>
    <x v="0"/>
    <x v="0"/>
    <x v="0"/>
    <x v="0"/>
    <x v="330"/>
    <x v="2"/>
    <x v="1"/>
    <x v="323"/>
    <x v="449"/>
    <x v="705"/>
    <x v="192"/>
    <x v="74"/>
    <x v="3"/>
    <x v="2"/>
    <x v="72"/>
    <x v="0"/>
  </r>
  <r>
    <x v="468"/>
    <x v="149"/>
    <x v="6"/>
    <x v="15"/>
    <x v="292"/>
    <x v="417"/>
    <x v="1"/>
    <x v="0"/>
    <x v="0"/>
    <x v="0"/>
    <x v="0"/>
    <x v="121"/>
    <x v="2"/>
    <x v="1"/>
    <x v="315"/>
    <x v="449"/>
    <x v="654"/>
    <x v="143"/>
    <x v="160"/>
    <x v="3"/>
    <x v="2"/>
    <x v="72"/>
    <x v="0"/>
  </r>
  <r>
    <x v="467"/>
    <x v="151"/>
    <x v="6"/>
    <x v="15"/>
    <x v="294"/>
    <x v="419"/>
    <x v="1"/>
    <x v="0"/>
    <x v="0"/>
    <x v="0"/>
    <x v="0"/>
    <x v="425"/>
    <x v="2"/>
    <x v="1"/>
    <x v="324"/>
    <x v="449"/>
    <x v="738"/>
    <x v="150"/>
    <x v="79"/>
    <x v="3"/>
    <x v="2"/>
    <x v="72"/>
    <x v="0"/>
  </r>
  <r>
    <x v="466"/>
    <x v="134"/>
    <x v="6"/>
    <x v="15"/>
    <x v="291"/>
    <x v="416"/>
    <x v="1"/>
    <x v="0"/>
    <x v="0"/>
    <x v="0"/>
    <x v="0"/>
    <x v="214"/>
    <x v="2"/>
    <x v="1"/>
    <x v="313"/>
    <x v="449"/>
    <x v="672"/>
    <x v="148"/>
    <x v="135"/>
    <x v="3"/>
    <x v="2"/>
    <x v="70"/>
    <x v="0"/>
  </r>
  <r>
    <x v="465"/>
    <x v="133"/>
    <x v="6"/>
    <x v="15"/>
    <x v="290"/>
    <x v="415"/>
    <x v="1"/>
    <x v="0"/>
    <x v="0"/>
    <x v="0"/>
    <x v="0"/>
    <x v="297"/>
    <x v="2"/>
    <x v="1"/>
    <x v="309"/>
    <x v="449"/>
    <x v="676"/>
    <x v="158"/>
    <x v="122"/>
    <x v="3"/>
    <x v="2"/>
    <x v="70"/>
    <x v="0"/>
  </r>
  <r>
    <x v="464"/>
    <x v="131"/>
    <x v="6"/>
    <x v="70"/>
    <x v="433"/>
    <x v="849"/>
    <x v="1"/>
    <x v="0"/>
    <x v="0"/>
    <x v="0"/>
    <x v="0"/>
    <x v="28"/>
    <x v="2"/>
    <x v="1"/>
    <x v="177"/>
    <x v="449"/>
    <x v="730"/>
    <x v="369"/>
    <x v="404"/>
    <x v="3"/>
    <x v="2"/>
    <x v="69"/>
    <x v="0"/>
  </r>
  <r>
    <x v="463"/>
    <x v="130"/>
    <x v="6"/>
    <x v="70"/>
    <x v="432"/>
    <x v="848"/>
    <x v="1"/>
    <x v="0"/>
    <x v="0"/>
    <x v="0"/>
    <x v="0"/>
    <x v="28"/>
    <x v="2"/>
    <x v="1"/>
    <x v="176"/>
    <x v="449"/>
    <x v="698"/>
    <x v="375"/>
    <x v="405"/>
    <x v="3"/>
    <x v="2"/>
    <x v="69"/>
    <x v="0"/>
  </r>
  <r>
    <x v="462"/>
    <x v="129"/>
    <x v="6"/>
    <x v="15"/>
    <x v="289"/>
    <x v="414"/>
    <x v="1"/>
    <x v="0"/>
    <x v="0"/>
    <x v="0"/>
    <x v="0"/>
    <x v="128"/>
    <x v="2"/>
    <x v="1"/>
    <x v="306"/>
    <x v="449"/>
    <x v="678"/>
    <x v="180"/>
    <x v="101"/>
    <x v="3"/>
    <x v="2"/>
    <x v="69"/>
    <x v="0"/>
  </r>
  <r>
    <x v="461"/>
    <x v="124"/>
    <x v="6"/>
    <x v="54"/>
    <x v="318"/>
    <x v="720"/>
    <x v="1"/>
    <x v="0"/>
    <x v="0"/>
    <x v="0"/>
    <x v="0"/>
    <x v="22"/>
    <x v="0"/>
    <x v="2"/>
    <x v="167"/>
    <x v="449"/>
    <x v="663"/>
    <x v="225"/>
    <x v="57"/>
    <x v="3"/>
    <x v="2"/>
    <x v="67"/>
    <x v="0"/>
  </r>
  <r>
    <x v="460"/>
    <x v="120"/>
    <x v="6"/>
    <x v="63"/>
    <x v="347"/>
    <x v="757"/>
    <x v="1"/>
    <x v="0"/>
    <x v="0"/>
    <x v="0"/>
    <x v="0"/>
    <x v="503"/>
    <x v="0"/>
    <x v="1"/>
    <x v="40"/>
    <x v="449"/>
    <x v="803"/>
    <x v="49"/>
    <x v="154"/>
    <x v="3"/>
    <x v="2"/>
    <x v="65"/>
    <x v="0"/>
  </r>
  <r>
    <x v="459"/>
    <x v="119"/>
    <x v="6"/>
    <x v="63"/>
    <x v="346"/>
    <x v="756"/>
    <x v="1"/>
    <x v="0"/>
    <x v="0"/>
    <x v="0"/>
    <x v="0"/>
    <x v="495"/>
    <x v="0"/>
    <x v="1"/>
    <x v="38"/>
    <x v="449"/>
    <x v="800"/>
    <x v="50"/>
    <x v="158"/>
    <x v="3"/>
    <x v="2"/>
    <x v="65"/>
    <x v="0"/>
  </r>
  <r>
    <x v="458"/>
    <x v="109"/>
    <x v="6"/>
    <x v="15"/>
    <x v="288"/>
    <x v="413"/>
    <x v="1"/>
    <x v="0"/>
    <x v="0"/>
    <x v="0"/>
    <x v="0"/>
    <x v="95"/>
    <x v="1"/>
    <x v="1"/>
    <x v="185"/>
    <x v="449"/>
    <x v="716"/>
    <x v="126"/>
    <x v="121"/>
    <x v="3"/>
    <x v="2"/>
    <x v="63"/>
    <x v="0"/>
  </r>
  <r>
    <x v="457"/>
    <x v="103"/>
    <x v="6"/>
    <x v="15"/>
    <x v="287"/>
    <x v="412"/>
    <x v="1"/>
    <x v="0"/>
    <x v="0"/>
    <x v="0"/>
    <x v="0"/>
    <x v="156"/>
    <x v="0"/>
    <x v="1"/>
    <x v="230"/>
    <x v="449"/>
    <x v="696"/>
    <x v="124"/>
    <x v="142"/>
    <x v="3"/>
    <x v="2"/>
    <x v="62"/>
    <x v="0"/>
  </r>
  <r>
    <x v="456"/>
    <x v="102"/>
    <x v="6"/>
    <x v="15"/>
    <x v="286"/>
    <x v="411"/>
    <x v="1"/>
    <x v="0"/>
    <x v="0"/>
    <x v="0"/>
    <x v="0"/>
    <x v="86"/>
    <x v="0"/>
    <x v="1"/>
    <x v="184"/>
    <x v="449"/>
    <x v="664"/>
    <x v="121"/>
    <x v="168"/>
    <x v="3"/>
    <x v="2"/>
    <x v="62"/>
    <x v="0"/>
  </r>
  <r>
    <x v="455"/>
    <x v="98"/>
    <x v="6"/>
    <x v="63"/>
    <x v="366"/>
    <x v="776"/>
    <x v="1"/>
    <x v="0"/>
    <x v="0"/>
    <x v="0"/>
    <x v="0"/>
    <x v="121"/>
    <x v="2"/>
    <x v="1"/>
    <x v="180"/>
    <x v="449"/>
    <x v="825"/>
    <x v="46"/>
    <x v="147"/>
    <x v="3"/>
    <x v="2"/>
    <x v="60"/>
    <x v="0"/>
  </r>
  <r>
    <x v="454"/>
    <x v="99"/>
    <x v="6"/>
    <x v="63"/>
    <x v="367"/>
    <x v="777"/>
    <x v="1"/>
    <x v="0"/>
    <x v="0"/>
    <x v="0"/>
    <x v="0"/>
    <x v="26"/>
    <x v="0"/>
    <x v="1"/>
    <x v="179"/>
    <x v="449"/>
    <x v="809"/>
    <x v="82"/>
    <x v="102"/>
    <x v="3"/>
    <x v="2"/>
    <x v="60"/>
    <x v="0"/>
  </r>
  <r>
    <x v="453"/>
    <x v="96"/>
    <x v="6"/>
    <x v="15"/>
    <x v="285"/>
    <x v="410"/>
    <x v="1"/>
    <x v="0"/>
    <x v="0"/>
    <x v="0"/>
    <x v="0"/>
    <x v="156"/>
    <x v="2"/>
    <x v="1"/>
    <x v="185"/>
    <x v="449"/>
    <x v="724"/>
    <x v="133"/>
    <x v="106"/>
    <x v="3"/>
    <x v="2"/>
    <x v="60"/>
    <x v="0"/>
  </r>
  <r>
    <x v="452"/>
    <x v="97"/>
    <x v="6"/>
    <x v="54"/>
    <x v="316"/>
    <x v="718"/>
    <x v="1"/>
    <x v="0"/>
    <x v="0"/>
    <x v="0"/>
    <x v="0"/>
    <x v="205"/>
    <x v="0"/>
    <x v="1"/>
    <x v="126"/>
    <x v="449"/>
    <x v="636"/>
    <x v="252"/>
    <x v="49"/>
    <x v="3"/>
    <x v="2"/>
    <x v="60"/>
    <x v="0"/>
  </r>
  <r>
    <x v="451"/>
    <x v="95"/>
    <x v="6"/>
    <x v="15"/>
    <x v="284"/>
    <x v="409"/>
    <x v="1"/>
    <x v="0"/>
    <x v="0"/>
    <x v="0"/>
    <x v="0"/>
    <x v="15"/>
    <x v="0"/>
    <x v="1"/>
    <x v="187"/>
    <x v="449"/>
    <x v="732"/>
    <x v="117"/>
    <x v="114"/>
    <x v="3"/>
    <x v="2"/>
    <x v="59"/>
    <x v="0"/>
  </r>
  <r>
    <x v="450"/>
    <x v="94"/>
    <x v="6"/>
    <x v="63"/>
    <x v="362"/>
    <x v="772"/>
    <x v="1"/>
    <x v="0"/>
    <x v="0"/>
    <x v="0"/>
    <x v="0"/>
    <x v="109"/>
    <x v="1"/>
    <x v="1"/>
    <x v="194"/>
    <x v="449"/>
    <x v="849"/>
    <x v="41"/>
    <x v="159"/>
    <x v="3"/>
    <x v="2"/>
    <x v="58"/>
    <x v="0"/>
  </r>
  <r>
    <x v="449"/>
    <x v="93"/>
    <x v="6"/>
    <x v="54"/>
    <x v="320"/>
    <x v="722"/>
    <x v="1"/>
    <x v="0"/>
    <x v="0"/>
    <x v="0"/>
    <x v="0"/>
    <x v="15"/>
    <x v="2"/>
    <x v="1"/>
    <x v="169"/>
    <x v="449"/>
    <x v="669"/>
    <x v="298"/>
    <x v="502"/>
    <x v="3"/>
    <x v="2"/>
    <x v="57"/>
    <x v="0"/>
  </r>
  <r>
    <x v="448"/>
    <x v="78"/>
    <x v="6"/>
    <x v="70"/>
    <x v="424"/>
    <x v="840"/>
    <x v="1"/>
    <x v="0"/>
    <x v="0"/>
    <x v="0"/>
    <x v="0"/>
    <x v="41"/>
    <x v="2"/>
    <x v="1"/>
    <x v="163"/>
    <x v="449"/>
    <x v="754"/>
    <x v="372"/>
    <x v="392"/>
    <x v="3"/>
    <x v="2"/>
    <x v="47"/>
    <x v="0"/>
  </r>
  <r>
    <x v="447"/>
    <x v="77"/>
    <x v="6"/>
    <x v="70"/>
    <x v="423"/>
    <x v="839"/>
    <x v="1"/>
    <x v="0"/>
    <x v="0"/>
    <x v="0"/>
    <x v="0"/>
    <x v="45"/>
    <x v="2"/>
    <x v="1"/>
    <x v="120"/>
    <x v="449"/>
    <x v="708"/>
    <x v="402"/>
    <x v="371"/>
    <x v="3"/>
    <x v="2"/>
    <x v="46"/>
    <x v="0"/>
  </r>
  <r>
    <x v="446"/>
    <x v="76"/>
    <x v="6"/>
    <x v="70"/>
    <x v="422"/>
    <x v="838"/>
    <x v="1"/>
    <x v="0"/>
    <x v="0"/>
    <x v="0"/>
    <x v="0"/>
    <x v="148"/>
    <x v="2"/>
    <x v="1"/>
    <x v="103"/>
    <x v="449"/>
    <x v="710"/>
    <x v="359"/>
    <x v="419"/>
    <x v="3"/>
    <x v="2"/>
    <x v="45"/>
    <x v="0"/>
  </r>
  <r>
    <x v="445"/>
    <x v="75"/>
    <x v="6"/>
    <x v="70"/>
    <x v="420"/>
    <x v="836"/>
    <x v="1"/>
    <x v="0"/>
    <x v="0"/>
    <x v="0"/>
    <x v="0"/>
    <x v="75"/>
    <x v="2"/>
    <x v="1"/>
    <x v="83"/>
    <x v="449"/>
    <x v="720"/>
    <x v="398"/>
    <x v="373"/>
    <x v="3"/>
    <x v="2"/>
    <x v="45"/>
    <x v="0"/>
  </r>
  <r>
    <x v="444"/>
    <x v="67"/>
    <x v="6"/>
    <x v="63"/>
    <x v="358"/>
    <x v="768"/>
    <x v="1"/>
    <x v="0"/>
    <x v="0"/>
    <x v="0"/>
    <x v="0"/>
    <x v="121"/>
    <x v="2"/>
    <x v="1"/>
    <x v="91"/>
    <x v="449"/>
    <x v="787"/>
    <x v="91"/>
    <x v="100"/>
    <x v="3"/>
    <x v="2"/>
    <x v="42"/>
    <x v="0"/>
  </r>
  <r>
    <x v="443"/>
    <x v="65"/>
    <x v="6"/>
    <x v="63"/>
    <x v="351"/>
    <x v="761"/>
    <x v="1"/>
    <x v="0"/>
    <x v="0"/>
    <x v="0"/>
    <x v="0"/>
    <x v="121"/>
    <x v="2"/>
    <x v="1"/>
    <x v="74"/>
    <x v="449"/>
    <x v="840"/>
    <x v="66"/>
    <x v="93"/>
    <x v="3"/>
    <x v="2"/>
    <x v="41"/>
    <x v="0"/>
  </r>
  <r>
    <x v="442"/>
    <x v="66"/>
    <x v="6"/>
    <x v="63"/>
    <x v="353"/>
    <x v="763"/>
    <x v="1"/>
    <x v="0"/>
    <x v="0"/>
    <x v="0"/>
    <x v="0"/>
    <x v="57"/>
    <x v="2"/>
    <x v="1"/>
    <x v="114"/>
    <x v="449"/>
    <x v="868"/>
    <x v="45"/>
    <x v="95"/>
    <x v="3"/>
    <x v="2"/>
    <x v="41"/>
    <x v="0"/>
  </r>
  <r>
    <x v="441"/>
    <x v="63"/>
    <x v="6"/>
    <x v="15"/>
    <x v="279"/>
    <x v="404"/>
    <x v="1"/>
    <x v="0"/>
    <x v="0"/>
    <x v="0"/>
    <x v="0"/>
    <x v="8"/>
    <x v="0"/>
    <x v="1"/>
    <x v="123"/>
    <x v="449"/>
    <x v="682"/>
    <x v="163"/>
    <x v="119"/>
    <x v="3"/>
    <x v="2"/>
    <x v="40"/>
    <x v="0"/>
  </r>
  <r>
    <x v="440"/>
    <x v="64"/>
    <x v="6"/>
    <x v="15"/>
    <x v="280"/>
    <x v="405"/>
    <x v="1"/>
    <x v="0"/>
    <x v="0"/>
    <x v="0"/>
    <x v="0"/>
    <x v="45"/>
    <x v="1"/>
    <x v="1"/>
    <x v="124"/>
    <x v="449"/>
    <x v="674"/>
    <x v="128"/>
    <x v="161"/>
    <x v="3"/>
    <x v="2"/>
    <x v="40"/>
    <x v="0"/>
  </r>
  <r>
    <x v="439"/>
    <x v="51"/>
    <x v="6"/>
    <x v="15"/>
    <x v="277"/>
    <x v="402"/>
    <x v="1"/>
    <x v="0"/>
    <x v="0"/>
    <x v="0"/>
    <x v="0"/>
    <x v="72"/>
    <x v="0"/>
    <x v="1"/>
    <x v="95"/>
    <x v="449"/>
    <x v="681"/>
    <x v="125"/>
    <x v="153"/>
    <x v="3"/>
    <x v="2"/>
    <x v="36"/>
    <x v="0"/>
  </r>
  <r>
    <x v="438"/>
    <x v="50"/>
    <x v="6"/>
    <x v="15"/>
    <x v="278"/>
    <x v="403"/>
    <x v="1"/>
    <x v="0"/>
    <x v="0"/>
    <x v="0"/>
    <x v="0"/>
    <x v="8"/>
    <x v="0"/>
    <x v="1"/>
    <x v="105"/>
    <x v="449"/>
    <x v="680"/>
    <x v="162"/>
    <x v="120"/>
    <x v="3"/>
    <x v="2"/>
    <x v="35"/>
    <x v="0"/>
  </r>
  <r>
    <x v="437"/>
    <x v="40"/>
    <x v="6"/>
    <x v="15"/>
    <x v="274"/>
    <x v="399"/>
    <x v="1"/>
    <x v="0"/>
    <x v="0"/>
    <x v="0"/>
    <x v="0"/>
    <x v="108"/>
    <x v="0"/>
    <x v="1"/>
    <x v="85"/>
    <x v="449"/>
    <x v="727"/>
    <x v="94"/>
    <x v="138"/>
    <x v="3"/>
    <x v="2"/>
    <x v="30"/>
    <x v="0"/>
  </r>
  <r>
    <x v="436"/>
    <x v="37"/>
    <x v="6"/>
    <x v="15"/>
    <x v="275"/>
    <x v="400"/>
    <x v="1"/>
    <x v="0"/>
    <x v="0"/>
    <x v="0"/>
    <x v="0"/>
    <x v="188"/>
    <x v="2"/>
    <x v="1"/>
    <x v="86"/>
    <x v="449"/>
    <x v="750"/>
    <x v="120"/>
    <x v="97"/>
    <x v="3"/>
    <x v="2"/>
    <x v="28"/>
    <x v="0"/>
  </r>
  <r>
    <x v="435"/>
    <x v="32"/>
    <x v="6"/>
    <x v="13"/>
    <x v="263"/>
    <x v="379"/>
    <x v="1"/>
    <x v="0"/>
    <x v="0"/>
    <x v="0"/>
    <x v="0"/>
    <x v="204"/>
    <x v="2"/>
    <x v="1"/>
    <x v="59"/>
    <x v="449"/>
    <x v="874"/>
    <x v="29"/>
    <x v="134"/>
    <x v="3"/>
    <x v="2"/>
    <x v="26"/>
    <x v="0"/>
  </r>
  <r>
    <x v="434"/>
    <x v="35"/>
    <x v="6"/>
    <x v="13"/>
    <x v="268"/>
    <x v="384"/>
    <x v="1"/>
    <x v="0"/>
    <x v="0"/>
    <x v="0"/>
    <x v="0"/>
    <x v="12"/>
    <x v="2"/>
    <x v="1"/>
    <x v="78"/>
    <x v="449"/>
    <x v="873"/>
    <x v="33"/>
    <x v="133"/>
    <x v="3"/>
    <x v="2"/>
    <x v="26"/>
    <x v="0"/>
  </r>
  <r>
    <x v="433"/>
    <x v="33"/>
    <x v="6"/>
    <x v="13"/>
    <x v="264"/>
    <x v="380"/>
    <x v="1"/>
    <x v="0"/>
    <x v="0"/>
    <x v="0"/>
    <x v="0"/>
    <x v="159"/>
    <x v="2"/>
    <x v="1"/>
    <x v="59"/>
    <x v="449"/>
    <x v="875"/>
    <x v="30"/>
    <x v="132"/>
    <x v="3"/>
    <x v="2"/>
    <x v="26"/>
    <x v="0"/>
  </r>
  <r>
    <x v="432"/>
    <x v="34"/>
    <x v="6"/>
    <x v="13"/>
    <x v="265"/>
    <x v="381"/>
    <x v="1"/>
    <x v="0"/>
    <x v="0"/>
    <x v="0"/>
    <x v="0"/>
    <x v="155"/>
    <x v="2"/>
    <x v="1"/>
    <x v="59"/>
    <x v="449"/>
    <x v="876"/>
    <x v="32"/>
    <x v="129"/>
    <x v="3"/>
    <x v="2"/>
    <x v="26"/>
    <x v="0"/>
  </r>
  <r>
    <x v="431"/>
    <x v="29"/>
    <x v="6"/>
    <x v="15"/>
    <x v="272"/>
    <x v="397"/>
    <x v="1"/>
    <x v="0"/>
    <x v="0"/>
    <x v="0"/>
    <x v="0"/>
    <x v="118"/>
    <x v="2"/>
    <x v="1"/>
    <x v="37"/>
    <x v="449"/>
    <x v="694"/>
    <x v="111"/>
    <x v="151"/>
    <x v="3"/>
    <x v="2"/>
    <x v="24"/>
    <x v="0"/>
  </r>
  <r>
    <x v="430"/>
    <x v="28"/>
    <x v="6"/>
    <x v="13"/>
    <x v="266"/>
    <x v="382"/>
    <x v="1"/>
    <x v="0"/>
    <x v="0"/>
    <x v="0"/>
    <x v="0"/>
    <x v="58"/>
    <x v="2"/>
    <x v="1"/>
    <x v="59"/>
    <x v="449"/>
    <x v="877"/>
    <x v="27"/>
    <x v="131"/>
    <x v="3"/>
    <x v="2"/>
    <x v="24"/>
    <x v="0"/>
  </r>
  <r>
    <x v="429"/>
    <x v="27"/>
    <x v="6"/>
    <x v="13"/>
    <x v="267"/>
    <x v="383"/>
    <x v="1"/>
    <x v="0"/>
    <x v="0"/>
    <x v="0"/>
    <x v="0"/>
    <x v="70"/>
    <x v="2"/>
    <x v="1"/>
    <x v="43"/>
    <x v="449"/>
    <x v="829"/>
    <x v="24"/>
    <x v="196"/>
    <x v="3"/>
    <x v="2"/>
    <x v="23"/>
    <x v="0"/>
  </r>
  <r>
    <x v="428"/>
    <x v="26"/>
    <x v="6"/>
    <x v="13"/>
    <x v="262"/>
    <x v="378"/>
    <x v="1"/>
    <x v="0"/>
    <x v="0"/>
    <x v="0"/>
    <x v="0"/>
    <x v="145"/>
    <x v="2"/>
    <x v="1"/>
    <x v="59"/>
    <x v="449"/>
    <x v="872"/>
    <x v="28"/>
    <x v="136"/>
    <x v="3"/>
    <x v="2"/>
    <x v="22"/>
    <x v="0"/>
  </r>
  <r>
    <x v="427"/>
    <x v="23"/>
    <x v="6"/>
    <x v="63"/>
    <x v="348"/>
    <x v="758"/>
    <x v="1"/>
    <x v="0"/>
    <x v="0"/>
    <x v="0"/>
    <x v="0"/>
    <x v="390"/>
    <x v="1"/>
    <x v="1"/>
    <x v="44"/>
    <x v="449"/>
    <x v="844"/>
    <x v="75"/>
    <x v="83"/>
    <x v="3"/>
    <x v="2"/>
    <x v="19"/>
    <x v="0"/>
  </r>
  <r>
    <x v="426"/>
    <x v="22"/>
    <x v="6"/>
    <x v="15"/>
    <x v="273"/>
    <x v="398"/>
    <x v="1"/>
    <x v="0"/>
    <x v="0"/>
    <x v="0"/>
    <x v="0"/>
    <x v="57"/>
    <x v="0"/>
    <x v="0"/>
    <x v="39"/>
    <x v="449"/>
    <x v="736"/>
    <x v="167"/>
    <x v="72"/>
    <x v="3"/>
    <x v="2"/>
    <x v="18"/>
    <x v="0"/>
  </r>
  <r>
    <x v="425"/>
    <x v="21"/>
    <x v="6"/>
    <x v="54"/>
    <x v="313"/>
    <x v="715"/>
    <x v="1"/>
    <x v="0"/>
    <x v="0"/>
    <x v="0"/>
    <x v="0"/>
    <x v="291"/>
    <x v="1"/>
    <x v="0"/>
    <x v="30"/>
    <x v="449"/>
    <x v="655"/>
    <x v="294"/>
    <x v="508"/>
    <x v="3"/>
    <x v="2"/>
    <x v="17"/>
    <x v="0"/>
  </r>
  <r>
    <x v="424"/>
    <x v="20"/>
    <x v="6"/>
    <x v="63"/>
    <x v="350"/>
    <x v="760"/>
    <x v="1"/>
    <x v="0"/>
    <x v="0"/>
    <x v="0"/>
    <x v="0"/>
    <x v="15"/>
    <x v="0"/>
    <x v="2"/>
    <x v="48"/>
    <x v="449"/>
    <x v="859"/>
    <x v="73"/>
    <x v="70"/>
    <x v="3"/>
    <x v="2"/>
    <x v="16"/>
    <x v="0"/>
  </r>
  <r>
    <x v="423"/>
    <x v="887"/>
    <x v="7"/>
    <x v="52"/>
    <x v="635"/>
    <x v="713"/>
    <x v="0"/>
    <x v="0"/>
    <x v="0"/>
    <x v="1"/>
    <x v="0"/>
    <x v="8"/>
    <x v="0"/>
    <x v="2"/>
    <x v="732"/>
    <x v="445"/>
    <x v="168"/>
    <x v="629"/>
    <x v="764"/>
    <x v="3"/>
    <x v="2"/>
    <x v="287"/>
    <x v="0"/>
  </r>
  <r>
    <x v="422"/>
    <x v="886"/>
    <x v="7"/>
    <x v="11"/>
    <x v="506"/>
    <x v="374"/>
    <x v="0"/>
    <x v="0"/>
    <x v="0"/>
    <x v="1"/>
    <x v="0"/>
    <x v="40"/>
    <x v="0"/>
    <x v="0"/>
    <x v="713"/>
    <x v="447"/>
    <x v="82"/>
    <x v="620"/>
    <x v="761"/>
    <x v="3"/>
    <x v="2"/>
    <x v="287"/>
    <x v="0"/>
  </r>
  <r>
    <x v="421"/>
    <x v="884"/>
    <x v="7"/>
    <x v="14"/>
    <x v="518"/>
    <x v="396"/>
    <x v="0"/>
    <x v="0"/>
    <x v="0"/>
    <x v="1"/>
    <x v="0"/>
    <x v="8"/>
    <x v="2"/>
    <x v="1"/>
    <x v="735"/>
    <x v="443"/>
    <x v="37"/>
    <x v="537"/>
    <x v="525"/>
    <x v="3"/>
    <x v="2"/>
    <x v="286"/>
    <x v="0"/>
  </r>
  <r>
    <x v="420"/>
    <x v="882"/>
    <x v="7"/>
    <x v="42"/>
    <x v="537"/>
    <x v="613"/>
    <x v="1"/>
    <x v="0"/>
    <x v="0"/>
    <x v="1"/>
    <x v="0"/>
    <x v="41"/>
    <x v="0"/>
    <x v="2"/>
    <x v="530"/>
    <x v="437"/>
    <x v="121"/>
    <x v="685"/>
    <x v="839"/>
    <x v="3"/>
    <x v="2"/>
    <x v="285"/>
    <x v="0"/>
  </r>
  <r>
    <x v="419"/>
    <x v="845"/>
    <x v="7"/>
    <x v="11"/>
    <x v="505"/>
    <x v="373"/>
    <x v="0"/>
    <x v="0"/>
    <x v="0"/>
    <x v="1"/>
    <x v="0"/>
    <x v="358"/>
    <x v="0"/>
    <x v="1"/>
    <x v="516"/>
    <x v="383"/>
    <x v="40"/>
    <x v="567"/>
    <x v="717"/>
    <x v="3"/>
    <x v="2"/>
    <x v="273"/>
    <x v="0"/>
  </r>
  <r>
    <x v="418"/>
    <x v="823"/>
    <x v="7"/>
    <x v="52"/>
    <x v="617"/>
    <x v="695"/>
    <x v="1"/>
    <x v="0"/>
    <x v="0"/>
    <x v="1"/>
    <x v="0"/>
    <x v="512"/>
    <x v="0"/>
    <x v="1"/>
    <x v="461"/>
    <x v="387"/>
    <x v="196"/>
    <x v="561"/>
    <x v="685"/>
    <x v="3"/>
    <x v="2"/>
    <x v="271"/>
    <x v="0"/>
  </r>
  <r>
    <x v="417"/>
    <x v="817"/>
    <x v="7"/>
    <x v="49"/>
    <x v="576"/>
    <x v="653"/>
    <x v="1"/>
    <x v="0"/>
    <x v="0"/>
    <x v="1"/>
    <x v="0"/>
    <x v="282"/>
    <x v="2"/>
    <x v="1"/>
    <x v="474"/>
    <x v="381"/>
    <x v="220"/>
    <x v="549"/>
    <x v="622"/>
    <x v="3"/>
    <x v="2"/>
    <x v="270"/>
    <x v="0"/>
  </r>
  <r>
    <x v="416"/>
    <x v="807"/>
    <x v="7"/>
    <x v="11"/>
    <x v="507"/>
    <x v="375"/>
    <x v="1"/>
    <x v="0"/>
    <x v="0"/>
    <x v="1"/>
    <x v="0"/>
    <x v="15"/>
    <x v="0"/>
    <x v="1"/>
    <x v="718"/>
    <x v="379"/>
    <x v="84"/>
    <x v="622"/>
    <x v="769"/>
    <x v="3"/>
    <x v="2"/>
    <x v="268"/>
    <x v="0"/>
  </r>
  <r>
    <x v="415"/>
    <x v="797"/>
    <x v="7"/>
    <x v="52"/>
    <x v="624"/>
    <x v="702"/>
    <x v="1"/>
    <x v="0"/>
    <x v="0"/>
    <x v="1"/>
    <x v="0"/>
    <x v="33"/>
    <x v="0"/>
    <x v="2"/>
    <x v="501"/>
    <x v="369"/>
    <x v="144"/>
    <x v="617"/>
    <x v="757"/>
    <x v="3"/>
    <x v="2"/>
    <x v="266"/>
    <x v="0"/>
  </r>
  <r>
    <x v="414"/>
    <x v="794"/>
    <x v="7"/>
    <x v="52"/>
    <x v="579"/>
    <x v="657"/>
    <x v="1"/>
    <x v="0"/>
    <x v="0"/>
    <x v="1"/>
    <x v="0"/>
    <x v="86"/>
    <x v="1"/>
    <x v="1"/>
    <x v="36"/>
    <x v="15"/>
    <x v="363"/>
    <x v="586"/>
    <x v="723"/>
    <x v="3"/>
    <x v="2"/>
    <x v="265"/>
    <x v="0"/>
  </r>
  <r>
    <x v="413"/>
    <x v="784"/>
    <x v="7"/>
    <x v="42"/>
    <x v="549"/>
    <x v="625"/>
    <x v="1"/>
    <x v="0"/>
    <x v="0"/>
    <x v="1"/>
    <x v="0"/>
    <x v="55"/>
    <x v="0"/>
    <x v="2"/>
    <x v="575"/>
    <x v="362"/>
    <x v="93"/>
    <x v="703"/>
    <x v="852"/>
    <x v="3"/>
    <x v="2"/>
    <x v="263"/>
    <x v="0"/>
  </r>
  <r>
    <x v="412"/>
    <x v="775"/>
    <x v="7"/>
    <x v="11"/>
    <x v="509"/>
    <x v="377"/>
    <x v="0"/>
    <x v="0"/>
    <x v="0"/>
    <x v="1"/>
    <x v="0"/>
    <x v="22"/>
    <x v="0"/>
    <x v="1"/>
    <x v="721"/>
    <x v="448"/>
    <x v="90"/>
    <x v="634"/>
    <x v="778"/>
    <x v="3"/>
    <x v="2"/>
    <x v="259"/>
    <x v="0"/>
  </r>
  <r>
    <x v="411"/>
    <x v="761"/>
    <x v="7"/>
    <x v="42"/>
    <x v="542"/>
    <x v="618"/>
    <x v="1"/>
    <x v="0"/>
    <x v="0"/>
    <x v="1"/>
    <x v="0"/>
    <x v="205"/>
    <x v="2"/>
    <x v="1"/>
    <x v="548"/>
    <x v="350"/>
    <x v="107"/>
    <x v="709"/>
    <x v="860"/>
    <x v="3"/>
    <x v="2"/>
    <x v="258"/>
    <x v="0"/>
  </r>
  <r>
    <x v="410"/>
    <x v="771"/>
    <x v="7"/>
    <x v="42"/>
    <x v="563"/>
    <x v="639"/>
    <x v="0"/>
    <x v="0"/>
    <x v="0"/>
    <x v="1"/>
    <x v="0"/>
    <x v="108"/>
    <x v="2"/>
    <x v="1"/>
    <x v="701"/>
    <x v="350"/>
    <x v="200"/>
    <x v="714"/>
    <x v="861"/>
    <x v="3"/>
    <x v="2"/>
    <x v="258"/>
    <x v="0"/>
  </r>
  <r>
    <x v="409"/>
    <x v="765"/>
    <x v="7"/>
    <x v="42"/>
    <x v="548"/>
    <x v="624"/>
    <x v="1"/>
    <x v="0"/>
    <x v="0"/>
    <x v="1"/>
    <x v="0"/>
    <x v="16"/>
    <x v="2"/>
    <x v="1"/>
    <x v="565"/>
    <x v="350"/>
    <x v="174"/>
    <x v="677"/>
    <x v="825"/>
    <x v="3"/>
    <x v="2"/>
    <x v="258"/>
    <x v="0"/>
  </r>
  <r>
    <x v="408"/>
    <x v="754"/>
    <x v="7"/>
    <x v="42"/>
    <x v="530"/>
    <x v="606"/>
    <x v="1"/>
    <x v="0"/>
    <x v="0"/>
    <x v="1"/>
    <x v="0"/>
    <x v="330"/>
    <x v="2"/>
    <x v="1"/>
    <x v="504"/>
    <x v="350"/>
    <x v="180"/>
    <x v="661"/>
    <x v="811"/>
    <x v="3"/>
    <x v="2"/>
    <x v="258"/>
    <x v="0"/>
  </r>
  <r>
    <x v="407"/>
    <x v="753"/>
    <x v="7"/>
    <x v="42"/>
    <x v="528"/>
    <x v="604"/>
    <x v="1"/>
    <x v="0"/>
    <x v="0"/>
    <x v="1"/>
    <x v="0"/>
    <x v="359"/>
    <x v="2"/>
    <x v="1"/>
    <x v="456"/>
    <x v="350"/>
    <x v="152"/>
    <x v="673"/>
    <x v="824"/>
    <x v="3"/>
    <x v="2"/>
    <x v="258"/>
    <x v="0"/>
  </r>
  <r>
    <x v="406"/>
    <x v="766"/>
    <x v="7"/>
    <x v="42"/>
    <x v="550"/>
    <x v="626"/>
    <x v="1"/>
    <x v="0"/>
    <x v="0"/>
    <x v="1"/>
    <x v="0"/>
    <x v="102"/>
    <x v="2"/>
    <x v="1"/>
    <x v="581"/>
    <x v="350"/>
    <x v="142"/>
    <x v="681"/>
    <x v="835"/>
    <x v="3"/>
    <x v="2"/>
    <x v="258"/>
    <x v="0"/>
  </r>
  <r>
    <x v="405"/>
    <x v="751"/>
    <x v="7"/>
    <x v="14"/>
    <x v="515"/>
    <x v="393"/>
    <x v="1"/>
    <x v="0"/>
    <x v="0"/>
    <x v="1"/>
    <x v="0"/>
    <x v="407"/>
    <x v="2"/>
    <x v="1"/>
    <x v="491"/>
    <x v="353"/>
    <x v="16"/>
    <x v="566"/>
    <x v="720"/>
    <x v="3"/>
    <x v="2"/>
    <x v="258"/>
    <x v="0"/>
  </r>
  <r>
    <x v="404"/>
    <x v="756"/>
    <x v="7"/>
    <x v="42"/>
    <x v="535"/>
    <x v="611"/>
    <x v="1"/>
    <x v="0"/>
    <x v="0"/>
    <x v="1"/>
    <x v="0"/>
    <x v="69"/>
    <x v="2"/>
    <x v="1"/>
    <x v="525"/>
    <x v="352"/>
    <x v="87"/>
    <x v="689"/>
    <x v="841"/>
    <x v="3"/>
    <x v="2"/>
    <x v="258"/>
    <x v="0"/>
  </r>
  <r>
    <x v="403"/>
    <x v="757"/>
    <x v="7"/>
    <x v="42"/>
    <x v="538"/>
    <x v="614"/>
    <x v="1"/>
    <x v="0"/>
    <x v="0"/>
    <x v="1"/>
    <x v="0"/>
    <x v="463"/>
    <x v="2"/>
    <x v="1"/>
    <x v="533"/>
    <x v="350"/>
    <x v="171"/>
    <x v="679"/>
    <x v="828"/>
    <x v="3"/>
    <x v="2"/>
    <x v="258"/>
    <x v="0"/>
  </r>
  <r>
    <x v="402"/>
    <x v="758"/>
    <x v="7"/>
    <x v="42"/>
    <x v="539"/>
    <x v="615"/>
    <x v="1"/>
    <x v="0"/>
    <x v="0"/>
    <x v="1"/>
    <x v="0"/>
    <x v="165"/>
    <x v="2"/>
    <x v="1"/>
    <x v="543"/>
    <x v="350"/>
    <x v="159"/>
    <x v="698"/>
    <x v="843"/>
    <x v="3"/>
    <x v="2"/>
    <x v="258"/>
    <x v="0"/>
  </r>
  <r>
    <x v="401"/>
    <x v="755"/>
    <x v="7"/>
    <x v="42"/>
    <x v="534"/>
    <x v="610"/>
    <x v="1"/>
    <x v="0"/>
    <x v="0"/>
    <x v="1"/>
    <x v="0"/>
    <x v="158"/>
    <x v="2"/>
    <x v="1"/>
    <x v="521"/>
    <x v="350"/>
    <x v="146"/>
    <x v="684"/>
    <x v="837"/>
    <x v="3"/>
    <x v="2"/>
    <x v="258"/>
    <x v="0"/>
  </r>
  <r>
    <x v="400"/>
    <x v="759"/>
    <x v="7"/>
    <x v="42"/>
    <x v="540"/>
    <x v="616"/>
    <x v="1"/>
    <x v="0"/>
    <x v="0"/>
    <x v="1"/>
    <x v="0"/>
    <x v="124"/>
    <x v="2"/>
    <x v="1"/>
    <x v="545"/>
    <x v="350"/>
    <x v="160"/>
    <x v="697"/>
    <x v="842"/>
    <x v="3"/>
    <x v="2"/>
    <x v="258"/>
    <x v="0"/>
  </r>
  <r>
    <x v="399"/>
    <x v="752"/>
    <x v="7"/>
    <x v="42"/>
    <x v="522"/>
    <x v="598"/>
    <x v="1"/>
    <x v="0"/>
    <x v="0"/>
    <x v="1"/>
    <x v="0"/>
    <x v="474"/>
    <x v="1"/>
    <x v="1"/>
    <x v="226"/>
    <x v="281"/>
    <x v="190"/>
    <x v="658"/>
    <x v="809"/>
    <x v="3"/>
    <x v="2"/>
    <x v="258"/>
    <x v="0"/>
  </r>
  <r>
    <x v="398"/>
    <x v="767"/>
    <x v="7"/>
    <x v="42"/>
    <x v="559"/>
    <x v="635"/>
    <x v="0"/>
    <x v="0"/>
    <x v="0"/>
    <x v="1"/>
    <x v="0"/>
    <x v="50"/>
    <x v="2"/>
    <x v="1"/>
    <x v="694"/>
    <x v="350"/>
    <x v="201"/>
    <x v="688"/>
    <x v="836"/>
    <x v="3"/>
    <x v="2"/>
    <x v="258"/>
    <x v="0"/>
  </r>
  <r>
    <x v="397"/>
    <x v="772"/>
    <x v="7"/>
    <x v="56"/>
    <x v="638"/>
    <x v="750"/>
    <x v="0"/>
    <x v="0"/>
    <x v="0"/>
    <x v="1"/>
    <x v="0"/>
    <x v="94"/>
    <x v="0"/>
    <x v="0"/>
    <x v="487"/>
    <x v="346"/>
    <x v="18"/>
    <x v="624"/>
    <x v="781"/>
    <x v="3"/>
    <x v="2"/>
    <x v="258"/>
    <x v="0"/>
  </r>
  <r>
    <x v="396"/>
    <x v="768"/>
    <x v="7"/>
    <x v="42"/>
    <x v="560"/>
    <x v="636"/>
    <x v="0"/>
    <x v="0"/>
    <x v="0"/>
    <x v="1"/>
    <x v="0"/>
    <x v="53"/>
    <x v="2"/>
    <x v="1"/>
    <x v="695"/>
    <x v="350"/>
    <x v="231"/>
    <x v="682"/>
    <x v="826"/>
    <x v="3"/>
    <x v="2"/>
    <x v="258"/>
    <x v="0"/>
  </r>
  <r>
    <x v="395"/>
    <x v="769"/>
    <x v="7"/>
    <x v="42"/>
    <x v="561"/>
    <x v="637"/>
    <x v="0"/>
    <x v="0"/>
    <x v="0"/>
    <x v="1"/>
    <x v="0"/>
    <x v="28"/>
    <x v="2"/>
    <x v="1"/>
    <x v="696"/>
    <x v="350"/>
    <x v="233"/>
    <x v="692"/>
    <x v="834"/>
    <x v="3"/>
    <x v="2"/>
    <x v="258"/>
    <x v="0"/>
  </r>
  <r>
    <x v="394"/>
    <x v="764"/>
    <x v="7"/>
    <x v="42"/>
    <x v="546"/>
    <x v="622"/>
    <x v="1"/>
    <x v="0"/>
    <x v="0"/>
    <x v="1"/>
    <x v="0"/>
    <x v="13"/>
    <x v="2"/>
    <x v="1"/>
    <x v="556"/>
    <x v="350"/>
    <x v="123"/>
    <x v="678"/>
    <x v="833"/>
    <x v="3"/>
    <x v="2"/>
    <x v="258"/>
    <x v="0"/>
  </r>
  <r>
    <x v="393"/>
    <x v="763"/>
    <x v="7"/>
    <x v="42"/>
    <x v="545"/>
    <x v="621"/>
    <x v="1"/>
    <x v="0"/>
    <x v="0"/>
    <x v="1"/>
    <x v="0"/>
    <x v="22"/>
    <x v="2"/>
    <x v="1"/>
    <x v="555"/>
    <x v="350"/>
    <x v="150"/>
    <x v="671"/>
    <x v="822"/>
    <x v="3"/>
    <x v="2"/>
    <x v="258"/>
    <x v="0"/>
  </r>
  <r>
    <x v="392"/>
    <x v="762"/>
    <x v="7"/>
    <x v="42"/>
    <x v="543"/>
    <x v="619"/>
    <x v="1"/>
    <x v="0"/>
    <x v="0"/>
    <x v="1"/>
    <x v="0"/>
    <x v="28"/>
    <x v="2"/>
    <x v="1"/>
    <x v="549"/>
    <x v="350"/>
    <x v="106"/>
    <x v="706"/>
    <x v="858"/>
    <x v="3"/>
    <x v="2"/>
    <x v="258"/>
    <x v="0"/>
  </r>
  <r>
    <x v="391"/>
    <x v="760"/>
    <x v="7"/>
    <x v="42"/>
    <x v="541"/>
    <x v="617"/>
    <x v="1"/>
    <x v="0"/>
    <x v="0"/>
    <x v="1"/>
    <x v="0"/>
    <x v="57"/>
    <x v="2"/>
    <x v="1"/>
    <x v="547"/>
    <x v="350"/>
    <x v="108"/>
    <x v="707"/>
    <x v="857"/>
    <x v="3"/>
    <x v="2"/>
    <x v="258"/>
    <x v="0"/>
  </r>
  <r>
    <x v="390"/>
    <x v="770"/>
    <x v="7"/>
    <x v="42"/>
    <x v="562"/>
    <x v="638"/>
    <x v="0"/>
    <x v="0"/>
    <x v="0"/>
    <x v="1"/>
    <x v="0"/>
    <x v="69"/>
    <x v="2"/>
    <x v="1"/>
    <x v="698"/>
    <x v="350"/>
    <x v="253"/>
    <x v="710"/>
    <x v="854"/>
    <x v="3"/>
    <x v="2"/>
    <x v="258"/>
    <x v="0"/>
  </r>
  <r>
    <x v="389"/>
    <x v="741"/>
    <x v="7"/>
    <x v="14"/>
    <x v="516"/>
    <x v="394"/>
    <x v="0"/>
    <x v="0"/>
    <x v="0"/>
    <x v="1"/>
    <x v="0"/>
    <x v="113"/>
    <x v="0"/>
    <x v="2"/>
    <x v="518"/>
    <x v="351"/>
    <x v="24"/>
    <x v="592"/>
    <x v="738"/>
    <x v="3"/>
    <x v="2"/>
    <x v="257"/>
    <x v="0"/>
  </r>
  <r>
    <x v="388"/>
    <x v="740"/>
    <x v="7"/>
    <x v="11"/>
    <x v="508"/>
    <x v="376"/>
    <x v="1"/>
    <x v="0"/>
    <x v="0"/>
    <x v="1"/>
    <x v="0"/>
    <x v="8"/>
    <x v="0"/>
    <x v="1"/>
    <x v="719"/>
    <x v="348"/>
    <x v="85"/>
    <x v="623"/>
    <x v="768"/>
    <x v="3"/>
    <x v="2"/>
    <x v="257"/>
    <x v="0"/>
  </r>
  <r>
    <x v="387"/>
    <x v="736"/>
    <x v="7"/>
    <x v="14"/>
    <x v="513"/>
    <x v="391"/>
    <x v="1"/>
    <x v="0"/>
    <x v="0"/>
    <x v="1"/>
    <x v="0"/>
    <x v="523"/>
    <x v="0"/>
    <x v="1"/>
    <x v="363"/>
    <x v="346"/>
    <x v="23"/>
    <x v="585"/>
    <x v="735"/>
    <x v="3"/>
    <x v="2"/>
    <x v="256"/>
    <x v="0"/>
  </r>
  <r>
    <x v="386"/>
    <x v="735"/>
    <x v="7"/>
    <x v="14"/>
    <x v="511"/>
    <x v="389"/>
    <x v="1"/>
    <x v="0"/>
    <x v="0"/>
    <x v="1"/>
    <x v="0"/>
    <x v="514"/>
    <x v="1"/>
    <x v="1"/>
    <x v="58"/>
    <x v="347"/>
    <x v="17"/>
    <x v="589"/>
    <x v="739"/>
    <x v="3"/>
    <x v="2"/>
    <x v="256"/>
    <x v="0"/>
  </r>
  <r>
    <x v="385"/>
    <x v="737"/>
    <x v="7"/>
    <x v="56"/>
    <x v="637"/>
    <x v="749"/>
    <x v="0"/>
    <x v="0"/>
    <x v="0"/>
    <x v="1"/>
    <x v="0"/>
    <x v="15"/>
    <x v="2"/>
    <x v="1"/>
    <x v="480"/>
    <x v="345"/>
    <x v="128"/>
    <x v="632"/>
    <x v="774"/>
    <x v="3"/>
    <x v="2"/>
    <x v="256"/>
    <x v="0"/>
  </r>
  <r>
    <x v="384"/>
    <x v="730"/>
    <x v="7"/>
    <x v="44"/>
    <x v="564"/>
    <x v="640"/>
    <x v="1"/>
    <x v="0"/>
    <x v="0"/>
    <x v="1"/>
    <x v="0"/>
    <x v="66"/>
    <x v="0"/>
    <x v="0"/>
    <x v="597"/>
    <x v="343"/>
    <x v="5"/>
    <x v="733"/>
    <x v="544"/>
    <x v="3"/>
    <x v="2"/>
    <x v="255"/>
    <x v="0"/>
  </r>
  <r>
    <x v="383"/>
    <x v="731"/>
    <x v="7"/>
    <x v="52"/>
    <x v="618"/>
    <x v="696"/>
    <x v="1"/>
    <x v="0"/>
    <x v="0"/>
    <x v="1"/>
    <x v="0"/>
    <x v="404"/>
    <x v="1"/>
    <x v="1"/>
    <x v="467"/>
    <x v="342"/>
    <x v="147"/>
    <x v="630"/>
    <x v="765"/>
    <x v="3"/>
    <x v="2"/>
    <x v="255"/>
    <x v="0"/>
  </r>
  <r>
    <x v="382"/>
    <x v="722"/>
    <x v="7"/>
    <x v="65"/>
    <x v="648"/>
    <x v="834"/>
    <x v="1"/>
    <x v="0"/>
    <x v="0"/>
    <x v="1"/>
    <x v="0"/>
    <x v="11"/>
    <x v="1"/>
    <x v="1"/>
    <x v="621"/>
    <x v="340"/>
    <x v="57"/>
    <x v="719"/>
    <x v="865"/>
    <x v="3"/>
    <x v="2"/>
    <x v="254"/>
    <x v="0"/>
  </r>
  <r>
    <x v="381"/>
    <x v="723"/>
    <x v="7"/>
    <x v="65"/>
    <x v="649"/>
    <x v="835"/>
    <x v="1"/>
    <x v="0"/>
    <x v="0"/>
    <x v="1"/>
    <x v="0"/>
    <x v="8"/>
    <x v="1"/>
    <x v="1"/>
    <x v="705"/>
    <x v="339"/>
    <x v="20"/>
    <x v="725"/>
    <x v="877"/>
    <x v="3"/>
    <x v="2"/>
    <x v="254"/>
    <x v="0"/>
  </r>
  <r>
    <x v="380"/>
    <x v="707"/>
    <x v="7"/>
    <x v="52"/>
    <x v="623"/>
    <x v="701"/>
    <x v="1"/>
    <x v="0"/>
    <x v="0"/>
    <x v="1"/>
    <x v="0"/>
    <x v="11"/>
    <x v="2"/>
    <x v="1"/>
    <x v="500"/>
    <x v="227"/>
    <x v="77"/>
    <x v="587"/>
    <x v="731"/>
    <x v="3"/>
    <x v="2"/>
    <x v="252"/>
    <x v="0"/>
  </r>
  <r>
    <x v="379"/>
    <x v="710"/>
    <x v="7"/>
    <x v="52"/>
    <x v="628"/>
    <x v="706"/>
    <x v="1"/>
    <x v="0"/>
    <x v="0"/>
    <x v="1"/>
    <x v="0"/>
    <x v="381"/>
    <x v="2"/>
    <x v="1"/>
    <x v="534"/>
    <x v="300"/>
    <x v="143"/>
    <x v="636"/>
    <x v="782"/>
    <x v="3"/>
    <x v="2"/>
    <x v="252"/>
    <x v="0"/>
  </r>
  <r>
    <x v="378"/>
    <x v="704"/>
    <x v="7"/>
    <x v="11"/>
    <x v="504"/>
    <x v="372"/>
    <x v="0"/>
    <x v="0"/>
    <x v="0"/>
    <x v="1"/>
    <x v="0"/>
    <x v="509"/>
    <x v="0"/>
    <x v="1"/>
    <x v="507"/>
    <x v="332"/>
    <x v="56"/>
    <x v="625"/>
    <x v="773"/>
    <x v="3"/>
    <x v="2"/>
    <x v="252"/>
    <x v="0"/>
  </r>
  <r>
    <x v="377"/>
    <x v="703"/>
    <x v="7"/>
    <x v="11"/>
    <x v="503"/>
    <x v="371"/>
    <x v="0"/>
    <x v="0"/>
    <x v="0"/>
    <x v="1"/>
    <x v="0"/>
    <x v="525"/>
    <x v="0"/>
    <x v="1"/>
    <x v="506"/>
    <x v="332"/>
    <x v="78"/>
    <x v="621"/>
    <x v="766"/>
    <x v="3"/>
    <x v="2"/>
    <x v="252"/>
    <x v="0"/>
  </r>
  <r>
    <x v="376"/>
    <x v="705"/>
    <x v="7"/>
    <x v="52"/>
    <x v="621"/>
    <x v="699"/>
    <x v="1"/>
    <x v="0"/>
    <x v="0"/>
    <x v="1"/>
    <x v="0"/>
    <x v="13"/>
    <x v="0"/>
    <x v="1"/>
    <x v="495"/>
    <x v="217"/>
    <x v="127"/>
    <x v="613"/>
    <x v="754"/>
    <x v="3"/>
    <x v="2"/>
    <x v="252"/>
    <x v="0"/>
  </r>
  <r>
    <x v="375"/>
    <x v="708"/>
    <x v="7"/>
    <x v="52"/>
    <x v="625"/>
    <x v="703"/>
    <x v="1"/>
    <x v="0"/>
    <x v="0"/>
    <x v="1"/>
    <x v="0"/>
    <x v="443"/>
    <x v="0"/>
    <x v="1"/>
    <x v="508"/>
    <x v="309"/>
    <x v="112"/>
    <x v="604"/>
    <x v="750"/>
    <x v="3"/>
    <x v="2"/>
    <x v="252"/>
    <x v="0"/>
  </r>
  <r>
    <x v="374"/>
    <x v="711"/>
    <x v="7"/>
    <x v="52"/>
    <x v="629"/>
    <x v="707"/>
    <x v="1"/>
    <x v="0"/>
    <x v="0"/>
    <x v="1"/>
    <x v="0"/>
    <x v="51"/>
    <x v="0"/>
    <x v="1"/>
    <x v="551"/>
    <x v="234"/>
    <x v="229"/>
    <x v="599"/>
    <x v="733"/>
    <x v="3"/>
    <x v="2"/>
    <x v="252"/>
    <x v="0"/>
  </r>
  <r>
    <x v="373"/>
    <x v="712"/>
    <x v="7"/>
    <x v="52"/>
    <x v="630"/>
    <x v="708"/>
    <x v="1"/>
    <x v="0"/>
    <x v="0"/>
    <x v="1"/>
    <x v="0"/>
    <x v="15"/>
    <x v="0"/>
    <x v="1"/>
    <x v="552"/>
    <x v="235"/>
    <x v="241"/>
    <x v="600"/>
    <x v="736"/>
    <x v="3"/>
    <x v="2"/>
    <x v="252"/>
    <x v="0"/>
  </r>
  <r>
    <x v="372"/>
    <x v="715"/>
    <x v="7"/>
    <x v="52"/>
    <x v="634"/>
    <x v="712"/>
    <x v="1"/>
    <x v="0"/>
    <x v="0"/>
    <x v="1"/>
    <x v="0"/>
    <x v="183"/>
    <x v="2"/>
    <x v="1"/>
    <x v="662"/>
    <x v="288"/>
    <x v="280"/>
    <x v="595"/>
    <x v="727"/>
    <x v="3"/>
    <x v="2"/>
    <x v="252"/>
    <x v="0"/>
  </r>
  <r>
    <x v="371"/>
    <x v="714"/>
    <x v="7"/>
    <x v="52"/>
    <x v="633"/>
    <x v="711"/>
    <x v="1"/>
    <x v="0"/>
    <x v="0"/>
    <x v="1"/>
    <x v="0"/>
    <x v="166"/>
    <x v="2"/>
    <x v="1"/>
    <x v="661"/>
    <x v="287"/>
    <x v="246"/>
    <x v="647"/>
    <x v="787"/>
    <x v="3"/>
    <x v="2"/>
    <x v="252"/>
    <x v="0"/>
  </r>
  <r>
    <x v="370"/>
    <x v="713"/>
    <x v="7"/>
    <x v="52"/>
    <x v="632"/>
    <x v="710"/>
    <x v="1"/>
    <x v="0"/>
    <x v="0"/>
    <x v="1"/>
    <x v="0"/>
    <x v="8"/>
    <x v="0"/>
    <x v="1"/>
    <x v="580"/>
    <x v="245"/>
    <x v="126"/>
    <x v="616"/>
    <x v="756"/>
    <x v="3"/>
    <x v="2"/>
    <x v="252"/>
    <x v="0"/>
  </r>
  <r>
    <x v="369"/>
    <x v="709"/>
    <x v="7"/>
    <x v="52"/>
    <x v="627"/>
    <x v="705"/>
    <x v="1"/>
    <x v="0"/>
    <x v="0"/>
    <x v="1"/>
    <x v="0"/>
    <x v="50"/>
    <x v="2"/>
    <x v="1"/>
    <x v="528"/>
    <x v="225"/>
    <x v="117"/>
    <x v="627"/>
    <x v="767"/>
    <x v="3"/>
    <x v="2"/>
    <x v="252"/>
    <x v="0"/>
  </r>
  <r>
    <x v="368"/>
    <x v="706"/>
    <x v="7"/>
    <x v="52"/>
    <x v="622"/>
    <x v="700"/>
    <x v="1"/>
    <x v="0"/>
    <x v="0"/>
    <x v="1"/>
    <x v="0"/>
    <x v="429"/>
    <x v="0"/>
    <x v="1"/>
    <x v="496"/>
    <x v="241"/>
    <x v="125"/>
    <x v="612"/>
    <x v="753"/>
    <x v="3"/>
    <x v="2"/>
    <x v="252"/>
    <x v="0"/>
  </r>
  <r>
    <x v="367"/>
    <x v="700"/>
    <x v="7"/>
    <x v="8"/>
    <x v="500"/>
    <x v="368"/>
    <x v="1"/>
    <x v="0"/>
    <x v="0"/>
    <x v="1"/>
    <x v="0"/>
    <x v="221"/>
    <x v="2"/>
    <x v="1"/>
    <x v="710"/>
    <x v="327"/>
    <x v="209"/>
    <x v="727"/>
    <x v="875"/>
    <x v="3"/>
    <x v="2"/>
    <x v="250"/>
    <x v="0"/>
  </r>
  <r>
    <x v="366"/>
    <x v="699"/>
    <x v="7"/>
    <x v="56"/>
    <x v="640"/>
    <x v="752"/>
    <x v="1"/>
    <x v="0"/>
    <x v="0"/>
    <x v="1"/>
    <x v="0"/>
    <x v="449"/>
    <x v="0"/>
    <x v="1"/>
    <x v="499"/>
    <x v="325"/>
    <x v="43"/>
    <x v="609"/>
    <x v="759"/>
    <x v="3"/>
    <x v="2"/>
    <x v="249"/>
    <x v="0"/>
  </r>
  <r>
    <x v="365"/>
    <x v="687"/>
    <x v="7"/>
    <x v="56"/>
    <x v="642"/>
    <x v="754"/>
    <x v="0"/>
    <x v="0"/>
    <x v="0"/>
    <x v="1"/>
    <x v="0"/>
    <x v="249"/>
    <x v="0"/>
    <x v="1"/>
    <x v="707"/>
    <x v="317"/>
    <x v="50"/>
    <x v="655"/>
    <x v="814"/>
    <x v="3"/>
    <x v="2"/>
    <x v="242"/>
    <x v="0"/>
  </r>
  <r>
    <x v="364"/>
    <x v="684"/>
    <x v="7"/>
    <x v="14"/>
    <x v="517"/>
    <x v="395"/>
    <x v="1"/>
    <x v="0"/>
    <x v="0"/>
    <x v="1"/>
    <x v="0"/>
    <x v="176"/>
    <x v="0"/>
    <x v="1"/>
    <x v="529"/>
    <x v="316"/>
    <x v="19"/>
    <x v="563"/>
    <x v="705"/>
    <x v="3"/>
    <x v="2"/>
    <x v="241"/>
    <x v="0"/>
  </r>
  <r>
    <x v="363"/>
    <x v="683"/>
    <x v="7"/>
    <x v="65"/>
    <x v="647"/>
    <x v="833"/>
    <x v="0"/>
    <x v="0"/>
    <x v="0"/>
    <x v="1"/>
    <x v="0"/>
    <x v="31"/>
    <x v="0"/>
    <x v="2"/>
    <x v="603"/>
    <x v="314"/>
    <x v="59"/>
    <x v="721"/>
    <x v="866"/>
    <x v="3"/>
    <x v="2"/>
    <x v="240"/>
    <x v="0"/>
  </r>
  <r>
    <x v="362"/>
    <x v="667"/>
    <x v="7"/>
    <x v="14"/>
    <x v="512"/>
    <x v="390"/>
    <x v="1"/>
    <x v="0"/>
    <x v="0"/>
    <x v="1"/>
    <x v="0"/>
    <x v="528"/>
    <x v="0"/>
    <x v="1"/>
    <x v="361"/>
    <x v="312"/>
    <x v="27"/>
    <x v="601"/>
    <x v="743"/>
    <x v="3"/>
    <x v="2"/>
    <x v="239"/>
    <x v="0"/>
  </r>
  <r>
    <x v="361"/>
    <x v="668"/>
    <x v="7"/>
    <x v="14"/>
    <x v="514"/>
    <x v="392"/>
    <x v="1"/>
    <x v="0"/>
    <x v="0"/>
    <x v="1"/>
    <x v="0"/>
    <x v="114"/>
    <x v="0"/>
    <x v="1"/>
    <x v="482"/>
    <x v="313"/>
    <x v="30"/>
    <x v="598"/>
    <x v="741"/>
    <x v="3"/>
    <x v="2"/>
    <x v="239"/>
    <x v="0"/>
  </r>
  <r>
    <x v="360"/>
    <x v="639"/>
    <x v="7"/>
    <x v="56"/>
    <x v="639"/>
    <x v="751"/>
    <x v="1"/>
    <x v="0"/>
    <x v="0"/>
    <x v="1"/>
    <x v="0"/>
    <x v="447"/>
    <x v="0"/>
    <x v="1"/>
    <x v="494"/>
    <x v="307"/>
    <x v="66"/>
    <x v="631"/>
    <x v="777"/>
    <x v="3"/>
    <x v="2"/>
    <x v="237"/>
    <x v="0"/>
  </r>
  <r>
    <x v="359"/>
    <x v="629"/>
    <x v="7"/>
    <x v="42"/>
    <x v="558"/>
    <x v="634"/>
    <x v="1"/>
    <x v="0"/>
    <x v="0"/>
    <x v="1"/>
    <x v="0"/>
    <x v="330"/>
    <x v="0"/>
    <x v="1"/>
    <x v="687"/>
    <x v="305"/>
    <x v="137"/>
    <x v="656"/>
    <x v="810"/>
    <x v="3"/>
    <x v="2"/>
    <x v="236"/>
    <x v="0"/>
  </r>
  <r>
    <x v="358"/>
    <x v="630"/>
    <x v="7"/>
    <x v="52"/>
    <x v="631"/>
    <x v="709"/>
    <x v="1"/>
    <x v="0"/>
    <x v="0"/>
    <x v="1"/>
    <x v="0"/>
    <x v="41"/>
    <x v="0"/>
    <x v="1"/>
    <x v="553"/>
    <x v="236"/>
    <x v="115"/>
    <x v="615"/>
    <x v="755"/>
    <x v="3"/>
    <x v="2"/>
    <x v="236"/>
    <x v="0"/>
  </r>
  <r>
    <x v="357"/>
    <x v="625"/>
    <x v="7"/>
    <x v="42"/>
    <x v="557"/>
    <x v="633"/>
    <x v="1"/>
    <x v="0"/>
    <x v="0"/>
    <x v="1"/>
    <x v="0"/>
    <x v="370"/>
    <x v="0"/>
    <x v="1"/>
    <x v="682"/>
    <x v="302"/>
    <x v="161"/>
    <x v="664"/>
    <x v="815"/>
    <x v="3"/>
    <x v="2"/>
    <x v="235"/>
    <x v="0"/>
  </r>
  <r>
    <x v="356"/>
    <x v="624"/>
    <x v="7"/>
    <x v="42"/>
    <x v="536"/>
    <x v="612"/>
    <x v="1"/>
    <x v="0"/>
    <x v="0"/>
    <x v="1"/>
    <x v="0"/>
    <x v="101"/>
    <x v="0"/>
    <x v="1"/>
    <x v="527"/>
    <x v="301"/>
    <x v="88"/>
    <x v="676"/>
    <x v="830"/>
    <x v="3"/>
    <x v="2"/>
    <x v="234"/>
    <x v="0"/>
  </r>
  <r>
    <x v="355"/>
    <x v="622"/>
    <x v="7"/>
    <x v="44"/>
    <x v="565"/>
    <x v="641"/>
    <x v="1"/>
    <x v="0"/>
    <x v="0"/>
    <x v="1"/>
    <x v="0"/>
    <x v="38"/>
    <x v="2"/>
    <x v="1"/>
    <x v="616"/>
    <x v="295"/>
    <x v="13"/>
    <x v="732"/>
    <x v="524"/>
    <x v="3"/>
    <x v="2"/>
    <x v="233"/>
    <x v="0"/>
  </r>
  <r>
    <x v="354"/>
    <x v="621"/>
    <x v="7"/>
    <x v="52"/>
    <x v="580"/>
    <x v="658"/>
    <x v="1"/>
    <x v="0"/>
    <x v="0"/>
    <x v="1"/>
    <x v="0"/>
    <x v="521"/>
    <x v="2"/>
    <x v="1"/>
    <x v="160"/>
    <x v="299"/>
    <x v="164"/>
    <x v="637"/>
    <x v="779"/>
    <x v="3"/>
    <x v="2"/>
    <x v="232"/>
    <x v="0"/>
  </r>
  <r>
    <x v="353"/>
    <x v="618"/>
    <x v="7"/>
    <x v="44"/>
    <x v="566"/>
    <x v="642"/>
    <x v="1"/>
    <x v="0"/>
    <x v="0"/>
    <x v="1"/>
    <x v="0"/>
    <x v="8"/>
    <x v="2"/>
    <x v="1"/>
    <x v="647"/>
    <x v="278"/>
    <x v="4"/>
    <x v="734"/>
    <x v="556"/>
    <x v="3"/>
    <x v="2"/>
    <x v="231"/>
    <x v="0"/>
  </r>
  <r>
    <x v="352"/>
    <x v="619"/>
    <x v="7"/>
    <x v="52"/>
    <x v="616"/>
    <x v="694"/>
    <x v="1"/>
    <x v="0"/>
    <x v="0"/>
    <x v="1"/>
    <x v="0"/>
    <x v="487"/>
    <x v="0"/>
    <x v="1"/>
    <x v="460"/>
    <x v="296"/>
    <x v="183"/>
    <x v="560"/>
    <x v="686"/>
    <x v="3"/>
    <x v="2"/>
    <x v="231"/>
    <x v="0"/>
  </r>
  <r>
    <x v="351"/>
    <x v="587"/>
    <x v="7"/>
    <x v="65"/>
    <x v="646"/>
    <x v="832"/>
    <x v="1"/>
    <x v="0"/>
    <x v="0"/>
    <x v="1"/>
    <x v="0"/>
    <x v="104"/>
    <x v="0"/>
    <x v="1"/>
    <x v="573"/>
    <x v="315"/>
    <x v="25"/>
    <x v="720"/>
    <x v="867"/>
    <x v="3"/>
    <x v="2"/>
    <x v="222"/>
    <x v="0"/>
  </r>
  <r>
    <x v="350"/>
    <x v="579"/>
    <x v="7"/>
    <x v="42"/>
    <x v="533"/>
    <x v="609"/>
    <x v="1"/>
    <x v="0"/>
    <x v="0"/>
    <x v="1"/>
    <x v="0"/>
    <x v="85"/>
    <x v="0"/>
    <x v="1"/>
    <x v="520"/>
    <x v="277"/>
    <x v="104"/>
    <x v="695"/>
    <x v="844"/>
    <x v="3"/>
    <x v="2"/>
    <x v="218"/>
    <x v="0"/>
  </r>
  <r>
    <x v="349"/>
    <x v="578"/>
    <x v="7"/>
    <x v="42"/>
    <x v="532"/>
    <x v="608"/>
    <x v="1"/>
    <x v="0"/>
    <x v="0"/>
    <x v="1"/>
    <x v="0"/>
    <x v="265"/>
    <x v="0"/>
    <x v="1"/>
    <x v="519"/>
    <x v="277"/>
    <x v="105"/>
    <x v="696"/>
    <x v="846"/>
    <x v="3"/>
    <x v="2"/>
    <x v="218"/>
    <x v="0"/>
  </r>
  <r>
    <x v="348"/>
    <x v="574"/>
    <x v="7"/>
    <x v="42"/>
    <x v="531"/>
    <x v="607"/>
    <x v="1"/>
    <x v="0"/>
    <x v="0"/>
    <x v="1"/>
    <x v="0"/>
    <x v="310"/>
    <x v="0"/>
    <x v="1"/>
    <x v="508"/>
    <x v="277"/>
    <x v="102"/>
    <x v="683"/>
    <x v="840"/>
    <x v="3"/>
    <x v="2"/>
    <x v="217"/>
    <x v="0"/>
  </r>
  <r>
    <x v="347"/>
    <x v="570"/>
    <x v="7"/>
    <x v="42"/>
    <x v="556"/>
    <x v="632"/>
    <x v="1"/>
    <x v="0"/>
    <x v="0"/>
    <x v="1"/>
    <x v="0"/>
    <x v="19"/>
    <x v="0"/>
    <x v="1"/>
    <x v="622"/>
    <x v="270"/>
    <x v="114"/>
    <x v="704"/>
    <x v="856"/>
    <x v="3"/>
    <x v="2"/>
    <x v="214"/>
    <x v="0"/>
  </r>
  <r>
    <x v="346"/>
    <x v="561"/>
    <x v="7"/>
    <x v="11"/>
    <x v="502"/>
    <x v="370"/>
    <x v="1"/>
    <x v="0"/>
    <x v="0"/>
    <x v="1"/>
    <x v="0"/>
    <x v="36"/>
    <x v="0"/>
    <x v="2"/>
    <x v="503"/>
    <x v="269"/>
    <x v="62"/>
    <x v="541"/>
    <x v="588"/>
    <x v="3"/>
    <x v="2"/>
    <x v="211"/>
    <x v="0"/>
  </r>
  <r>
    <x v="345"/>
    <x v="550"/>
    <x v="7"/>
    <x v="56"/>
    <x v="636"/>
    <x v="748"/>
    <x v="1"/>
    <x v="0"/>
    <x v="0"/>
    <x v="1"/>
    <x v="0"/>
    <x v="534"/>
    <x v="0"/>
    <x v="1"/>
    <x v="468"/>
    <x v="297"/>
    <x v="116"/>
    <x v="643"/>
    <x v="792"/>
    <x v="3"/>
    <x v="2"/>
    <x v="206"/>
    <x v="0"/>
  </r>
  <r>
    <x v="344"/>
    <x v="549"/>
    <x v="7"/>
    <x v="42"/>
    <x v="555"/>
    <x v="631"/>
    <x v="0"/>
    <x v="0"/>
    <x v="0"/>
    <x v="1"/>
    <x v="0"/>
    <x v="8"/>
    <x v="0"/>
    <x v="1"/>
    <x v="617"/>
    <x v="263"/>
    <x v="65"/>
    <x v="718"/>
    <x v="864"/>
    <x v="3"/>
    <x v="2"/>
    <x v="206"/>
    <x v="0"/>
  </r>
  <r>
    <x v="343"/>
    <x v="546"/>
    <x v="7"/>
    <x v="42"/>
    <x v="554"/>
    <x v="630"/>
    <x v="0"/>
    <x v="0"/>
    <x v="0"/>
    <x v="1"/>
    <x v="0"/>
    <x v="41"/>
    <x v="0"/>
    <x v="1"/>
    <x v="615"/>
    <x v="262"/>
    <x v="133"/>
    <x v="687"/>
    <x v="838"/>
    <x v="3"/>
    <x v="2"/>
    <x v="205"/>
    <x v="0"/>
  </r>
  <r>
    <x v="342"/>
    <x v="545"/>
    <x v="7"/>
    <x v="42"/>
    <x v="553"/>
    <x v="629"/>
    <x v="0"/>
    <x v="0"/>
    <x v="0"/>
    <x v="1"/>
    <x v="0"/>
    <x v="41"/>
    <x v="0"/>
    <x v="1"/>
    <x v="613"/>
    <x v="261"/>
    <x v="86"/>
    <x v="713"/>
    <x v="863"/>
    <x v="3"/>
    <x v="2"/>
    <x v="204"/>
    <x v="0"/>
  </r>
  <r>
    <x v="341"/>
    <x v="544"/>
    <x v="7"/>
    <x v="42"/>
    <x v="552"/>
    <x v="628"/>
    <x v="0"/>
    <x v="0"/>
    <x v="0"/>
    <x v="1"/>
    <x v="0"/>
    <x v="8"/>
    <x v="0"/>
    <x v="1"/>
    <x v="612"/>
    <x v="260"/>
    <x v="79"/>
    <x v="694"/>
    <x v="845"/>
    <x v="3"/>
    <x v="2"/>
    <x v="204"/>
    <x v="0"/>
  </r>
  <r>
    <x v="340"/>
    <x v="526"/>
    <x v="7"/>
    <x v="49"/>
    <x v="573"/>
    <x v="650"/>
    <x v="1"/>
    <x v="0"/>
    <x v="0"/>
    <x v="1"/>
    <x v="0"/>
    <x v="454"/>
    <x v="2"/>
    <x v="1"/>
    <x v="195"/>
    <x v="259"/>
    <x v="185"/>
    <x v="555"/>
    <x v="667"/>
    <x v="3"/>
    <x v="2"/>
    <x v="202"/>
    <x v="0"/>
  </r>
  <r>
    <x v="339"/>
    <x v="527"/>
    <x v="7"/>
    <x v="49"/>
    <x v="575"/>
    <x v="652"/>
    <x v="1"/>
    <x v="0"/>
    <x v="0"/>
    <x v="1"/>
    <x v="0"/>
    <x v="437"/>
    <x v="2"/>
    <x v="1"/>
    <x v="451"/>
    <x v="259"/>
    <x v="197"/>
    <x v="554"/>
    <x v="652"/>
    <x v="3"/>
    <x v="2"/>
    <x v="202"/>
    <x v="0"/>
  </r>
  <r>
    <x v="338"/>
    <x v="528"/>
    <x v="7"/>
    <x v="49"/>
    <x v="577"/>
    <x v="654"/>
    <x v="1"/>
    <x v="0"/>
    <x v="0"/>
    <x v="1"/>
    <x v="0"/>
    <x v="431"/>
    <x v="2"/>
    <x v="1"/>
    <x v="535"/>
    <x v="258"/>
    <x v="226"/>
    <x v="545"/>
    <x v="593"/>
    <x v="3"/>
    <x v="2"/>
    <x v="202"/>
    <x v="0"/>
  </r>
  <r>
    <x v="337"/>
    <x v="525"/>
    <x v="7"/>
    <x v="8"/>
    <x v="499"/>
    <x v="367"/>
    <x v="1"/>
    <x v="0"/>
    <x v="0"/>
    <x v="1"/>
    <x v="0"/>
    <x v="171"/>
    <x v="2"/>
    <x v="1"/>
    <x v="604"/>
    <x v="257"/>
    <x v="135"/>
    <x v="724"/>
    <x v="870"/>
    <x v="3"/>
    <x v="2"/>
    <x v="202"/>
    <x v="0"/>
  </r>
  <r>
    <x v="336"/>
    <x v="516"/>
    <x v="7"/>
    <x v="8"/>
    <x v="498"/>
    <x v="366"/>
    <x v="1"/>
    <x v="0"/>
    <x v="0"/>
    <x v="1"/>
    <x v="0"/>
    <x v="78"/>
    <x v="2"/>
    <x v="1"/>
    <x v="602"/>
    <x v="256"/>
    <x v="227"/>
    <x v="728"/>
    <x v="880"/>
    <x v="3"/>
    <x v="2"/>
    <x v="201"/>
    <x v="0"/>
  </r>
  <r>
    <x v="335"/>
    <x v="512"/>
    <x v="7"/>
    <x v="65"/>
    <x v="645"/>
    <x v="831"/>
    <x v="1"/>
    <x v="0"/>
    <x v="0"/>
    <x v="1"/>
    <x v="0"/>
    <x v="22"/>
    <x v="1"/>
    <x v="1"/>
    <x v="478"/>
    <x v="253"/>
    <x v="12"/>
    <x v="723"/>
    <x v="876"/>
    <x v="3"/>
    <x v="2"/>
    <x v="199"/>
    <x v="0"/>
  </r>
  <r>
    <x v="334"/>
    <x v="509"/>
    <x v="7"/>
    <x v="52"/>
    <x v="615"/>
    <x v="693"/>
    <x v="1"/>
    <x v="0"/>
    <x v="0"/>
    <x v="1"/>
    <x v="0"/>
    <x v="379"/>
    <x v="0"/>
    <x v="1"/>
    <x v="458"/>
    <x v="250"/>
    <x v="194"/>
    <x v="597"/>
    <x v="732"/>
    <x v="3"/>
    <x v="2"/>
    <x v="196"/>
    <x v="0"/>
  </r>
  <r>
    <x v="333"/>
    <x v="508"/>
    <x v="7"/>
    <x v="52"/>
    <x v="614"/>
    <x v="692"/>
    <x v="1"/>
    <x v="0"/>
    <x v="0"/>
    <x v="1"/>
    <x v="0"/>
    <x v="301"/>
    <x v="0"/>
    <x v="1"/>
    <x v="446"/>
    <x v="249"/>
    <x v="154"/>
    <x v="591"/>
    <x v="730"/>
    <x v="3"/>
    <x v="2"/>
    <x v="196"/>
    <x v="0"/>
  </r>
  <r>
    <x v="332"/>
    <x v="507"/>
    <x v="7"/>
    <x v="52"/>
    <x v="613"/>
    <x v="691"/>
    <x v="1"/>
    <x v="0"/>
    <x v="0"/>
    <x v="1"/>
    <x v="0"/>
    <x v="395"/>
    <x v="0"/>
    <x v="1"/>
    <x v="445"/>
    <x v="248"/>
    <x v="167"/>
    <x v="582"/>
    <x v="725"/>
    <x v="3"/>
    <x v="2"/>
    <x v="196"/>
    <x v="0"/>
  </r>
  <r>
    <x v="331"/>
    <x v="504"/>
    <x v="7"/>
    <x v="42"/>
    <x v="551"/>
    <x v="627"/>
    <x v="1"/>
    <x v="0"/>
    <x v="0"/>
    <x v="1"/>
    <x v="0"/>
    <x v="8"/>
    <x v="0"/>
    <x v="1"/>
    <x v="583"/>
    <x v="246"/>
    <x v="92"/>
    <x v="699"/>
    <x v="847"/>
    <x v="3"/>
    <x v="2"/>
    <x v="195"/>
    <x v="0"/>
  </r>
  <r>
    <x v="330"/>
    <x v="505"/>
    <x v="7"/>
    <x v="65"/>
    <x v="644"/>
    <x v="830"/>
    <x v="0"/>
    <x v="0"/>
    <x v="0"/>
    <x v="1"/>
    <x v="0"/>
    <x v="63"/>
    <x v="0"/>
    <x v="2"/>
    <x v="476"/>
    <x v="247"/>
    <x v="22"/>
    <x v="722"/>
    <x v="869"/>
    <x v="3"/>
    <x v="2"/>
    <x v="195"/>
    <x v="0"/>
  </r>
  <r>
    <x v="329"/>
    <x v="489"/>
    <x v="7"/>
    <x v="8"/>
    <x v="495"/>
    <x v="363"/>
    <x v="1"/>
    <x v="0"/>
    <x v="0"/>
    <x v="1"/>
    <x v="0"/>
    <x v="156"/>
    <x v="2"/>
    <x v="1"/>
    <x v="538"/>
    <x v="230"/>
    <x v="247"/>
    <x v="729"/>
    <x v="879"/>
    <x v="3"/>
    <x v="2"/>
    <x v="192"/>
    <x v="0"/>
  </r>
  <r>
    <x v="328"/>
    <x v="476"/>
    <x v="7"/>
    <x v="52"/>
    <x v="620"/>
    <x v="698"/>
    <x v="1"/>
    <x v="0"/>
    <x v="0"/>
    <x v="1"/>
    <x v="0"/>
    <x v="424"/>
    <x v="0"/>
    <x v="1"/>
    <x v="490"/>
    <x v="242"/>
    <x v="118"/>
    <x v="602"/>
    <x v="744"/>
    <x v="3"/>
    <x v="2"/>
    <x v="189"/>
    <x v="0"/>
  </r>
  <r>
    <x v="327"/>
    <x v="471"/>
    <x v="7"/>
    <x v="42"/>
    <x v="547"/>
    <x v="623"/>
    <x v="1"/>
    <x v="0"/>
    <x v="0"/>
    <x v="1"/>
    <x v="0"/>
    <x v="22"/>
    <x v="0"/>
    <x v="1"/>
    <x v="564"/>
    <x v="240"/>
    <x v="89"/>
    <x v="708"/>
    <x v="859"/>
    <x v="3"/>
    <x v="2"/>
    <x v="188"/>
    <x v="0"/>
  </r>
  <r>
    <x v="326"/>
    <x v="463"/>
    <x v="7"/>
    <x v="42"/>
    <x v="544"/>
    <x v="620"/>
    <x v="1"/>
    <x v="0"/>
    <x v="0"/>
    <x v="1"/>
    <x v="0"/>
    <x v="37"/>
    <x v="0"/>
    <x v="1"/>
    <x v="550"/>
    <x v="233"/>
    <x v="80"/>
    <x v="712"/>
    <x v="862"/>
    <x v="3"/>
    <x v="2"/>
    <x v="184"/>
    <x v="0"/>
  </r>
  <r>
    <x v="325"/>
    <x v="455"/>
    <x v="7"/>
    <x v="8"/>
    <x v="497"/>
    <x v="365"/>
    <x v="1"/>
    <x v="0"/>
    <x v="0"/>
    <x v="1"/>
    <x v="0"/>
    <x v="250"/>
    <x v="2"/>
    <x v="1"/>
    <x v="546"/>
    <x v="232"/>
    <x v="198"/>
    <x v="731"/>
    <x v="883"/>
    <x v="3"/>
    <x v="2"/>
    <x v="181"/>
    <x v="0"/>
  </r>
  <r>
    <x v="324"/>
    <x v="454"/>
    <x v="7"/>
    <x v="8"/>
    <x v="496"/>
    <x v="364"/>
    <x v="1"/>
    <x v="0"/>
    <x v="0"/>
    <x v="1"/>
    <x v="0"/>
    <x v="226"/>
    <x v="2"/>
    <x v="1"/>
    <x v="541"/>
    <x v="231"/>
    <x v="250"/>
    <x v="726"/>
    <x v="874"/>
    <x v="3"/>
    <x v="2"/>
    <x v="181"/>
    <x v="0"/>
  </r>
  <r>
    <x v="323"/>
    <x v="442"/>
    <x v="7"/>
    <x v="52"/>
    <x v="626"/>
    <x v="704"/>
    <x v="0"/>
    <x v="0"/>
    <x v="0"/>
    <x v="1"/>
    <x v="0"/>
    <x v="11"/>
    <x v="0"/>
    <x v="1"/>
    <x v="524"/>
    <x v="224"/>
    <x v="139"/>
    <x v="626"/>
    <x v="762"/>
    <x v="3"/>
    <x v="2"/>
    <x v="177"/>
    <x v="0"/>
  </r>
  <r>
    <x v="322"/>
    <x v="440"/>
    <x v="7"/>
    <x v="42"/>
    <x v="529"/>
    <x v="605"/>
    <x v="1"/>
    <x v="0"/>
    <x v="0"/>
    <x v="1"/>
    <x v="0"/>
    <x v="188"/>
    <x v="2"/>
    <x v="1"/>
    <x v="493"/>
    <x v="221"/>
    <x v="140"/>
    <x v="662"/>
    <x v="812"/>
    <x v="3"/>
    <x v="2"/>
    <x v="175"/>
    <x v="0"/>
  </r>
  <r>
    <x v="321"/>
    <x v="432"/>
    <x v="7"/>
    <x v="56"/>
    <x v="641"/>
    <x v="753"/>
    <x v="0"/>
    <x v="0"/>
    <x v="0"/>
    <x v="1"/>
    <x v="0"/>
    <x v="11"/>
    <x v="0"/>
    <x v="1"/>
    <x v="510"/>
    <x v="220"/>
    <x v="96"/>
    <x v="666"/>
    <x v="819"/>
    <x v="3"/>
    <x v="2"/>
    <x v="174"/>
    <x v="0"/>
  </r>
  <r>
    <x v="320"/>
    <x v="426"/>
    <x v="7"/>
    <x v="11"/>
    <x v="501"/>
    <x v="369"/>
    <x v="1"/>
    <x v="0"/>
    <x v="0"/>
    <x v="1"/>
    <x v="0"/>
    <x v="40"/>
    <x v="0"/>
    <x v="2"/>
    <x v="440"/>
    <x v="219"/>
    <x v="94"/>
    <x v="553"/>
    <x v="670"/>
    <x v="3"/>
    <x v="2"/>
    <x v="172"/>
    <x v="0"/>
  </r>
  <r>
    <x v="319"/>
    <x v="423"/>
    <x v="7"/>
    <x v="52"/>
    <x v="611"/>
    <x v="689"/>
    <x v="1"/>
    <x v="0"/>
    <x v="0"/>
    <x v="1"/>
    <x v="0"/>
    <x v="147"/>
    <x v="0"/>
    <x v="2"/>
    <x v="386"/>
    <x v="213"/>
    <x v="176"/>
    <x v="640"/>
    <x v="784"/>
    <x v="3"/>
    <x v="2"/>
    <x v="170"/>
    <x v="0"/>
  </r>
  <r>
    <x v="318"/>
    <x v="412"/>
    <x v="7"/>
    <x v="52"/>
    <x v="619"/>
    <x v="697"/>
    <x v="1"/>
    <x v="0"/>
    <x v="0"/>
    <x v="1"/>
    <x v="0"/>
    <x v="69"/>
    <x v="2"/>
    <x v="1"/>
    <x v="479"/>
    <x v="212"/>
    <x v="173"/>
    <x v="645"/>
    <x v="791"/>
    <x v="3"/>
    <x v="2"/>
    <x v="167"/>
    <x v="0"/>
  </r>
  <r>
    <x v="317"/>
    <x v="388"/>
    <x v="7"/>
    <x v="42"/>
    <x v="526"/>
    <x v="602"/>
    <x v="1"/>
    <x v="0"/>
    <x v="0"/>
    <x v="1"/>
    <x v="0"/>
    <x v="37"/>
    <x v="2"/>
    <x v="1"/>
    <x v="450"/>
    <x v="201"/>
    <x v="203"/>
    <x v="659"/>
    <x v="808"/>
    <x v="3"/>
    <x v="2"/>
    <x v="160"/>
    <x v="0"/>
  </r>
  <r>
    <x v="316"/>
    <x v="387"/>
    <x v="7"/>
    <x v="42"/>
    <x v="525"/>
    <x v="601"/>
    <x v="1"/>
    <x v="0"/>
    <x v="0"/>
    <x v="1"/>
    <x v="0"/>
    <x v="306"/>
    <x v="2"/>
    <x v="1"/>
    <x v="415"/>
    <x v="201"/>
    <x v="222"/>
    <x v="652"/>
    <x v="798"/>
    <x v="3"/>
    <x v="2"/>
    <x v="160"/>
    <x v="0"/>
  </r>
  <r>
    <x v="315"/>
    <x v="374"/>
    <x v="7"/>
    <x v="42"/>
    <x v="527"/>
    <x v="603"/>
    <x v="1"/>
    <x v="0"/>
    <x v="0"/>
    <x v="1"/>
    <x v="0"/>
    <x v="28"/>
    <x v="2"/>
    <x v="1"/>
    <x v="453"/>
    <x v="200"/>
    <x v="248"/>
    <x v="711"/>
    <x v="855"/>
    <x v="3"/>
    <x v="2"/>
    <x v="157"/>
    <x v="0"/>
  </r>
  <r>
    <x v="314"/>
    <x v="373"/>
    <x v="7"/>
    <x v="42"/>
    <x v="524"/>
    <x v="600"/>
    <x v="0"/>
    <x v="0"/>
    <x v="0"/>
    <x v="1"/>
    <x v="0"/>
    <x v="136"/>
    <x v="2"/>
    <x v="1"/>
    <x v="408"/>
    <x v="199"/>
    <x v="51"/>
    <x v="660"/>
    <x v="816"/>
    <x v="3"/>
    <x v="2"/>
    <x v="156"/>
    <x v="0"/>
  </r>
  <r>
    <x v="313"/>
    <x v="369"/>
    <x v="7"/>
    <x v="42"/>
    <x v="520"/>
    <x v="596"/>
    <x v="1"/>
    <x v="0"/>
    <x v="0"/>
    <x v="1"/>
    <x v="0"/>
    <x v="268"/>
    <x v="0"/>
    <x v="0"/>
    <x v="204"/>
    <x v="197"/>
    <x v="322"/>
    <x v="663"/>
    <x v="802"/>
    <x v="3"/>
    <x v="2"/>
    <x v="154"/>
    <x v="0"/>
  </r>
  <r>
    <x v="312"/>
    <x v="362"/>
    <x v="7"/>
    <x v="52"/>
    <x v="583"/>
    <x v="661"/>
    <x v="1"/>
    <x v="0"/>
    <x v="0"/>
    <x v="1"/>
    <x v="0"/>
    <x v="269"/>
    <x v="1"/>
    <x v="1"/>
    <x v="214"/>
    <x v="193"/>
    <x v="179"/>
    <x v="607"/>
    <x v="749"/>
    <x v="3"/>
    <x v="2"/>
    <x v="150"/>
    <x v="0"/>
  </r>
  <r>
    <x v="311"/>
    <x v="360"/>
    <x v="7"/>
    <x v="8"/>
    <x v="493"/>
    <x v="361"/>
    <x v="1"/>
    <x v="0"/>
    <x v="0"/>
    <x v="1"/>
    <x v="0"/>
    <x v="178"/>
    <x v="2"/>
    <x v="1"/>
    <x v="436"/>
    <x v="179"/>
    <x v="357"/>
    <x v="651"/>
    <x v="790"/>
    <x v="3"/>
    <x v="2"/>
    <x v="149"/>
    <x v="0"/>
  </r>
  <r>
    <x v="310"/>
    <x v="361"/>
    <x v="7"/>
    <x v="8"/>
    <x v="494"/>
    <x v="362"/>
    <x v="1"/>
    <x v="0"/>
    <x v="0"/>
    <x v="1"/>
    <x v="0"/>
    <x v="339"/>
    <x v="2"/>
    <x v="1"/>
    <x v="437"/>
    <x v="180"/>
    <x v="374"/>
    <x v="700"/>
    <x v="832"/>
    <x v="3"/>
    <x v="2"/>
    <x v="149"/>
    <x v="0"/>
  </r>
  <r>
    <x v="309"/>
    <x v="355"/>
    <x v="7"/>
    <x v="42"/>
    <x v="519"/>
    <x v="595"/>
    <x v="1"/>
    <x v="0"/>
    <x v="0"/>
    <x v="1"/>
    <x v="0"/>
    <x v="369"/>
    <x v="0"/>
    <x v="0"/>
    <x v="128"/>
    <x v="189"/>
    <x v="316"/>
    <x v="653"/>
    <x v="794"/>
    <x v="3"/>
    <x v="2"/>
    <x v="145"/>
    <x v="0"/>
  </r>
  <r>
    <x v="308"/>
    <x v="315"/>
    <x v="7"/>
    <x v="14"/>
    <x v="510"/>
    <x v="388"/>
    <x v="1"/>
    <x v="0"/>
    <x v="0"/>
    <x v="1"/>
    <x v="0"/>
    <x v="41"/>
    <x v="2"/>
    <x v="1"/>
    <x v="33"/>
    <x v="18"/>
    <x v="21"/>
    <x v="573"/>
    <x v="728"/>
    <x v="3"/>
    <x v="2"/>
    <x v="138"/>
    <x v="0"/>
  </r>
  <r>
    <x v="307"/>
    <x v="301"/>
    <x v="7"/>
    <x v="52"/>
    <x v="612"/>
    <x v="690"/>
    <x v="1"/>
    <x v="0"/>
    <x v="0"/>
    <x v="1"/>
    <x v="0"/>
    <x v="45"/>
    <x v="2"/>
    <x v="1"/>
    <x v="443"/>
    <x v="186"/>
    <x v="225"/>
    <x v="642"/>
    <x v="785"/>
    <x v="3"/>
    <x v="2"/>
    <x v="134"/>
    <x v="0"/>
  </r>
  <r>
    <x v="306"/>
    <x v="299"/>
    <x v="7"/>
    <x v="42"/>
    <x v="521"/>
    <x v="597"/>
    <x v="1"/>
    <x v="0"/>
    <x v="0"/>
    <x v="1"/>
    <x v="0"/>
    <x v="349"/>
    <x v="0"/>
    <x v="0"/>
    <x v="215"/>
    <x v="185"/>
    <x v="303"/>
    <x v="665"/>
    <x v="806"/>
    <x v="3"/>
    <x v="2"/>
    <x v="133"/>
    <x v="0"/>
  </r>
  <r>
    <x v="305"/>
    <x v="278"/>
    <x v="7"/>
    <x v="52"/>
    <x v="581"/>
    <x v="659"/>
    <x v="1"/>
    <x v="0"/>
    <x v="0"/>
    <x v="1"/>
    <x v="0"/>
    <x v="259"/>
    <x v="1"/>
    <x v="1"/>
    <x v="169"/>
    <x v="194"/>
    <x v="261"/>
    <x v="649"/>
    <x v="789"/>
    <x v="3"/>
    <x v="2"/>
    <x v="120"/>
    <x v="0"/>
  </r>
  <r>
    <x v="304"/>
    <x v="270"/>
    <x v="7"/>
    <x v="8"/>
    <x v="487"/>
    <x v="355"/>
    <x v="1"/>
    <x v="0"/>
    <x v="0"/>
    <x v="1"/>
    <x v="0"/>
    <x v="107"/>
    <x v="1"/>
    <x v="1"/>
    <x v="319"/>
    <x v="165"/>
    <x v="438"/>
    <x v="674"/>
    <x v="805"/>
    <x v="3"/>
    <x v="2"/>
    <x v="115"/>
    <x v="0"/>
  </r>
  <r>
    <x v="303"/>
    <x v="258"/>
    <x v="7"/>
    <x v="52"/>
    <x v="588"/>
    <x v="666"/>
    <x v="1"/>
    <x v="0"/>
    <x v="0"/>
    <x v="1"/>
    <x v="0"/>
    <x v="189"/>
    <x v="2"/>
    <x v="1"/>
    <x v="225"/>
    <x v="172"/>
    <x v="262"/>
    <x v="635"/>
    <x v="763"/>
    <x v="3"/>
    <x v="2"/>
    <x v="108"/>
    <x v="0"/>
  </r>
  <r>
    <x v="302"/>
    <x v="259"/>
    <x v="7"/>
    <x v="52"/>
    <x v="592"/>
    <x v="670"/>
    <x v="1"/>
    <x v="0"/>
    <x v="0"/>
    <x v="1"/>
    <x v="0"/>
    <x v="74"/>
    <x v="1"/>
    <x v="1"/>
    <x v="232"/>
    <x v="141"/>
    <x v="300"/>
    <x v="581"/>
    <x v="715"/>
    <x v="3"/>
    <x v="2"/>
    <x v="108"/>
    <x v="0"/>
  </r>
  <r>
    <x v="301"/>
    <x v="257"/>
    <x v="7"/>
    <x v="52"/>
    <x v="587"/>
    <x v="665"/>
    <x v="1"/>
    <x v="0"/>
    <x v="0"/>
    <x v="1"/>
    <x v="0"/>
    <x v="147"/>
    <x v="2"/>
    <x v="1"/>
    <x v="223"/>
    <x v="171"/>
    <x v="273"/>
    <x v="596"/>
    <x v="729"/>
    <x v="3"/>
    <x v="2"/>
    <x v="108"/>
    <x v="0"/>
  </r>
  <r>
    <x v="300"/>
    <x v="260"/>
    <x v="7"/>
    <x v="52"/>
    <x v="593"/>
    <x v="671"/>
    <x v="1"/>
    <x v="0"/>
    <x v="0"/>
    <x v="1"/>
    <x v="0"/>
    <x v="176"/>
    <x v="1"/>
    <x v="1"/>
    <x v="263"/>
    <x v="142"/>
    <x v="328"/>
    <x v="580"/>
    <x v="711"/>
    <x v="3"/>
    <x v="2"/>
    <x v="108"/>
    <x v="0"/>
  </r>
  <r>
    <x v="299"/>
    <x v="256"/>
    <x v="7"/>
    <x v="52"/>
    <x v="586"/>
    <x v="664"/>
    <x v="1"/>
    <x v="0"/>
    <x v="0"/>
    <x v="1"/>
    <x v="0"/>
    <x v="57"/>
    <x v="1"/>
    <x v="1"/>
    <x v="222"/>
    <x v="152"/>
    <x v="195"/>
    <x v="606"/>
    <x v="746"/>
    <x v="3"/>
    <x v="2"/>
    <x v="108"/>
    <x v="0"/>
  </r>
  <r>
    <x v="298"/>
    <x v="247"/>
    <x v="7"/>
    <x v="8"/>
    <x v="490"/>
    <x v="358"/>
    <x v="1"/>
    <x v="0"/>
    <x v="0"/>
    <x v="1"/>
    <x v="0"/>
    <x v="111"/>
    <x v="2"/>
    <x v="1"/>
    <x v="390"/>
    <x v="160"/>
    <x v="427"/>
    <x v="670"/>
    <x v="800"/>
    <x v="3"/>
    <x v="2"/>
    <x v="106"/>
    <x v="0"/>
  </r>
  <r>
    <x v="297"/>
    <x v="249"/>
    <x v="7"/>
    <x v="8"/>
    <x v="492"/>
    <x v="360"/>
    <x v="1"/>
    <x v="0"/>
    <x v="0"/>
    <x v="1"/>
    <x v="0"/>
    <x v="46"/>
    <x v="2"/>
    <x v="1"/>
    <x v="392"/>
    <x v="162"/>
    <x v="389"/>
    <x v="691"/>
    <x v="820"/>
    <x v="3"/>
    <x v="2"/>
    <x v="106"/>
    <x v="0"/>
  </r>
  <r>
    <x v="296"/>
    <x v="245"/>
    <x v="7"/>
    <x v="8"/>
    <x v="488"/>
    <x v="356"/>
    <x v="1"/>
    <x v="0"/>
    <x v="0"/>
    <x v="1"/>
    <x v="0"/>
    <x v="239"/>
    <x v="2"/>
    <x v="1"/>
    <x v="310"/>
    <x v="158"/>
    <x v="342"/>
    <x v="657"/>
    <x v="796"/>
    <x v="3"/>
    <x v="2"/>
    <x v="106"/>
    <x v="0"/>
  </r>
  <r>
    <x v="295"/>
    <x v="248"/>
    <x v="7"/>
    <x v="8"/>
    <x v="491"/>
    <x v="359"/>
    <x v="1"/>
    <x v="0"/>
    <x v="0"/>
    <x v="1"/>
    <x v="0"/>
    <x v="354"/>
    <x v="2"/>
    <x v="1"/>
    <x v="391"/>
    <x v="161"/>
    <x v="390"/>
    <x v="686"/>
    <x v="818"/>
    <x v="3"/>
    <x v="2"/>
    <x v="106"/>
    <x v="0"/>
  </r>
  <r>
    <x v="294"/>
    <x v="246"/>
    <x v="7"/>
    <x v="8"/>
    <x v="489"/>
    <x v="357"/>
    <x v="1"/>
    <x v="0"/>
    <x v="0"/>
    <x v="1"/>
    <x v="0"/>
    <x v="295"/>
    <x v="2"/>
    <x v="1"/>
    <x v="389"/>
    <x v="159"/>
    <x v="370"/>
    <x v="667"/>
    <x v="799"/>
    <x v="3"/>
    <x v="2"/>
    <x v="106"/>
    <x v="0"/>
  </r>
  <r>
    <x v="293"/>
    <x v="242"/>
    <x v="7"/>
    <x v="52"/>
    <x v="584"/>
    <x v="662"/>
    <x v="1"/>
    <x v="0"/>
    <x v="0"/>
    <x v="1"/>
    <x v="0"/>
    <x v="182"/>
    <x v="2"/>
    <x v="1"/>
    <x v="220"/>
    <x v="156"/>
    <x v="285"/>
    <x v="610"/>
    <x v="747"/>
    <x v="3"/>
    <x v="2"/>
    <x v="104"/>
    <x v="0"/>
  </r>
  <r>
    <x v="292"/>
    <x v="208"/>
    <x v="7"/>
    <x v="49"/>
    <x v="570"/>
    <x v="647"/>
    <x v="1"/>
    <x v="0"/>
    <x v="0"/>
    <x v="1"/>
    <x v="0"/>
    <x v="277"/>
    <x v="1"/>
    <x v="1"/>
    <x v="189"/>
    <x v="119"/>
    <x v="325"/>
    <x v="540"/>
    <x v="545"/>
    <x v="3"/>
    <x v="2"/>
    <x v="94"/>
    <x v="0"/>
  </r>
  <r>
    <x v="291"/>
    <x v="202"/>
    <x v="7"/>
    <x v="52"/>
    <x v="594"/>
    <x v="672"/>
    <x v="1"/>
    <x v="0"/>
    <x v="0"/>
    <x v="1"/>
    <x v="0"/>
    <x v="16"/>
    <x v="2"/>
    <x v="1"/>
    <x v="264"/>
    <x v="143"/>
    <x v="320"/>
    <x v="574"/>
    <x v="704"/>
    <x v="3"/>
    <x v="2"/>
    <x v="90"/>
    <x v="0"/>
  </r>
  <r>
    <x v="290"/>
    <x v="203"/>
    <x v="7"/>
    <x v="52"/>
    <x v="597"/>
    <x v="675"/>
    <x v="1"/>
    <x v="0"/>
    <x v="0"/>
    <x v="1"/>
    <x v="0"/>
    <x v="47"/>
    <x v="2"/>
    <x v="1"/>
    <x v="311"/>
    <x v="143"/>
    <x v="324"/>
    <x v="584"/>
    <x v="722"/>
    <x v="3"/>
    <x v="2"/>
    <x v="90"/>
    <x v="0"/>
  </r>
  <r>
    <x v="289"/>
    <x v="197"/>
    <x v="7"/>
    <x v="42"/>
    <x v="523"/>
    <x v="599"/>
    <x v="1"/>
    <x v="0"/>
    <x v="0"/>
    <x v="1"/>
    <x v="0"/>
    <x v="45"/>
    <x v="2"/>
    <x v="1"/>
    <x v="371"/>
    <x v="128"/>
    <x v="260"/>
    <x v="705"/>
    <x v="849"/>
    <x v="3"/>
    <x v="2"/>
    <x v="86"/>
    <x v="0"/>
  </r>
  <r>
    <x v="288"/>
    <x v="187"/>
    <x v="7"/>
    <x v="52"/>
    <x v="610"/>
    <x v="688"/>
    <x v="1"/>
    <x v="0"/>
    <x v="0"/>
    <x v="1"/>
    <x v="0"/>
    <x v="112"/>
    <x v="2"/>
    <x v="1"/>
    <x v="362"/>
    <x v="126"/>
    <x v="212"/>
    <x v="641"/>
    <x v="786"/>
    <x v="3"/>
    <x v="2"/>
    <x v="80"/>
    <x v="0"/>
  </r>
  <r>
    <x v="287"/>
    <x v="186"/>
    <x v="7"/>
    <x v="52"/>
    <x v="596"/>
    <x v="674"/>
    <x v="1"/>
    <x v="0"/>
    <x v="0"/>
    <x v="1"/>
    <x v="0"/>
    <x v="69"/>
    <x v="2"/>
    <x v="1"/>
    <x v="295"/>
    <x v="125"/>
    <x v="243"/>
    <x v="638"/>
    <x v="776"/>
    <x v="3"/>
    <x v="2"/>
    <x v="79"/>
    <x v="0"/>
  </r>
  <r>
    <x v="286"/>
    <x v="179"/>
    <x v="7"/>
    <x v="52"/>
    <x v="603"/>
    <x v="681"/>
    <x v="1"/>
    <x v="0"/>
    <x v="0"/>
    <x v="1"/>
    <x v="0"/>
    <x v="300"/>
    <x v="2"/>
    <x v="1"/>
    <x v="346"/>
    <x v="112"/>
    <x v="353"/>
    <x v="575"/>
    <x v="701"/>
    <x v="3"/>
    <x v="2"/>
    <x v="78"/>
    <x v="0"/>
  </r>
  <r>
    <x v="285"/>
    <x v="172"/>
    <x v="7"/>
    <x v="49"/>
    <x v="572"/>
    <x v="649"/>
    <x v="1"/>
    <x v="0"/>
    <x v="0"/>
    <x v="1"/>
    <x v="0"/>
    <x v="108"/>
    <x v="1"/>
    <x v="1"/>
    <x v="193"/>
    <x v="119"/>
    <x v="346"/>
    <x v="550"/>
    <x v="609"/>
    <x v="3"/>
    <x v="2"/>
    <x v="78"/>
    <x v="0"/>
  </r>
  <r>
    <x v="284"/>
    <x v="171"/>
    <x v="7"/>
    <x v="49"/>
    <x v="571"/>
    <x v="648"/>
    <x v="1"/>
    <x v="0"/>
    <x v="0"/>
    <x v="1"/>
    <x v="0"/>
    <x v="69"/>
    <x v="1"/>
    <x v="1"/>
    <x v="190"/>
    <x v="119"/>
    <x v="341"/>
    <x v="546"/>
    <x v="592"/>
    <x v="3"/>
    <x v="2"/>
    <x v="78"/>
    <x v="0"/>
  </r>
  <r>
    <x v="283"/>
    <x v="173"/>
    <x v="7"/>
    <x v="49"/>
    <x v="574"/>
    <x v="651"/>
    <x v="1"/>
    <x v="0"/>
    <x v="0"/>
    <x v="1"/>
    <x v="0"/>
    <x v="57"/>
    <x v="1"/>
    <x v="1"/>
    <x v="260"/>
    <x v="119"/>
    <x v="327"/>
    <x v="551"/>
    <x v="623"/>
    <x v="3"/>
    <x v="2"/>
    <x v="78"/>
    <x v="0"/>
  </r>
  <r>
    <x v="282"/>
    <x v="178"/>
    <x v="7"/>
    <x v="52"/>
    <x v="602"/>
    <x v="680"/>
    <x v="1"/>
    <x v="0"/>
    <x v="0"/>
    <x v="1"/>
    <x v="0"/>
    <x v="106"/>
    <x v="2"/>
    <x v="1"/>
    <x v="345"/>
    <x v="111"/>
    <x v="361"/>
    <x v="577"/>
    <x v="700"/>
    <x v="3"/>
    <x v="2"/>
    <x v="78"/>
    <x v="0"/>
  </r>
  <r>
    <x v="281"/>
    <x v="177"/>
    <x v="7"/>
    <x v="52"/>
    <x v="601"/>
    <x v="679"/>
    <x v="1"/>
    <x v="0"/>
    <x v="0"/>
    <x v="1"/>
    <x v="0"/>
    <x v="89"/>
    <x v="2"/>
    <x v="1"/>
    <x v="344"/>
    <x v="110"/>
    <x v="371"/>
    <x v="568"/>
    <x v="690"/>
    <x v="3"/>
    <x v="2"/>
    <x v="78"/>
    <x v="0"/>
  </r>
  <r>
    <x v="280"/>
    <x v="176"/>
    <x v="7"/>
    <x v="52"/>
    <x v="600"/>
    <x v="678"/>
    <x v="1"/>
    <x v="0"/>
    <x v="0"/>
    <x v="1"/>
    <x v="0"/>
    <x v="258"/>
    <x v="2"/>
    <x v="1"/>
    <x v="343"/>
    <x v="110"/>
    <x v="380"/>
    <x v="562"/>
    <x v="680"/>
    <x v="3"/>
    <x v="2"/>
    <x v="78"/>
    <x v="0"/>
  </r>
  <r>
    <x v="279"/>
    <x v="182"/>
    <x v="7"/>
    <x v="52"/>
    <x v="606"/>
    <x v="684"/>
    <x v="1"/>
    <x v="0"/>
    <x v="0"/>
    <x v="1"/>
    <x v="0"/>
    <x v="220"/>
    <x v="2"/>
    <x v="1"/>
    <x v="349"/>
    <x v="115"/>
    <x v="367"/>
    <x v="614"/>
    <x v="742"/>
    <x v="3"/>
    <x v="2"/>
    <x v="78"/>
    <x v="0"/>
  </r>
  <r>
    <x v="278"/>
    <x v="181"/>
    <x v="7"/>
    <x v="52"/>
    <x v="605"/>
    <x v="683"/>
    <x v="1"/>
    <x v="0"/>
    <x v="0"/>
    <x v="1"/>
    <x v="0"/>
    <x v="234"/>
    <x v="2"/>
    <x v="1"/>
    <x v="348"/>
    <x v="114"/>
    <x v="356"/>
    <x v="628"/>
    <x v="752"/>
    <x v="3"/>
    <x v="2"/>
    <x v="78"/>
    <x v="0"/>
  </r>
  <r>
    <x v="277"/>
    <x v="183"/>
    <x v="7"/>
    <x v="52"/>
    <x v="607"/>
    <x v="685"/>
    <x v="1"/>
    <x v="0"/>
    <x v="0"/>
    <x v="1"/>
    <x v="0"/>
    <x v="120"/>
    <x v="2"/>
    <x v="1"/>
    <x v="350"/>
    <x v="116"/>
    <x v="348"/>
    <x v="619"/>
    <x v="751"/>
    <x v="3"/>
    <x v="2"/>
    <x v="78"/>
    <x v="0"/>
  </r>
  <r>
    <x v="276"/>
    <x v="175"/>
    <x v="7"/>
    <x v="52"/>
    <x v="599"/>
    <x v="677"/>
    <x v="1"/>
    <x v="0"/>
    <x v="0"/>
    <x v="1"/>
    <x v="0"/>
    <x v="153"/>
    <x v="2"/>
    <x v="1"/>
    <x v="342"/>
    <x v="109"/>
    <x v="360"/>
    <x v="565"/>
    <x v="689"/>
    <x v="3"/>
    <x v="2"/>
    <x v="78"/>
    <x v="0"/>
  </r>
  <r>
    <x v="275"/>
    <x v="174"/>
    <x v="7"/>
    <x v="52"/>
    <x v="598"/>
    <x v="676"/>
    <x v="1"/>
    <x v="0"/>
    <x v="0"/>
    <x v="1"/>
    <x v="0"/>
    <x v="126"/>
    <x v="2"/>
    <x v="1"/>
    <x v="341"/>
    <x v="108"/>
    <x v="347"/>
    <x v="564"/>
    <x v="688"/>
    <x v="3"/>
    <x v="2"/>
    <x v="78"/>
    <x v="0"/>
  </r>
  <r>
    <x v="274"/>
    <x v="185"/>
    <x v="7"/>
    <x v="52"/>
    <x v="609"/>
    <x v="687"/>
    <x v="1"/>
    <x v="0"/>
    <x v="0"/>
    <x v="1"/>
    <x v="0"/>
    <x v="55"/>
    <x v="2"/>
    <x v="1"/>
    <x v="351"/>
    <x v="117"/>
    <x v="302"/>
    <x v="611"/>
    <x v="745"/>
    <x v="3"/>
    <x v="2"/>
    <x v="78"/>
    <x v="0"/>
  </r>
  <r>
    <x v="273"/>
    <x v="180"/>
    <x v="7"/>
    <x v="52"/>
    <x v="604"/>
    <x v="682"/>
    <x v="1"/>
    <x v="0"/>
    <x v="0"/>
    <x v="1"/>
    <x v="0"/>
    <x v="200"/>
    <x v="2"/>
    <x v="1"/>
    <x v="347"/>
    <x v="113"/>
    <x v="352"/>
    <x v="633"/>
    <x v="758"/>
    <x v="3"/>
    <x v="2"/>
    <x v="78"/>
    <x v="0"/>
  </r>
  <r>
    <x v="272"/>
    <x v="184"/>
    <x v="7"/>
    <x v="52"/>
    <x v="608"/>
    <x v="686"/>
    <x v="1"/>
    <x v="0"/>
    <x v="0"/>
    <x v="1"/>
    <x v="0"/>
    <x v="119"/>
    <x v="2"/>
    <x v="1"/>
    <x v="351"/>
    <x v="117"/>
    <x v="345"/>
    <x v="618"/>
    <x v="748"/>
    <x v="3"/>
    <x v="2"/>
    <x v="78"/>
    <x v="0"/>
  </r>
  <r>
    <x v="271"/>
    <x v="156"/>
    <x v="7"/>
    <x v="8"/>
    <x v="485"/>
    <x v="353"/>
    <x v="1"/>
    <x v="0"/>
    <x v="0"/>
    <x v="1"/>
    <x v="0"/>
    <x v="144"/>
    <x v="2"/>
    <x v="1"/>
    <x v="309"/>
    <x v="88"/>
    <x v="429"/>
    <x v="690"/>
    <x v="817"/>
    <x v="3"/>
    <x v="2"/>
    <x v="74"/>
    <x v="0"/>
  </r>
  <r>
    <x v="270"/>
    <x v="152"/>
    <x v="7"/>
    <x v="8"/>
    <x v="486"/>
    <x v="354"/>
    <x v="1"/>
    <x v="0"/>
    <x v="0"/>
    <x v="1"/>
    <x v="0"/>
    <x v="69"/>
    <x v="2"/>
    <x v="1"/>
    <x v="318"/>
    <x v="95"/>
    <x v="437"/>
    <x v="680"/>
    <x v="813"/>
    <x v="3"/>
    <x v="2"/>
    <x v="72"/>
    <x v="0"/>
  </r>
  <r>
    <x v="269"/>
    <x v="138"/>
    <x v="7"/>
    <x v="8"/>
    <x v="483"/>
    <x v="351"/>
    <x v="1"/>
    <x v="0"/>
    <x v="0"/>
    <x v="1"/>
    <x v="0"/>
    <x v="57"/>
    <x v="2"/>
    <x v="1"/>
    <x v="307"/>
    <x v="89"/>
    <x v="394"/>
    <x v="701"/>
    <x v="827"/>
    <x v="3"/>
    <x v="2"/>
    <x v="70"/>
    <x v="0"/>
  </r>
  <r>
    <x v="268"/>
    <x v="137"/>
    <x v="7"/>
    <x v="8"/>
    <x v="482"/>
    <x v="350"/>
    <x v="1"/>
    <x v="0"/>
    <x v="0"/>
    <x v="1"/>
    <x v="0"/>
    <x v="283"/>
    <x v="2"/>
    <x v="1"/>
    <x v="299"/>
    <x v="83"/>
    <x v="369"/>
    <x v="717"/>
    <x v="853"/>
    <x v="3"/>
    <x v="2"/>
    <x v="70"/>
    <x v="0"/>
  </r>
  <r>
    <x v="267"/>
    <x v="139"/>
    <x v="7"/>
    <x v="8"/>
    <x v="484"/>
    <x v="352"/>
    <x v="1"/>
    <x v="0"/>
    <x v="0"/>
    <x v="1"/>
    <x v="0"/>
    <x v="242"/>
    <x v="2"/>
    <x v="1"/>
    <x v="308"/>
    <x v="89"/>
    <x v="395"/>
    <x v="702"/>
    <x v="829"/>
    <x v="3"/>
    <x v="2"/>
    <x v="70"/>
    <x v="0"/>
  </r>
  <r>
    <x v="266"/>
    <x v="135"/>
    <x v="7"/>
    <x v="8"/>
    <x v="480"/>
    <x v="348"/>
    <x v="1"/>
    <x v="0"/>
    <x v="0"/>
    <x v="1"/>
    <x v="0"/>
    <x v="73"/>
    <x v="2"/>
    <x v="1"/>
    <x v="296"/>
    <x v="82"/>
    <x v="381"/>
    <x v="715"/>
    <x v="850"/>
    <x v="3"/>
    <x v="2"/>
    <x v="70"/>
    <x v="0"/>
  </r>
  <r>
    <x v="265"/>
    <x v="140"/>
    <x v="7"/>
    <x v="52"/>
    <x v="595"/>
    <x v="673"/>
    <x v="1"/>
    <x v="0"/>
    <x v="0"/>
    <x v="1"/>
    <x v="0"/>
    <x v="37"/>
    <x v="2"/>
    <x v="1"/>
    <x v="277"/>
    <x v="90"/>
    <x v="224"/>
    <x v="650"/>
    <x v="793"/>
    <x v="3"/>
    <x v="2"/>
    <x v="70"/>
    <x v="0"/>
  </r>
  <r>
    <x v="264"/>
    <x v="136"/>
    <x v="7"/>
    <x v="8"/>
    <x v="481"/>
    <x v="349"/>
    <x v="1"/>
    <x v="0"/>
    <x v="0"/>
    <x v="1"/>
    <x v="0"/>
    <x v="45"/>
    <x v="2"/>
    <x v="1"/>
    <x v="297"/>
    <x v="81"/>
    <x v="378"/>
    <x v="716"/>
    <x v="851"/>
    <x v="3"/>
    <x v="2"/>
    <x v="70"/>
    <x v="0"/>
  </r>
  <r>
    <x v="263"/>
    <x v="123"/>
    <x v="7"/>
    <x v="52"/>
    <x v="589"/>
    <x v="667"/>
    <x v="1"/>
    <x v="0"/>
    <x v="0"/>
    <x v="1"/>
    <x v="0"/>
    <x v="69"/>
    <x v="2"/>
    <x v="1"/>
    <x v="227"/>
    <x v="60"/>
    <x v="286"/>
    <x v="576"/>
    <x v="707"/>
    <x v="3"/>
    <x v="2"/>
    <x v="66"/>
    <x v="0"/>
  </r>
  <r>
    <x v="262"/>
    <x v="121"/>
    <x v="7"/>
    <x v="49"/>
    <x v="567"/>
    <x v="644"/>
    <x v="1"/>
    <x v="0"/>
    <x v="0"/>
    <x v="1"/>
    <x v="0"/>
    <x v="261"/>
    <x v="2"/>
    <x v="1"/>
    <x v="129"/>
    <x v="76"/>
    <x v="235"/>
    <x v="523"/>
    <x v="709"/>
    <x v="3"/>
    <x v="2"/>
    <x v="66"/>
    <x v="0"/>
  </r>
  <r>
    <x v="261"/>
    <x v="122"/>
    <x v="7"/>
    <x v="49"/>
    <x v="569"/>
    <x v="646"/>
    <x v="1"/>
    <x v="0"/>
    <x v="0"/>
    <x v="1"/>
    <x v="0"/>
    <x v="95"/>
    <x v="2"/>
    <x v="1"/>
    <x v="161"/>
    <x v="77"/>
    <x v="255"/>
    <x v="525"/>
    <x v="771"/>
    <x v="3"/>
    <x v="2"/>
    <x v="66"/>
    <x v="0"/>
  </r>
  <r>
    <x v="260"/>
    <x v="118"/>
    <x v="7"/>
    <x v="8"/>
    <x v="479"/>
    <x v="347"/>
    <x v="1"/>
    <x v="0"/>
    <x v="0"/>
    <x v="1"/>
    <x v="0"/>
    <x v="15"/>
    <x v="2"/>
    <x v="1"/>
    <x v="276"/>
    <x v="68"/>
    <x v="441"/>
    <x v="672"/>
    <x v="803"/>
    <x v="3"/>
    <x v="2"/>
    <x v="64"/>
    <x v="0"/>
  </r>
  <r>
    <x v="259"/>
    <x v="111"/>
    <x v="7"/>
    <x v="8"/>
    <x v="472"/>
    <x v="340"/>
    <x v="1"/>
    <x v="0"/>
    <x v="0"/>
    <x v="1"/>
    <x v="0"/>
    <x v="15"/>
    <x v="2"/>
    <x v="1"/>
    <x v="268"/>
    <x v="72"/>
    <x v="392"/>
    <x v="648"/>
    <x v="775"/>
    <x v="3"/>
    <x v="2"/>
    <x v="64"/>
    <x v="0"/>
  </r>
  <r>
    <x v="258"/>
    <x v="116"/>
    <x v="7"/>
    <x v="8"/>
    <x v="477"/>
    <x v="345"/>
    <x v="1"/>
    <x v="0"/>
    <x v="0"/>
    <x v="1"/>
    <x v="0"/>
    <x v="76"/>
    <x v="2"/>
    <x v="1"/>
    <x v="274"/>
    <x v="69"/>
    <x v="454"/>
    <x v="654"/>
    <x v="783"/>
    <x v="3"/>
    <x v="2"/>
    <x v="64"/>
    <x v="0"/>
  </r>
  <r>
    <x v="257"/>
    <x v="115"/>
    <x v="7"/>
    <x v="8"/>
    <x v="476"/>
    <x v="344"/>
    <x v="1"/>
    <x v="0"/>
    <x v="0"/>
    <x v="1"/>
    <x v="0"/>
    <x v="22"/>
    <x v="2"/>
    <x v="1"/>
    <x v="273"/>
    <x v="70"/>
    <x v="420"/>
    <x v="669"/>
    <x v="797"/>
    <x v="3"/>
    <x v="2"/>
    <x v="64"/>
    <x v="0"/>
  </r>
  <r>
    <x v="256"/>
    <x v="117"/>
    <x v="7"/>
    <x v="8"/>
    <x v="478"/>
    <x v="346"/>
    <x v="1"/>
    <x v="0"/>
    <x v="0"/>
    <x v="1"/>
    <x v="0"/>
    <x v="26"/>
    <x v="2"/>
    <x v="1"/>
    <x v="275"/>
    <x v="69"/>
    <x v="402"/>
    <x v="693"/>
    <x v="821"/>
    <x v="3"/>
    <x v="2"/>
    <x v="64"/>
    <x v="0"/>
  </r>
  <r>
    <x v="255"/>
    <x v="110"/>
    <x v="7"/>
    <x v="8"/>
    <x v="471"/>
    <x v="339"/>
    <x v="1"/>
    <x v="0"/>
    <x v="0"/>
    <x v="1"/>
    <x v="0"/>
    <x v="189"/>
    <x v="2"/>
    <x v="1"/>
    <x v="267"/>
    <x v="72"/>
    <x v="373"/>
    <x v="668"/>
    <x v="801"/>
    <x v="3"/>
    <x v="2"/>
    <x v="64"/>
    <x v="0"/>
  </r>
  <r>
    <x v="254"/>
    <x v="114"/>
    <x v="7"/>
    <x v="8"/>
    <x v="475"/>
    <x v="343"/>
    <x v="1"/>
    <x v="0"/>
    <x v="0"/>
    <x v="1"/>
    <x v="0"/>
    <x v="151"/>
    <x v="2"/>
    <x v="1"/>
    <x v="272"/>
    <x v="70"/>
    <x v="401"/>
    <x v="639"/>
    <x v="760"/>
    <x v="3"/>
    <x v="2"/>
    <x v="64"/>
    <x v="0"/>
  </r>
  <r>
    <x v="253"/>
    <x v="113"/>
    <x v="7"/>
    <x v="8"/>
    <x v="474"/>
    <x v="342"/>
    <x v="1"/>
    <x v="0"/>
    <x v="0"/>
    <x v="1"/>
    <x v="0"/>
    <x v="53"/>
    <x v="2"/>
    <x v="1"/>
    <x v="271"/>
    <x v="71"/>
    <x v="396"/>
    <x v="644"/>
    <x v="770"/>
    <x v="3"/>
    <x v="2"/>
    <x v="64"/>
    <x v="0"/>
  </r>
  <r>
    <x v="252"/>
    <x v="112"/>
    <x v="7"/>
    <x v="8"/>
    <x v="473"/>
    <x v="341"/>
    <x v="1"/>
    <x v="0"/>
    <x v="0"/>
    <x v="1"/>
    <x v="0"/>
    <x v="55"/>
    <x v="2"/>
    <x v="1"/>
    <x v="269"/>
    <x v="72"/>
    <x v="400"/>
    <x v="646"/>
    <x v="772"/>
    <x v="3"/>
    <x v="2"/>
    <x v="64"/>
    <x v="0"/>
  </r>
  <r>
    <x v="251"/>
    <x v="107"/>
    <x v="7"/>
    <x v="52"/>
    <x v="590"/>
    <x v="668"/>
    <x v="1"/>
    <x v="0"/>
    <x v="0"/>
    <x v="1"/>
    <x v="0"/>
    <x v="77"/>
    <x v="2"/>
    <x v="1"/>
    <x v="228"/>
    <x v="61"/>
    <x v="283"/>
    <x v="572"/>
    <x v="702"/>
    <x v="3"/>
    <x v="2"/>
    <x v="63"/>
    <x v="0"/>
  </r>
  <r>
    <x v="250"/>
    <x v="108"/>
    <x v="7"/>
    <x v="52"/>
    <x v="591"/>
    <x v="669"/>
    <x v="1"/>
    <x v="0"/>
    <x v="0"/>
    <x v="1"/>
    <x v="0"/>
    <x v="13"/>
    <x v="2"/>
    <x v="1"/>
    <x v="229"/>
    <x v="62"/>
    <x v="271"/>
    <x v="570"/>
    <x v="699"/>
    <x v="3"/>
    <x v="2"/>
    <x v="63"/>
    <x v="0"/>
  </r>
  <r>
    <x v="249"/>
    <x v="105"/>
    <x v="7"/>
    <x v="52"/>
    <x v="582"/>
    <x v="660"/>
    <x v="1"/>
    <x v="0"/>
    <x v="0"/>
    <x v="1"/>
    <x v="0"/>
    <x v="45"/>
    <x v="2"/>
    <x v="1"/>
    <x v="198"/>
    <x v="58"/>
    <x v="202"/>
    <x v="571"/>
    <x v="706"/>
    <x v="3"/>
    <x v="2"/>
    <x v="62"/>
    <x v="0"/>
  </r>
  <r>
    <x v="248"/>
    <x v="106"/>
    <x v="7"/>
    <x v="52"/>
    <x v="585"/>
    <x v="663"/>
    <x v="1"/>
    <x v="0"/>
    <x v="0"/>
    <x v="1"/>
    <x v="0"/>
    <x v="62"/>
    <x v="2"/>
    <x v="1"/>
    <x v="221"/>
    <x v="59"/>
    <x v="256"/>
    <x v="603"/>
    <x v="740"/>
    <x v="3"/>
    <x v="2"/>
    <x v="62"/>
    <x v="0"/>
  </r>
  <r>
    <x v="247"/>
    <x v="89"/>
    <x v="7"/>
    <x v="49"/>
    <x v="568"/>
    <x v="645"/>
    <x v="1"/>
    <x v="0"/>
    <x v="0"/>
    <x v="1"/>
    <x v="0"/>
    <x v="22"/>
    <x v="2"/>
    <x v="1"/>
    <x v="130"/>
    <x v="54"/>
    <x v="236"/>
    <x v="522"/>
    <x v="687"/>
    <x v="3"/>
    <x v="2"/>
    <x v="54"/>
    <x v="0"/>
  </r>
  <r>
    <x v="246"/>
    <x v="25"/>
    <x v="7"/>
    <x v="52"/>
    <x v="578"/>
    <x v="656"/>
    <x v="1"/>
    <x v="0"/>
    <x v="0"/>
    <x v="1"/>
    <x v="0"/>
    <x v="500"/>
    <x v="1"/>
    <x v="1"/>
    <x v="22"/>
    <x v="16"/>
    <x v="189"/>
    <x v="583"/>
    <x v="724"/>
    <x v="3"/>
    <x v="2"/>
    <x v="21"/>
    <x v="0"/>
  </r>
  <r>
    <x v="245"/>
    <x v="19"/>
    <x v="7"/>
    <x v="57"/>
    <x v="643"/>
    <x v="755"/>
    <x v="0"/>
    <x v="0"/>
    <x v="0"/>
    <x v="1"/>
    <x v="0"/>
    <x v="398"/>
    <x v="0"/>
    <x v="2"/>
    <x v="24"/>
    <x v="45"/>
    <x v="15"/>
    <x v="730"/>
    <x v="884"/>
    <x v="3"/>
    <x v="2"/>
    <x v="15"/>
    <x v="0"/>
  </r>
  <r>
    <x v="244"/>
    <x v="11"/>
    <x v="7"/>
    <x v="8"/>
    <x v="470"/>
    <x v="338"/>
    <x v="1"/>
    <x v="0"/>
    <x v="0"/>
    <x v="1"/>
    <x v="0"/>
    <x v="95"/>
    <x v="2"/>
    <x v="1"/>
    <x v="35"/>
    <x v="14"/>
    <x v="417"/>
    <x v="675"/>
    <x v="807"/>
    <x v="3"/>
    <x v="2"/>
    <x v="9"/>
    <x v="0"/>
  </r>
  <r>
    <x v="243"/>
    <x v="822"/>
    <x v="8"/>
    <x v="55"/>
    <x v="662"/>
    <x v="263"/>
    <x v="1"/>
    <x v="1"/>
    <x v="0"/>
    <x v="1"/>
    <x v="0"/>
    <x v="116"/>
    <x v="2"/>
    <x v="1"/>
    <x v="720"/>
    <x v="354"/>
    <x v="725"/>
    <x v="323"/>
    <x v="468"/>
    <x v="3"/>
    <x v="2"/>
    <x v="271"/>
    <x v="0"/>
  </r>
  <r>
    <x v="242"/>
    <x v="814"/>
    <x v="8"/>
    <x v="29"/>
    <x v="651"/>
    <x v="240"/>
    <x v="1"/>
    <x v="5"/>
    <x v="0"/>
    <x v="1"/>
    <x v="0"/>
    <x v="8"/>
    <x v="2"/>
    <x v="0"/>
    <x v="665"/>
    <x v="283"/>
    <x v="9"/>
    <x v="801"/>
    <x v="655"/>
    <x v="3"/>
    <x v="2"/>
    <x v="269"/>
    <x v="0"/>
  </r>
  <r>
    <x v="241"/>
    <x v="816"/>
    <x v="8"/>
    <x v="29"/>
    <x v="653"/>
    <x v="242"/>
    <x v="1"/>
    <x v="5"/>
    <x v="0"/>
    <x v="1"/>
    <x v="0"/>
    <x v="11"/>
    <x v="2"/>
    <x v="0"/>
    <x v="668"/>
    <x v="285"/>
    <x v="10"/>
    <x v="804"/>
    <x v="660"/>
    <x v="3"/>
    <x v="2"/>
    <x v="269"/>
    <x v="0"/>
  </r>
  <r>
    <x v="240"/>
    <x v="813"/>
    <x v="8"/>
    <x v="29"/>
    <x v="650"/>
    <x v="239"/>
    <x v="1"/>
    <x v="5"/>
    <x v="0"/>
    <x v="1"/>
    <x v="0"/>
    <x v="8"/>
    <x v="2"/>
    <x v="0"/>
    <x v="663"/>
    <x v="282"/>
    <x v="8"/>
    <x v="805"/>
    <x v="662"/>
    <x v="3"/>
    <x v="2"/>
    <x v="269"/>
    <x v="0"/>
  </r>
  <r>
    <x v="239"/>
    <x v="815"/>
    <x v="8"/>
    <x v="29"/>
    <x v="652"/>
    <x v="241"/>
    <x v="1"/>
    <x v="5"/>
    <x v="0"/>
    <x v="1"/>
    <x v="0"/>
    <x v="11"/>
    <x v="2"/>
    <x v="0"/>
    <x v="666"/>
    <x v="284"/>
    <x v="11"/>
    <x v="803"/>
    <x v="659"/>
    <x v="3"/>
    <x v="2"/>
    <x v="269"/>
    <x v="0"/>
  </r>
  <r>
    <x v="238"/>
    <x v="626"/>
    <x v="8"/>
    <x v="41"/>
    <x v="655"/>
    <x v="246"/>
    <x v="1"/>
    <x v="5"/>
    <x v="0"/>
    <x v="1"/>
    <x v="0"/>
    <x v="126"/>
    <x v="2"/>
    <x v="1"/>
    <x v="45"/>
    <x v="290"/>
    <x v="671"/>
    <x v="84"/>
    <x v="195"/>
    <x v="3"/>
    <x v="2"/>
    <x v="235"/>
    <x v="0"/>
  </r>
  <r>
    <x v="237"/>
    <x v="628"/>
    <x v="8"/>
    <x v="41"/>
    <x v="657"/>
    <x v="248"/>
    <x v="1"/>
    <x v="5"/>
    <x v="0"/>
    <x v="1"/>
    <x v="0"/>
    <x v="114"/>
    <x v="2"/>
    <x v="1"/>
    <x v="136"/>
    <x v="271"/>
    <x v="695"/>
    <x v="85"/>
    <x v="181"/>
    <x v="3"/>
    <x v="2"/>
    <x v="235"/>
    <x v="0"/>
  </r>
  <r>
    <x v="236"/>
    <x v="627"/>
    <x v="8"/>
    <x v="41"/>
    <x v="656"/>
    <x v="247"/>
    <x v="1"/>
    <x v="5"/>
    <x v="0"/>
    <x v="1"/>
    <x v="0"/>
    <x v="216"/>
    <x v="2"/>
    <x v="1"/>
    <x v="121"/>
    <x v="271"/>
    <x v="689"/>
    <x v="95"/>
    <x v="175"/>
    <x v="3"/>
    <x v="2"/>
    <x v="235"/>
    <x v="0"/>
  </r>
  <r>
    <x v="235"/>
    <x v="551"/>
    <x v="8"/>
    <x v="51"/>
    <x v="660"/>
    <x v="261"/>
    <x v="1"/>
    <x v="5"/>
    <x v="0"/>
    <x v="1"/>
    <x v="0"/>
    <x v="374"/>
    <x v="2"/>
    <x v="1"/>
    <x v="258"/>
    <x v="222"/>
    <x v="846"/>
    <x v="137"/>
    <x v="48"/>
    <x v="3"/>
    <x v="2"/>
    <x v="206"/>
    <x v="0"/>
  </r>
  <r>
    <x v="234"/>
    <x v="529"/>
    <x v="8"/>
    <x v="66"/>
    <x v="671"/>
    <x v="272"/>
    <x v="1"/>
    <x v="5"/>
    <x v="0"/>
    <x v="1"/>
    <x v="0"/>
    <x v="99"/>
    <x v="0"/>
    <x v="1"/>
    <x v="589"/>
    <x v="237"/>
    <x v="602"/>
    <x v="280"/>
    <x v="13"/>
    <x v="3"/>
    <x v="2"/>
    <x v="203"/>
    <x v="0"/>
  </r>
  <r>
    <x v="233"/>
    <x v="474"/>
    <x v="8"/>
    <x v="66"/>
    <x v="673"/>
    <x v="274"/>
    <x v="1"/>
    <x v="2"/>
    <x v="0"/>
    <x v="1"/>
    <x v="0"/>
    <x v="527"/>
    <x v="0"/>
    <x v="2"/>
    <x v="15"/>
    <x v="13"/>
    <x v="648"/>
    <x v="292"/>
    <x v="514"/>
    <x v="3"/>
    <x v="2"/>
    <x v="188"/>
    <x v="0"/>
  </r>
  <r>
    <x v="232"/>
    <x v="472"/>
    <x v="8"/>
    <x v="66"/>
    <x v="666"/>
    <x v="267"/>
    <x v="1"/>
    <x v="5"/>
    <x v="0"/>
    <x v="1"/>
    <x v="0"/>
    <x v="384"/>
    <x v="1"/>
    <x v="1"/>
    <x v="113"/>
    <x v="42"/>
    <x v="603"/>
    <x v="284"/>
    <x v="9"/>
    <x v="3"/>
    <x v="2"/>
    <x v="188"/>
    <x v="0"/>
  </r>
  <r>
    <x v="231"/>
    <x v="473"/>
    <x v="8"/>
    <x v="66"/>
    <x v="672"/>
    <x v="273"/>
    <x v="1"/>
    <x v="5"/>
    <x v="0"/>
    <x v="1"/>
    <x v="0"/>
    <x v="29"/>
    <x v="0"/>
    <x v="2"/>
    <x v="14"/>
    <x v="7"/>
    <x v="646"/>
    <x v="291"/>
    <x v="515"/>
    <x v="3"/>
    <x v="2"/>
    <x v="188"/>
    <x v="0"/>
  </r>
  <r>
    <x v="230"/>
    <x v="475"/>
    <x v="8"/>
    <x v="66"/>
    <x v="677"/>
    <x v="278"/>
    <x v="1"/>
    <x v="3"/>
    <x v="0"/>
    <x v="1"/>
    <x v="0"/>
    <x v="294"/>
    <x v="1"/>
    <x v="2"/>
    <x v="21"/>
    <x v="12"/>
    <x v="657"/>
    <x v="293"/>
    <x v="509"/>
    <x v="3"/>
    <x v="2"/>
    <x v="188"/>
    <x v="0"/>
  </r>
  <r>
    <x v="229"/>
    <x v="470"/>
    <x v="8"/>
    <x v="66"/>
    <x v="670"/>
    <x v="271"/>
    <x v="1"/>
    <x v="5"/>
    <x v="0"/>
    <x v="1"/>
    <x v="0"/>
    <x v="26"/>
    <x v="0"/>
    <x v="2"/>
    <x v="484"/>
    <x v="206"/>
    <x v="635"/>
    <x v="286"/>
    <x v="521"/>
    <x v="3"/>
    <x v="2"/>
    <x v="187"/>
    <x v="0"/>
  </r>
  <r>
    <x v="228"/>
    <x v="425"/>
    <x v="8"/>
    <x v="68"/>
    <x v="679"/>
    <x v="280"/>
    <x v="1"/>
    <x v="5"/>
    <x v="0"/>
    <x v="1"/>
    <x v="0"/>
    <x v="134"/>
    <x v="2"/>
    <x v="1"/>
    <x v="402"/>
    <x v="154"/>
    <x v="586"/>
    <x v="534"/>
    <x v="871"/>
    <x v="3"/>
    <x v="2"/>
    <x v="172"/>
    <x v="0"/>
  </r>
  <r>
    <x v="227"/>
    <x v="303"/>
    <x v="8"/>
    <x v="66"/>
    <x v="667"/>
    <x v="268"/>
    <x v="1"/>
    <x v="5"/>
    <x v="0"/>
    <x v="1"/>
    <x v="0"/>
    <x v="491"/>
    <x v="1"/>
    <x v="1"/>
    <x v="137"/>
    <x v="42"/>
    <x v="637"/>
    <x v="282"/>
    <x v="3"/>
    <x v="3"/>
    <x v="2"/>
    <x v="136"/>
    <x v="0"/>
  </r>
  <r>
    <x v="226"/>
    <x v="304"/>
    <x v="8"/>
    <x v="66"/>
    <x v="668"/>
    <x v="269"/>
    <x v="1"/>
    <x v="5"/>
    <x v="0"/>
    <x v="1"/>
    <x v="0"/>
    <x v="508"/>
    <x v="1"/>
    <x v="1"/>
    <x v="138"/>
    <x v="42"/>
    <x v="643"/>
    <x v="288"/>
    <x v="517"/>
    <x v="3"/>
    <x v="2"/>
    <x v="136"/>
    <x v="0"/>
  </r>
  <r>
    <x v="225"/>
    <x v="302"/>
    <x v="8"/>
    <x v="66"/>
    <x v="669"/>
    <x v="270"/>
    <x v="1"/>
    <x v="4"/>
    <x v="0"/>
    <x v="1"/>
    <x v="0"/>
    <x v="476"/>
    <x v="0"/>
    <x v="1"/>
    <x v="146"/>
    <x v="46"/>
    <x v="638"/>
    <x v="295"/>
    <x v="510"/>
    <x v="3"/>
    <x v="2"/>
    <x v="135"/>
    <x v="0"/>
  </r>
  <r>
    <x v="224"/>
    <x v="300"/>
    <x v="8"/>
    <x v="51"/>
    <x v="661"/>
    <x v="262"/>
    <x v="1"/>
    <x v="5"/>
    <x v="0"/>
    <x v="1"/>
    <x v="0"/>
    <x v="223"/>
    <x v="2"/>
    <x v="1"/>
    <x v="432"/>
    <x v="237"/>
    <x v="798"/>
    <x v="161"/>
    <x v="56"/>
    <x v="3"/>
    <x v="2"/>
    <x v="133"/>
    <x v="0"/>
  </r>
  <r>
    <x v="223"/>
    <x v="294"/>
    <x v="8"/>
    <x v="51"/>
    <x v="659"/>
    <x v="260"/>
    <x v="1"/>
    <x v="5"/>
    <x v="0"/>
    <x v="1"/>
    <x v="0"/>
    <x v="392"/>
    <x v="2"/>
    <x v="1"/>
    <x v="170"/>
    <x v="237"/>
    <x v="805"/>
    <x v="166"/>
    <x v="50"/>
    <x v="3"/>
    <x v="2"/>
    <x v="131"/>
    <x v="0"/>
  </r>
  <r>
    <x v="222"/>
    <x v="293"/>
    <x v="8"/>
    <x v="34"/>
    <x v="654"/>
    <x v="245"/>
    <x v="1"/>
    <x v="1"/>
    <x v="0"/>
    <x v="1"/>
    <x v="0"/>
    <x v="325"/>
    <x v="2"/>
    <x v="1"/>
    <x v="372"/>
    <x v="173"/>
    <x v="339"/>
    <x v="880"/>
    <x v="714"/>
    <x v="3"/>
    <x v="2"/>
    <x v="131"/>
    <x v="0"/>
  </r>
  <r>
    <x v="221"/>
    <x v="198"/>
    <x v="8"/>
    <x v="66"/>
    <x v="664"/>
    <x v="265"/>
    <x v="1"/>
    <x v="4"/>
    <x v="0"/>
    <x v="1"/>
    <x v="0"/>
    <x v="375"/>
    <x v="0"/>
    <x v="1"/>
    <x v="99"/>
    <x v="56"/>
    <x v="645"/>
    <x v="283"/>
    <x v="522"/>
    <x v="3"/>
    <x v="2"/>
    <x v="86"/>
    <x v="0"/>
  </r>
  <r>
    <x v="220"/>
    <x v="195"/>
    <x v="8"/>
    <x v="66"/>
    <x v="675"/>
    <x v="276"/>
    <x v="1"/>
    <x v="5"/>
    <x v="0"/>
    <x v="1"/>
    <x v="0"/>
    <x v="109"/>
    <x v="1"/>
    <x v="1"/>
    <x v="20"/>
    <x v="12"/>
    <x v="612"/>
    <x v="285"/>
    <x v="6"/>
    <x v="3"/>
    <x v="2"/>
    <x v="85"/>
    <x v="0"/>
  </r>
  <r>
    <x v="219"/>
    <x v="92"/>
    <x v="8"/>
    <x v="51"/>
    <x v="658"/>
    <x v="259"/>
    <x v="1"/>
    <x v="5"/>
    <x v="0"/>
    <x v="1"/>
    <x v="0"/>
    <x v="307"/>
    <x v="2"/>
    <x v="1"/>
    <x v="108"/>
    <x v="222"/>
    <x v="812"/>
    <x v="181"/>
    <x v="43"/>
    <x v="3"/>
    <x v="2"/>
    <x v="57"/>
    <x v="0"/>
  </r>
  <r>
    <x v="218"/>
    <x v="91"/>
    <x v="8"/>
    <x v="64"/>
    <x v="663"/>
    <x v="264"/>
    <x v="1"/>
    <x v="5"/>
    <x v="0"/>
    <x v="1"/>
    <x v="0"/>
    <x v="1"/>
    <x v="2"/>
    <x v="1"/>
    <x v="166"/>
    <x v="53"/>
    <x v="878"/>
    <x v="1"/>
    <x v="213"/>
    <x v="3"/>
    <x v="2"/>
    <x v="56"/>
    <x v="0"/>
  </r>
  <r>
    <x v="217"/>
    <x v="90"/>
    <x v="8"/>
    <x v="68"/>
    <x v="678"/>
    <x v="279"/>
    <x v="1"/>
    <x v="5"/>
    <x v="0"/>
    <x v="1"/>
    <x v="0"/>
    <x v="95"/>
    <x v="2"/>
    <x v="1"/>
    <x v="205"/>
    <x v="52"/>
    <x v="518"/>
    <x v="547"/>
    <x v="574"/>
    <x v="3"/>
    <x v="2"/>
    <x v="55"/>
    <x v="0"/>
  </r>
  <r>
    <x v="216"/>
    <x v="42"/>
    <x v="8"/>
    <x v="66"/>
    <x v="665"/>
    <x v="266"/>
    <x v="1"/>
    <x v="5"/>
    <x v="0"/>
    <x v="1"/>
    <x v="0"/>
    <x v="11"/>
    <x v="2"/>
    <x v="1"/>
    <x v="100"/>
    <x v="56"/>
    <x v="649"/>
    <x v="281"/>
    <x v="1"/>
    <x v="3"/>
    <x v="2"/>
    <x v="31"/>
    <x v="0"/>
  </r>
  <r>
    <x v="215"/>
    <x v="18"/>
    <x v="8"/>
    <x v="66"/>
    <x v="676"/>
    <x v="277"/>
    <x v="1"/>
    <x v="4"/>
    <x v="0"/>
    <x v="1"/>
    <x v="0"/>
    <x v="340"/>
    <x v="1"/>
    <x v="0"/>
    <x v="23"/>
    <x v="12"/>
    <x v="604"/>
    <x v="296"/>
    <x v="520"/>
    <x v="3"/>
    <x v="2"/>
    <x v="14"/>
    <x v="0"/>
  </r>
  <r>
    <x v="214"/>
    <x v="17"/>
    <x v="8"/>
    <x v="66"/>
    <x v="674"/>
    <x v="275"/>
    <x v="1"/>
    <x v="5"/>
    <x v="0"/>
    <x v="1"/>
    <x v="0"/>
    <x v="285"/>
    <x v="1"/>
    <x v="1"/>
    <x v="19"/>
    <x v="10"/>
    <x v="616"/>
    <x v="287"/>
    <x v="0"/>
    <x v="3"/>
    <x v="2"/>
    <x v="13"/>
    <x v="0"/>
  </r>
  <r>
    <x v="213"/>
    <x v="877"/>
    <x v="9"/>
    <x v="71"/>
    <x v="702"/>
    <x v="23"/>
    <x v="1"/>
    <x v="0"/>
    <x v="8"/>
    <x v="1"/>
    <x v="0"/>
    <x v="409"/>
    <x v="1"/>
    <x v="1"/>
    <x v="162"/>
    <x v="431"/>
    <x v="163"/>
    <x v="744"/>
    <x v="542"/>
    <x v="3"/>
    <x v="2"/>
    <x v="284"/>
    <x v="0"/>
  </r>
  <r>
    <x v="212"/>
    <x v="878"/>
    <x v="9"/>
    <x v="71"/>
    <x v="712"/>
    <x v="33"/>
    <x v="1"/>
    <x v="0"/>
    <x v="2"/>
    <x v="1"/>
    <x v="0"/>
    <x v="186"/>
    <x v="2"/>
    <x v="1"/>
    <x v="192"/>
    <x v="432"/>
    <x v="217"/>
    <x v="776"/>
    <x v="571"/>
    <x v="3"/>
    <x v="2"/>
    <x v="284"/>
    <x v="0"/>
  </r>
  <r>
    <x v="211"/>
    <x v="879"/>
    <x v="9"/>
    <x v="71"/>
    <x v="713"/>
    <x v="34"/>
    <x v="1"/>
    <x v="0"/>
    <x v="3"/>
    <x v="1"/>
    <x v="0"/>
    <x v="373"/>
    <x v="2"/>
    <x v="1"/>
    <x v="267"/>
    <x v="432"/>
    <x v="213"/>
    <x v="779"/>
    <x v="578"/>
    <x v="3"/>
    <x v="2"/>
    <x v="284"/>
    <x v="0"/>
  </r>
  <r>
    <x v="210"/>
    <x v="880"/>
    <x v="9"/>
    <x v="71"/>
    <x v="732"/>
    <x v="53"/>
    <x v="1"/>
    <x v="0"/>
    <x v="6"/>
    <x v="1"/>
    <x v="0"/>
    <x v="405"/>
    <x v="2"/>
    <x v="1"/>
    <x v="286"/>
    <x v="432"/>
    <x v="216"/>
    <x v="771"/>
    <x v="566"/>
    <x v="3"/>
    <x v="2"/>
    <x v="284"/>
    <x v="0"/>
  </r>
  <r>
    <x v="209"/>
    <x v="875"/>
    <x v="9"/>
    <x v="71"/>
    <x v="717"/>
    <x v="38"/>
    <x v="1"/>
    <x v="0"/>
    <x v="6"/>
    <x v="1"/>
    <x v="0"/>
    <x v="391"/>
    <x v="2"/>
    <x v="1"/>
    <x v="285"/>
    <x v="430"/>
    <x v="204"/>
    <x v="760"/>
    <x v="563"/>
    <x v="3"/>
    <x v="2"/>
    <x v="282"/>
    <x v="0"/>
  </r>
  <r>
    <x v="208"/>
    <x v="832"/>
    <x v="9"/>
    <x v="71"/>
    <x v="775"/>
    <x v="97"/>
    <x v="1"/>
    <x v="0"/>
    <x v="6"/>
    <x v="1"/>
    <x v="0"/>
    <x v="466"/>
    <x v="2"/>
    <x v="1"/>
    <x v="217"/>
    <x v="166"/>
    <x v="384"/>
    <x v="794"/>
    <x v="570"/>
    <x v="3"/>
    <x v="2"/>
    <x v="271"/>
    <x v="0"/>
  </r>
  <r>
    <x v="207"/>
    <x v="810"/>
    <x v="9"/>
    <x v="71"/>
    <x v="744"/>
    <x v="65"/>
    <x v="1"/>
    <x v="0"/>
    <x v="4"/>
    <x v="1"/>
    <x v="0"/>
    <x v="209"/>
    <x v="2"/>
    <x v="1"/>
    <x v="304"/>
    <x v="87"/>
    <x v="408"/>
    <x v="835"/>
    <x v="619"/>
    <x v="3"/>
    <x v="2"/>
    <x v="268"/>
    <x v="0"/>
  </r>
  <r>
    <x v="206"/>
    <x v="809"/>
    <x v="9"/>
    <x v="71"/>
    <x v="696"/>
    <x v="17"/>
    <x v="1"/>
    <x v="0"/>
    <x v="9"/>
    <x v="1"/>
    <x v="0"/>
    <x v="517"/>
    <x v="2"/>
    <x v="1"/>
    <x v="127"/>
    <x v="192"/>
    <x v="181"/>
    <x v="746"/>
    <x v="540"/>
    <x v="3"/>
    <x v="2"/>
    <x v="268"/>
    <x v="0"/>
  </r>
  <r>
    <x v="205"/>
    <x v="800"/>
    <x v="9"/>
    <x v="71"/>
    <x v="729"/>
    <x v="50"/>
    <x v="1"/>
    <x v="0"/>
    <x v="0"/>
    <x v="1"/>
    <x v="0"/>
    <x v="455"/>
    <x v="1"/>
    <x v="1"/>
    <x v="331"/>
    <x v="377"/>
    <x v="266"/>
    <x v="858"/>
    <x v="675"/>
    <x v="3"/>
    <x v="2"/>
    <x v="267"/>
    <x v="0"/>
  </r>
  <r>
    <x v="204"/>
    <x v="805"/>
    <x v="9"/>
    <x v="71"/>
    <x v="779"/>
    <x v="101"/>
    <x v="1"/>
    <x v="0"/>
    <x v="5"/>
    <x v="1"/>
    <x v="0"/>
    <x v="193"/>
    <x v="1"/>
    <x v="1"/>
    <x v="150"/>
    <x v="367"/>
    <x v="223"/>
    <x v="786"/>
    <x v="585"/>
    <x v="3"/>
    <x v="2"/>
    <x v="267"/>
    <x v="0"/>
  </r>
  <r>
    <x v="203"/>
    <x v="803"/>
    <x v="9"/>
    <x v="71"/>
    <x v="771"/>
    <x v="92"/>
    <x v="1"/>
    <x v="0"/>
    <x v="8"/>
    <x v="1"/>
    <x v="0"/>
    <x v="362"/>
    <x v="2"/>
    <x v="1"/>
    <x v="292"/>
    <x v="78"/>
    <x v="308"/>
    <x v="833"/>
    <x v="640"/>
    <x v="3"/>
    <x v="2"/>
    <x v="267"/>
    <x v="0"/>
  </r>
  <r>
    <x v="202"/>
    <x v="806"/>
    <x v="9"/>
    <x v="71"/>
    <x v="792"/>
    <x v="114"/>
    <x v="1"/>
    <x v="0"/>
    <x v="3"/>
    <x v="1"/>
    <x v="0"/>
    <x v="347"/>
    <x v="0"/>
    <x v="2"/>
    <x v="449"/>
    <x v="311"/>
    <x v="47"/>
    <x v="735"/>
    <x v="531"/>
    <x v="3"/>
    <x v="2"/>
    <x v="267"/>
    <x v="0"/>
  </r>
  <r>
    <x v="201"/>
    <x v="801"/>
    <x v="9"/>
    <x v="71"/>
    <x v="748"/>
    <x v="69"/>
    <x v="1"/>
    <x v="0"/>
    <x v="8"/>
    <x v="1"/>
    <x v="0"/>
    <x v="353"/>
    <x v="2"/>
    <x v="1"/>
    <x v="287"/>
    <x v="129"/>
    <x v="314"/>
    <x v="841"/>
    <x v="646"/>
    <x v="3"/>
    <x v="2"/>
    <x v="267"/>
    <x v="0"/>
  </r>
  <r>
    <x v="200"/>
    <x v="804"/>
    <x v="9"/>
    <x v="71"/>
    <x v="774"/>
    <x v="95"/>
    <x v="1"/>
    <x v="0"/>
    <x v="3"/>
    <x v="1"/>
    <x v="0"/>
    <x v="262"/>
    <x v="2"/>
    <x v="1"/>
    <x v="367"/>
    <x v="127"/>
    <x v="411"/>
    <x v="790"/>
    <x v="561"/>
    <x v="3"/>
    <x v="2"/>
    <x v="267"/>
    <x v="0"/>
  </r>
  <r>
    <x v="199"/>
    <x v="802"/>
    <x v="9"/>
    <x v="71"/>
    <x v="769"/>
    <x v="90"/>
    <x v="1"/>
    <x v="0"/>
    <x v="6"/>
    <x v="1"/>
    <x v="0"/>
    <x v="401"/>
    <x v="2"/>
    <x v="1"/>
    <x v="282"/>
    <x v="66"/>
    <x v="305"/>
    <x v="818"/>
    <x v="624"/>
    <x v="3"/>
    <x v="2"/>
    <x v="267"/>
    <x v="0"/>
  </r>
  <r>
    <x v="198"/>
    <x v="798"/>
    <x v="9"/>
    <x v="71"/>
    <x v="692"/>
    <x v="13"/>
    <x v="1"/>
    <x v="0"/>
    <x v="3"/>
    <x v="1"/>
    <x v="0"/>
    <x v="522"/>
    <x v="2"/>
    <x v="1"/>
    <x v="67"/>
    <x v="27"/>
    <x v="372"/>
    <x v="777"/>
    <x v="548"/>
    <x v="3"/>
    <x v="2"/>
    <x v="267"/>
    <x v="0"/>
  </r>
  <r>
    <x v="197"/>
    <x v="799"/>
    <x v="9"/>
    <x v="71"/>
    <x v="722"/>
    <x v="43"/>
    <x v="1"/>
    <x v="0"/>
    <x v="3"/>
    <x v="1"/>
    <x v="0"/>
    <x v="459"/>
    <x v="2"/>
    <x v="1"/>
    <x v="212"/>
    <x v="135"/>
    <x v="319"/>
    <x v="810"/>
    <x v="611"/>
    <x v="3"/>
    <x v="2"/>
    <x v="267"/>
    <x v="0"/>
  </r>
  <r>
    <x v="196"/>
    <x v="795"/>
    <x v="9"/>
    <x v="71"/>
    <x v="700"/>
    <x v="21"/>
    <x v="2"/>
    <x v="0"/>
    <x v="1"/>
    <x v="1"/>
    <x v="0"/>
    <x v="532"/>
    <x v="0"/>
    <x v="2"/>
    <x v="50"/>
    <x v="337"/>
    <x v="81"/>
    <x v="737"/>
    <x v="541"/>
    <x v="3"/>
    <x v="2"/>
    <x v="265"/>
    <x v="0"/>
  </r>
  <r>
    <x v="195"/>
    <x v="785"/>
    <x v="9"/>
    <x v="71"/>
    <x v="705"/>
    <x v="26"/>
    <x v="1"/>
    <x v="0"/>
    <x v="2"/>
    <x v="1"/>
    <x v="0"/>
    <x v="403"/>
    <x v="0"/>
    <x v="0"/>
    <x v="203"/>
    <x v="188"/>
    <x v="14"/>
    <x v="752"/>
    <x v="586"/>
    <x v="3"/>
    <x v="2"/>
    <x v="263"/>
    <x v="0"/>
  </r>
  <r>
    <x v="194"/>
    <x v="786"/>
    <x v="9"/>
    <x v="71"/>
    <x v="710"/>
    <x v="31"/>
    <x v="1"/>
    <x v="0"/>
    <x v="1"/>
    <x v="1"/>
    <x v="0"/>
    <x v="161"/>
    <x v="2"/>
    <x v="1"/>
    <x v="206"/>
    <x v="365"/>
    <x v="159"/>
    <x v="741"/>
    <x v="537"/>
    <x v="3"/>
    <x v="2"/>
    <x v="263"/>
    <x v="0"/>
  </r>
  <r>
    <x v="193"/>
    <x v="787"/>
    <x v="9"/>
    <x v="71"/>
    <x v="786"/>
    <x v="108"/>
    <x v="1"/>
    <x v="0"/>
    <x v="2"/>
    <x v="1"/>
    <x v="0"/>
    <x v="372"/>
    <x v="2"/>
    <x v="1"/>
    <x v="381"/>
    <x v="175"/>
    <x v="295"/>
    <x v="823"/>
    <x v="629"/>
    <x v="3"/>
    <x v="2"/>
    <x v="263"/>
    <x v="0"/>
  </r>
  <r>
    <x v="192"/>
    <x v="744"/>
    <x v="9"/>
    <x v="71"/>
    <x v="719"/>
    <x v="40"/>
    <x v="1"/>
    <x v="0"/>
    <x v="6"/>
    <x v="1"/>
    <x v="0"/>
    <x v="0"/>
    <x v="2"/>
    <x v="1"/>
    <x v="236"/>
    <x v="85"/>
    <x v="472"/>
    <x v="856"/>
    <x v="642"/>
    <x v="3"/>
    <x v="2"/>
    <x v="257"/>
    <x v="0"/>
  </r>
  <r>
    <x v="191"/>
    <x v="745"/>
    <x v="9"/>
    <x v="71"/>
    <x v="806"/>
    <x v="128"/>
    <x v="1"/>
    <x v="0"/>
    <x v="5"/>
    <x v="1"/>
    <x v="0"/>
    <x v="182"/>
    <x v="0"/>
    <x v="0"/>
    <x v="569"/>
    <x v="303"/>
    <x v="7"/>
    <x v="768"/>
    <x v="596"/>
    <x v="3"/>
    <x v="2"/>
    <x v="257"/>
    <x v="0"/>
  </r>
  <r>
    <x v="190"/>
    <x v="728"/>
    <x v="9"/>
    <x v="71"/>
    <x v="810"/>
    <x v="134"/>
    <x v="1"/>
    <x v="0"/>
    <x v="12"/>
    <x v="1"/>
    <x v="0"/>
    <x v="64"/>
    <x v="2"/>
    <x v="1"/>
    <x v="485"/>
    <x v="336"/>
    <x v="358"/>
    <x v="762"/>
    <x v="543"/>
    <x v="3"/>
    <x v="2"/>
    <x v="254"/>
    <x v="0"/>
  </r>
  <r>
    <x v="189"/>
    <x v="719"/>
    <x v="9"/>
    <x v="71"/>
    <x v="738"/>
    <x v="59"/>
    <x v="2"/>
    <x v="0"/>
    <x v="1"/>
    <x v="1"/>
    <x v="0"/>
    <x v="229"/>
    <x v="2"/>
    <x v="1"/>
    <x v="340"/>
    <x v="107"/>
    <x v="421"/>
    <x v="869"/>
    <x v="674"/>
    <x v="3"/>
    <x v="2"/>
    <x v="253"/>
    <x v="0"/>
  </r>
  <r>
    <x v="188"/>
    <x v="720"/>
    <x v="9"/>
    <x v="71"/>
    <x v="772"/>
    <x v="93"/>
    <x v="1"/>
    <x v="0"/>
    <x v="8"/>
    <x v="1"/>
    <x v="0"/>
    <x v="453"/>
    <x v="2"/>
    <x v="1"/>
    <x v="287"/>
    <x v="155"/>
    <x v="306"/>
    <x v="842"/>
    <x v="647"/>
    <x v="3"/>
    <x v="2"/>
    <x v="253"/>
    <x v="0"/>
  </r>
  <r>
    <x v="187"/>
    <x v="718"/>
    <x v="9"/>
    <x v="71"/>
    <x v="701"/>
    <x v="22"/>
    <x v="1"/>
    <x v="0"/>
    <x v="2"/>
    <x v="1"/>
    <x v="0"/>
    <x v="418"/>
    <x v="2"/>
    <x v="1"/>
    <x v="154"/>
    <x v="48"/>
    <x v="191"/>
    <x v="877"/>
    <x v="712"/>
    <x v="3"/>
    <x v="2"/>
    <x v="253"/>
    <x v="0"/>
  </r>
  <r>
    <x v="186"/>
    <x v="698"/>
    <x v="9"/>
    <x v="71"/>
    <x v="805"/>
    <x v="127"/>
    <x v="1"/>
    <x v="0"/>
    <x v="4"/>
    <x v="1"/>
    <x v="0"/>
    <x v="71"/>
    <x v="2"/>
    <x v="1"/>
    <x v="466"/>
    <x v="223"/>
    <x v="315"/>
    <x v="769"/>
    <x v="551"/>
    <x v="3"/>
    <x v="2"/>
    <x v="248"/>
    <x v="0"/>
  </r>
  <r>
    <x v="185"/>
    <x v="654"/>
    <x v="9"/>
    <x v="71"/>
    <x v="804"/>
    <x v="126"/>
    <x v="1"/>
    <x v="0"/>
    <x v="3"/>
    <x v="1"/>
    <x v="0"/>
    <x v="39"/>
    <x v="2"/>
    <x v="1"/>
    <x v="469"/>
    <x v="208"/>
    <x v="318"/>
    <x v="799"/>
    <x v="594"/>
    <x v="3"/>
    <x v="2"/>
    <x v="238"/>
    <x v="0"/>
  </r>
  <r>
    <x v="184"/>
    <x v="656"/>
    <x v="9"/>
    <x v="71"/>
    <x v="809"/>
    <x v="131"/>
    <x v="1"/>
    <x v="0"/>
    <x v="3"/>
    <x v="1"/>
    <x v="0"/>
    <x v="115"/>
    <x v="2"/>
    <x v="1"/>
    <x v="522"/>
    <x v="264"/>
    <x v="258"/>
    <x v="757"/>
    <x v="550"/>
    <x v="3"/>
    <x v="2"/>
    <x v="238"/>
    <x v="0"/>
  </r>
  <r>
    <x v="183"/>
    <x v="653"/>
    <x v="9"/>
    <x v="71"/>
    <x v="803"/>
    <x v="125"/>
    <x v="1"/>
    <x v="0"/>
    <x v="1"/>
    <x v="1"/>
    <x v="0"/>
    <x v="39"/>
    <x v="2"/>
    <x v="1"/>
    <x v="477"/>
    <x v="218"/>
    <x v="304"/>
    <x v="800"/>
    <x v="597"/>
    <x v="3"/>
    <x v="2"/>
    <x v="238"/>
    <x v="0"/>
  </r>
  <r>
    <x v="182"/>
    <x v="652"/>
    <x v="9"/>
    <x v="71"/>
    <x v="802"/>
    <x v="124"/>
    <x v="1"/>
    <x v="0"/>
    <x v="11"/>
    <x v="1"/>
    <x v="0"/>
    <x v="32"/>
    <x v="2"/>
    <x v="1"/>
    <x v="483"/>
    <x v="215"/>
    <x v="188"/>
    <x v="755"/>
    <x v="557"/>
    <x v="3"/>
    <x v="2"/>
    <x v="238"/>
    <x v="0"/>
  </r>
  <r>
    <x v="181"/>
    <x v="643"/>
    <x v="9"/>
    <x v="71"/>
    <x v="788"/>
    <x v="110"/>
    <x v="1"/>
    <x v="0"/>
    <x v="3"/>
    <x v="1"/>
    <x v="0"/>
    <x v="105"/>
    <x v="2"/>
    <x v="1"/>
    <x v="380"/>
    <x v="177"/>
    <x v="206"/>
    <x v="792"/>
    <x v="590"/>
    <x v="3"/>
    <x v="2"/>
    <x v="238"/>
    <x v="0"/>
  </r>
  <r>
    <x v="180"/>
    <x v="644"/>
    <x v="9"/>
    <x v="71"/>
    <x v="790"/>
    <x v="112"/>
    <x v="1"/>
    <x v="0"/>
    <x v="11"/>
    <x v="1"/>
    <x v="0"/>
    <x v="110"/>
    <x v="2"/>
    <x v="1"/>
    <x v="427"/>
    <x v="178"/>
    <x v="350"/>
    <x v="825"/>
    <x v="621"/>
    <x v="3"/>
    <x v="2"/>
    <x v="238"/>
    <x v="0"/>
  </r>
  <r>
    <x v="179"/>
    <x v="645"/>
    <x v="9"/>
    <x v="71"/>
    <x v="791"/>
    <x v="113"/>
    <x v="1"/>
    <x v="0"/>
    <x v="1"/>
    <x v="1"/>
    <x v="0"/>
    <x v="334"/>
    <x v="2"/>
    <x v="1"/>
    <x v="385"/>
    <x v="139"/>
    <x v="334"/>
    <x v="834"/>
    <x v="635"/>
    <x v="3"/>
    <x v="2"/>
    <x v="238"/>
    <x v="0"/>
  </r>
  <r>
    <x v="178"/>
    <x v="646"/>
    <x v="9"/>
    <x v="71"/>
    <x v="793"/>
    <x v="115"/>
    <x v="1"/>
    <x v="0"/>
    <x v="4"/>
    <x v="1"/>
    <x v="0"/>
    <x v="185"/>
    <x v="2"/>
    <x v="1"/>
    <x v="370"/>
    <x v="196"/>
    <x v="413"/>
    <x v="857"/>
    <x v="648"/>
    <x v="3"/>
    <x v="2"/>
    <x v="238"/>
    <x v="0"/>
  </r>
  <r>
    <x v="177"/>
    <x v="647"/>
    <x v="9"/>
    <x v="71"/>
    <x v="794"/>
    <x v="116"/>
    <x v="1"/>
    <x v="0"/>
    <x v="3"/>
    <x v="1"/>
    <x v="0"/>
    <x v="266"/>
    <x v="1"/>
    <x v="1"/>
    <x v="188"/>
    <x v="198"/>
    <x v="124"/>
    <x v="751"/>
    <x v="553"/>
    <x v="3"/>
    <x v="2"/>
    <x v="238"/>
    <x v="0"/>
  </r>
  <r>
    <x v="176"/>
    <x v="655"/>
    <x v="9"/>
    <x v="71"/>
    <x v="807"/>
    <x v="129"/>
    <x v="1"/>
    <x v="0"/>
    <x v="7"/>
    <x v="1"/>
    <x v="0"/>
    <x v="68"/>
    <x v="2"/>
    <x v="1"/>
    <x v="394"/>
    <x v="243"/>
    <x v="170"/>
    <x v="753"/>
    <x v="554"/>
    <x v="3"/>
    <x v="2"/>
    <x v="238"/>
    <x v="0"/>
  </r>
  <r>
    <x v="175"/>
    <x v="651"/>
    <x v="9"/>
    <x v="71"/>
    <x v="801"/>
    <x v="123"/>
    <x v="1"/>
    <x v="0"/>
    <x v="10"/>
    <x v="1"/>
    <x v="0"/>
    <x v="8"/>
    <x v="2"/>
    <x v="1"/>
    <x v="471"/>
    <x v="216"/>
    <x v="162"/>
    <x v="778"/>
    <x v="584"/>
    <x v="3"/>
    <x v="2"/>
    <x v="238"/>
    <x v="0"/>
  </r>
  <r>
    <x v="174"/>
    <x v="650"/>
    <x v="9"/>
    <x v="71"/>
    <x v="800"/>
    <x v="122"/>
    <x v="1"/>
    <x v="0"/>
    <x v="12"/>
    <x v="1"/>
    <x v="0"/>
    <x v="80"/>
    <x v="2"/>
    <x v="1"/>
    <x v="433"/>
    <x v="211"/>
    <x v="169"/>
    <x v="770"/>
    <x v="573"/>
    <x v="3"/>
    <x v="2"/>
    <x v="238"/>
    <x v="0"/>
  </r>
  <r>
    <x v="173"/>
    <x v="649"/>
    <x v="9"/>
    <x v="71"/>
    <x v="799"/>
    <x v="121"/>
    <x v="1"/>
    <x v="0"/>
    <x v="10"/>
    <x v="1"/>
    <x v="0"/>
    <x v="138"/>
    <x v="2"/>
    <x v="2"/>
    <x v="470"/>
    <x v="254"/>
    <x v="177"/>
    <x v="772"/>
    <x v="576"/>
    <x v="3"/>
    <x v="2"/>
    <x v="238"/>
    <x v="0"/>
  </r>
  <r>
    <x v="172"/>
    <x v="648"/>
    <x v="9"/>
    <x v="71"/>
    <x v="798"/>
    <x v="120"/>
    <x v="2"/>
    <x v="0"/>
    <x v="6"/>
    <x v="1"/>
    <x v="0"/>
    <x v="22"/>
    <x v="2"/>
    <x v="1"/>
    <x v="472"/>
    <x v="209"/>
    <x v="576"/>
    <x v="859"/>
    <x v="627"/>
    <x v="3"/>
    <x v="2"/>
    <x v="238"/>
    <x v="0"/>
  </r>
  <r>
    <x v="171"/>
    <x v="609"/>
    <x v="9"/>
    <x v="71"/>
    <x v="698"/>
    <x v="19"/>
    <x v="1"/>
    <x v="0"/>
    <x v="1"/>
    <x v="1"/>
    <x v="0"/>
    <x v="393"/>
    <x v="2"/>
    <x v="1"/>
    <x v="144"/>
    <x v="164"/>
    <x v="136"/>
    <x v="828"/>
    <x v="658"/>
    <x v="3"/>
    <x v="2"/>
    <x v="231"/>
    <x v="0"/>
  </r>
  <r>
    <x v="170"/>
    <x v="617"/>
    <x v="9"/>
    <x v="71"/>
    <x v="787"/>
    <x v="109"/>
    <x v="1"/>
    <x v="0"/>
    <x v="2"/>
    <x v="1"/>
    <x v="0"/>
    <x v="61"/>
    <x v="2"/>
    <x v="1"/>
    <x v="238"/>
    <x v="176"/>
    <x v="208"/>
    <x v="793"/>
    <x v="591"/>
    <x v="3"/>
    <x v="2"/>
    <x v="231"/>
    <x v="0"/>
  </r>
  <r>
    <x v="169"/>
    <x v="613"/>
    <x v="9"/>
    <x v="71"/>
    <x v="781"/>
    <x v="103"/>
    <x v="1"/>
    <x v="0"/>
    <x v="1"/>
    <x v="1"/>
    <x v="0"/>
    <x v="236"/>
    <x v="1"/>
    <x v="1"/>
    <x v="365"/>
    <x v="276"/>
    <x v="311"/>
    <x v="775"/>
    <x v="555"/>
    <x v="3"/>
    <x v="2"/>
    <x v="231"/>
    <x v="0"/>
  </r>
  <r>
    <x v="168"/>
    <x v="608"/>
    <x v="9"/>
    <x v="71"/>
    <x v="686"/>
    <x v="7"/>
    <x v="1"/>
    <x v="0"/>
    <x v="1"/>
    <x v="1"/>
    <x v="0"/>
    <x v="479"/>
    <x v="2"/>
    <x v="1"/>
    <x v="52"/>
    <x v="23"/>
    <x v="383"/>
    <x v="759"/>
    <x v="528"/>
    <x v="3"/>
    <x v="2"/>
    <x v="231"/>
    <x v="0"/>
  </r>
  <r>
    <x v="167"/>
    <x v="612"/>
    <x v="9"/>
    <x v="71"/>
    <x v="778"/>
    <x v="100"/>
    <x v="1"/>
    <x v="0"/>
    <x v="2"/>
    <x v="1"/>
    <x v="0"/>
    <x v="315"/>
    <x v="2"/>
    <x v="1"/>
    <x v="379"/>
    <x v="167"/>
    <x v="242"/>
    <x v="780"/>
    <x v="577"/>
    <x v="3"/>
    <x v="2"/>
    <x v="231"/>
    <x v="0"/>
  </r>
  <r>
    <x v="166"/>
    <x v="611"/>
    <x v="9"/>
    <x v="71"/>
    <x v="776"/>
    <x v="98"/>
    <x v="1"/>
    <x v="0"/>
    <x v="7"/>
    <x v="1"/>
    <x v="0"/>
    <x v="175"/>
    <x v="2"/>
    <x v="1"/>
    <x v="288"/>
    <x v="74"/>
    <x v="290"/>
    <x v="847"/>
    <x v="661"/>
    <x v="3"/>
    <x v="2"/>
    <x v="231"/>
    <x v="0"/>
  </r>
  <r>
    <x v="165"/>
    <x v="616"/>
    <x v="9"/>
    <x v="71"/>
    <x v="785"/>
    <x v="107"/>
    <x v="1"/>
    <x v="0"/>
    <x v="1"/>
    <x v="1"/>
    <x v="0"/>
    <x v="127"/>
    <x v="2"/>
    <x v="1"/>
    <x v="399"/>
    <x v="153"/>
    <x v="148"/>
    <x v="796"/>
    <x v="600"/>
    <x v="3"/>
    <x v="2"/>
    <x v="231"/>
    <x v="0"/>
  </r>
  <r>
    <x v="164"/>
    <x v="614"/>
    <x v="9"/>
    <x v="71"/>
    <x v="783"/>
    <x v="105"/>
    <x v="1"/>
    <x v="0"/>
    <x v="3"/>
    <x v="1"/>
    <x v="0"/>
    <x v="163"/>
    <x v="2"/>
    <x v="1"/>
    <x v="396"/>
    <x v="169"/>
    <x v="138"/>
    <x v="774"/>
    <x v="581"/>
    <x v="3"/>
    <x v="2"/>
    <x v="231"/>
    <x v="0"/>
  </r>
  <r>
    <x v="163"/>
    <x v="615"/>
    <x v="9"/>
    <x v="71"/>
    <x v="784"/>
    <x v="106"/>
    <x v="1"/>
    <x v="0"/>
    <x v="7"/>
    <x v="1"/>
    <x v="0"/>
    <x v="54"/>
    <x v="2"/>
    <x v="1"/>
    <x v="395"/>
    <x v="170"/>
    <x v="155"/>
    <x v="758"/>
    <x v="565"/>
    <x v="3"/>
    <x v="2"/>
    <x v="231"/>
    <x v="0"/>
  </r>
  <r>
    <x v="162"/>
    <x v="610"/>
    <x v="9"/>
    <x v="71"/>
    <x v="723"/>
    <x v="44"/>
    <x v="1"/>
    <x v="0"/>
    <x v="2"/>
    <x v="1"/>
    <x v="0"/>
    <x v="38"/>
    <x v="2"/>
    <x v="1"/>
    <x v="218"/>
    <x v="93"/>
    <x v="244"/>
    <x v="745"/>
    <x v="529"/>
    <x v="3"/>
    <x v="2"/>
    <x v="231"/>
    <x v="0"/>
  </r>
  <r>
    <x v="161"/>
    <x v="572"/>
    <x v="9"/>
    <x v="71"/>
    <x v="808"/>
    <x v="130"/>
    <x v="1"/>
    <x v="0"/>
    <x v="5"/>
    <x v="1"/>
    <x v="0"/>
    <x v="61"/>
    <x v="0"/>
    <x v="0"/>
    <x v="576"/>
    <x v="272"/>
    <x v="6"/>
    <x v="767"/>
    <x v="595"/>
    <x v="3"/>
    <x v="2"/>
    <x v="215"/>
    <x v="0"/>
  </r>
  <r>
    <x v="160"/>
    <x v="571"/>
    <x v="9"/>
    <x v="71"/>
    <x v="739"/>
    <x v="60"/>
    <x v="1"/>
    <x v="0"/>
    <x v="1"/>
    <x v="1"/>
    <x v="0"/>
    <x v="502"/>
    <x v="2"/>
    <x v="1"/>
    <x v="317"/>
    <x v="94"/>
    <x v="508"/>
    <x v="863"/>
    <x v="649"/>
    <x v="3"/>
    <x v="2"/>
    <x v="214"/>
    <x v="0"/>
  </r>
  <r>
    <x v="159"/>
    <x v="564"/>
    <x v="9"/>
    <x v="71"/>
    <x v="714"/>
    <x v="35"/>
    <x v="1"/>
    <x v="0"/>
    <x v="6"/>
    <x v="1"/>
    <x v="0"/>
    <x v="321"/>
    <x v="2"/>
    <x v="1"/>
    <x v="266"/>
    <x v="267"/>
    <x v="230"/>
    <x v="763"/>
    <x v="559"/>
    <x v="3"/>
    <x v="2"/>
    <x v="211"/>
    <x v="0"/>
  </r>
  <r>
    <x v="158"/>
    <x v="565"/>
    <x v="9"/>
    <x v="71"/>
    <x v="773"/>
    <x v="94"/>
    <x v="1"/>
    <x v="0"/>
    <x v="3"/>
    <x v="1"/>
    <x v="0"/>
    <x v="81"/>
    <x v="1"/>
    <x v="1"/>
    <x v="270"/>
    <x v="268"/>
    <x v="215"/>
    <x v="782"/>
    <x v="582"/>
    <x v="3"/>
    <x v="2"/>
    <x v="211"/>
    <x v="0"/>
  </r>
  <r>
    <x v="157"/>
    <x v="562"/>
    <x v="9"/>
    <x v="71"/>
    <x v="699"/>
    <x v="20"/>
    <x v="1"/>
    <x v="0"/>
    <x v="5"/>
    <x v="1"/>
    <x v="0"/>
    <x v="8"/>
    <x v="1"/>
    <x v="1"/>
    <x v="153"/>
    <x v="266"/>
    <x v="228"/>
    <x v="783"/>
    <x v="579"/>
    <x v="3"/>
    <x v="2"/>
    <x v="211"/>
    <x v="0"/>
  </r>
  <r>
    <x v="156"/>
    <x v="563"/>
    <x v="9"/>
    <x v="71"/>
    <x v="711"/>
    <x v="32"/>
    <x v="1"/>
    <x v="0"/>
    <x v="3"/>
    <x v="1"/>
    <x v="0"/>
    <x v="50"/>
    <x v="2"/>
    <x v="1"/>
    <x v="265"/>
    <x v="266"/>
    <x v="219"/>
    <x v="785"/>
    <x v="583"/>
    <x v="3"/>
    <x v="2"/>
    <x v="211"/>
    <x v="0"/>
  </r>
  <r>
    <x v="155"/>
    <x v="493"/>
    <x v="9"/>
    <x v="71"/>
    <x v="764"/>
    <x v="85"/>
    <x v="2"/>
    <x v="0"/>
    <x v="2"/>
    <x v="1"/>
    <x v="0"/>
    <x v="497"/>
    <x v="2"/>
    <x v="1"/>
    <x v="213"/>
    <x v="145"/>
    <x v="111"/>
    <x v="742"/>
    <x v="546"/>
    <x v="3"/>
    <x v="2"/>
    <x v="193"/>
    <x v="0"/>
  </r>
  <r>
    <x v="154"/>
    <x v="469"/>
    <x v="9"/>
    <x v="71"/>
    <x v="703"/>
    <x v="24"/>
    <x v="1"/>
    <x v="0"/>
    <x v="4"/>
    <x v="1"/>
    <x v="0"/>
    <x v="468"/>
    <x v="2"/>
    <x v="1"/>
    <x v="155"/>
    <x v="433"/>
    <x v="100"/>
    <x v="740"/>
    <x v="547"/>
    <x v="3"/>
    <x v="2"/>
    <x v="186"/>
    <x v="0"/>
  </r>
  <r>
    <x v="153"/>
    <x v="446"/>
    <x v="9"/>
    <x v="71"/>
    <x v="681"/>
    <x v="2"/>
    <x v="1"/>
    <x v="0"/>
    <x v="3"/>
    <x v="1"/>
    <x v="0"/>
    <x v="480"/>
    <x v="1"/>
    <x v="1"/>
    <x v="57"/>
    <x v="229"/>
    <x v="313"/>
    <x v="743"/>
    <x v="523"/>
    <x v="3"/>
    <x v="2"/>
    <x v="181"/>
    <x v="0"/>
  </r>
  <r>
    <x v="152"/>
    <x v="453"/>
    <x v="9"/>
    <x v="71"/>
    <x v="796"/>
    <x v="118"/>
    <x v="1"/>
    <x v="0"/>
    <x v="9"/>
    <x v="1"/>
    <x v="0"/>
    <x v="172"/>
    <x v="2"/>
    <x v="1"/>
    <x v="441"/>
    <x v="181"/>
    <x v="193"/>
    <x v="839"/>
    <x v="664"/>
    <x v="3"/>
    <x v="2"/>
    <x v="181"/>
    <x v="0"/>
  </r>
  <r>
    <x v="151"/>
    <x v="450"/>
    <x v="9"/>
    <x v="71"/>
    <x v="740"/>
    <x v="61"/>
    <x v="1"/>
    <x v="0"/>
    <x v="6"/>
    <x v="1"/>
    <x v="0"/>
    <x v="342"/>
    <x v="2"/>
    <x v="1"/>
    <x v="330"/>
    <x v="102"/>
    <x v="288"/>
    <x v="854"/>
    <x v="669"/>
    <x v="3"/>
    <x v="2"/>
    <x v="181"/>
    <x v="0"/>
  </r>
  <r>
    <x v="150"/>
    <x v="451"/>
    <x v="9"/>
    <x v="71"/>
    <x v="746"/>
    <x v="67"/>
    <x v="1"/>
    <x v="0"/>
    <x v="6"/>
    <x v="1"/>
    <x v="0"/>
    <x v="203"/>
    <x v="2"/>
    <x v="1"/>
    <x v="320"/>
    <x v="96"/>
    <x v="301"/>
    <x v="855"/>
    <x v="671"/>
    <x v="3"/>
    <x v="2"/>
    <x v="181"/>
    <x v="0"/>
  </r>
  <r>
    <x v="149"/>
    <x v="449"/>
    <x v="9"/>
    <x v="71"/>
    <x v="709"/>
    <x v="30"/>
    <x v="1"/>
    <x v="0"/>
    <x v="8"/>
    <x v="1"/>
    <x v="0"/>
    <x v="281"/>
    <x v="1"/>
    <x v="1"/>
    <x v="211"/>
    <x v="228"/>
    <x v="326"/>
    <x v="748"/>
    <x v="527"/>
    <x v="3"/>
    <x v="2"/>
    <x v="181"/>
    <x v="0"/>
  </r>
  <r>
    <x v="148"/>
    <x v="447"/>
    <x v="9"/>
    <x v="71"/>
    <x v="697"/>
    <x v="18"/>
    <x v="1"/>
    <x v="0"/>
    <x v="2"/>
    <x v="1"/>
    <x v="0"/>
    <x v="341"/>
    <x v="2"/>
    <x v="1"/>
    <x v="77"/>
    <x v="49"/>
    <x v="214"/>
    <x v="849"/>
    <x v="672"/>
    <x v="3"/>
    <x v="2"/>
    <x v="181"/>
    <x v="0"/>
  </r>
  <r>
    <x v="147"/>
    <x v="448"/>
    <x v="9"/>
    <x v="71"/>
    <x v="706"/>
    <x v="27"/>
    <x v="1"/>
    <x v="0"/>
    <x v="8"/>
    <x v="1"/>
    <x v="0"/>
    <x v="336"/>
    <x v="1"/>
    <x v="1"/>
    <x v="210"/>
    <x v="228"/>
    <x v="329"/>
    <x v="749"/>
    <x v="526"/>
    <x v="3"/>
    <x v="2"/>
    <x v="181"/>
    <x v="0"/>
  </r>
  <r>
    <x v="146"/>
    <x v="452"/>
    <x v="9"/>
    <x v="71"/>
    <x v="777"/>
    <x v="99"/>
    <x v="1"/>
    <x v="0"/>
    <x v="0"/>
    <x v="1"/>
    <x v="0"/>
    <x v="343"/>
    <x v="2"/>
    <x v="1"/>
    <x v="316"/>
    <x v="92"/>
    <x v="249"/>
    <x v="864"/>
    <x v="679"/>
    <x v="3"/>
    <x v="2"/>
    <x v="181"/>
    <x v="0"/>
  </r>
  <r>
    <x v="145"/>
    <x v="436"/>
    <x v="9"/>
    <x v="71"/>
    <x v="754"/>
    <x v="75"/>
    <x v="1"/>
    <x v="0"/>
    <x v="5"/>
    <x v="1"/>
    <x v="0"/>
    <x v="386"/>
    <x v="2"/>
    <x v="1"/>
    <x v="283"/>
    <x v="132"/>
    <x v="281"/>
    <x v="821"/>
    <x v="630"/>
    <x v="3"/>
    <x v="2"/>
    <x v="175"/>
    <x v="0"/>
  </r>
  <r>
    <x v="144"/>
    <x v="439"/>
    <x v="9"/>
    <x v="71"/>
    <x v="767"/>
    <x v="88"/>
    <x v="1"/>
    <x v="0"/>
    <x v="4"/>
    <x v="1"/>
    <x v="0"/>
    <x v="287"/>
    <x v="2"/>
    <x v="1"/>
    <x v="335"/>
    <x v="105"/>
    <x v="172"/>
    <x v="872"/>
    <x v="694"/>
    <x v="3"/>
    <x v="2"/>
    <x v="175"/>
    <x v="0"/>
  </r>
  <r>
    <x v="143"/>
    <x v="433"/>
    <x v="9"/>
    <x v="71"/>
    <x v="707"/>
    <x v="28"/>
    <x v="2"/>
    <x v="0"/>
    <x v="3"/>
    <x v="1"/>
    <x v="0"/>
    <x v="439"/>
    <x v="2"/>
    <x v="1"/>
    <x v="147"/>
    <x v="57"/>
    <x v="521"/>
    <x v="851"/>
    <x v="618"/>
    <x v="3"/>
    <x v="2"/>
    <x v="175"/>
    <x v="0"/>
  </r>
  <r>
    <x v="142"/>
    <x v="438"/>
    <x v="9"/>
    <x v="71"/>
    <x v="760"/>
    <x v="81"/>
    <x v="1"/>
    <x v="0"/>
    <x v="6"/>
    <x v="1"/>
    <x v="0"/>
    <x v="510"/>
    <x v="2"/>
    <x v="1"/>
    <x v="290"/>
    <x v="75"/>
    <x v="310"/>
    <x v="827"/>
    <x v="633"/>
    <x v="3"/>
    <x v="2"/>
    <x v="175"/>
    <x v="0"/>
  </r>
  <r>
    <x v="141"/>
    <x v="437"/>
    <x v="9"/>
    <x v="71"/>
    <x v="758"/>
    <x v="79"/>
    <x v="1"/>
    <x v="0"/>
    <x v="10"/>
    <x v="1"/>
    <x v="0"/>
    <x v="323"/>
    <x v="2"/>
    <x v="1"/>
    <x v="261"/>
    <x v="134"/>
    <x v="351"/>
    <x v="838"/>
    <x v="636"/>
    <x v="3"/>
    <x v="2"/>
    <x v="175"/>
    <x v="0"/>
  </r>
  <r>
    <x v="140"/>
    <x v="435"/>
    <x v="9"/>
    <x v="71"/>
    <x v="747"/>
    <x v="68"/>
    <x v="1"/>
    <x v="0"/>
    <x v="6"/>
    <x v="1"/>
    <x v="0"/>
    <x v="383"/>
    <x v="2"/>
    <x v="1"/>
    <x v="287"/>
    <x v="73"/>
    <x v="333"/>
    <x v="826"/>
    <x v="625"/>
    <x v="3"/>
    <x v="2"/>
    <x v="175"/>
    <x v="0"/>
  </r>
  <r>
    <x v="139"/>
    <x v="434"/>
    <x v="9"/>
    <x v="71"/>
    <x v="727"/>
    <x v="48"/>
    <x v="1"/>
    <x v="0"/>
    <x v="2"/>
    <x v="1"/>
    <x v="0"/>
    <x v="344"/>
    <x v="2"/>
    <x v="1"/>
    <x v="312"/>
    <x v="98"/>
    <x v="187"/>
    <x v="873"/>
    <x v="695"/>
    <x v="3"/>
    <x v="2"/>
    <x v="175"/>
    <x v="0"/>
  </r>
  <r>
    <x v="138"/>
    <x v="431"/>
    <x v="9"/>
    <x v="71"/>
    <x v="731"/>
    <x v="52"/>
    <x v="1"/>
    <x v="0"/>
    <x v="0"/>
    <x v="1"/>
    <x v="0"/>
    <x v="433"/>
    <x v="2"/>
    <x v="1"/>
    <x v="18"/>
    <x v="118"/>
    <x v="362"/>
    <x v="816"/>
    <x v="612"/>
    <x v="3"/>
    <x v="2"/>
    <x v="173"/>
    <x v="0"/>
  </r>
  <r>
    <x v="137"/>
    <x v="430"/>
    <x v="9"/>
    <x v="71"/>
    <x v="789"/>
    <x v="111"/>
    <x v="1"/>
    <x v="0"/>
    <x v="1"/>
    <x v="1"/>
    <x v="0"/>
    <x v="290"/>
    <x v="2"/>
    <x v="1"/>
    <x v="393"/>
    <x v="146"/>
    <x v="141"/>
    <x v="871"/>
    <x v="691"/>
    <x v="3"/>
    <x v="2"/>
    <x v="172"/>
    <x v="0"/>
  </r>
  <r>
    <x v="136"/>
    <x v="428"/>
    <x v="9"/>
    <x v="71"/>
    <x v="749"/>
    <x v="70"/>
    <x v="1"/>
    <x v="0"/>
    <x v="8"/>
    <x v="1"/>
    <x v="0"/>
    <x v="174"/>
    <x v="2"/>
    <x v="1"/>
    <x v="321"/>
    <x v="97"/>
    <x v="272"/>
    <x v="850"/>
    <x v="665"/>
    <x v="3"/>
    <x v="2"/>
    <x v="172"/>
    <x v="0"/>
  </r>
  <r>
    <x v="135"/>
    <x v="427"/>
    <x v="9"/>
    <x v="71"/>
    <x v="689"/>
    <x v="10"/>
    <x v="1"/>
    <x v="0"/>
    <x v="2"/>
    <x v="1"/>
    <x v="0"/>
    <x v="526"/>
    <x v="2"/>
    <x v="1"/>
    <x v="76"/>
    <x v="207"/>
    <x v="336"/>
    <x v="807"/>
    <x v="601"/>
    <x v="3"/>
    <x v="2"/>
    <x v="172"/>
    <x v="0"/>
  </r>
  <r>
    <x v="134"/>
    <x v="429"/>
    <x v="9"/>
    <x v="71"/>
    <x v="762"/>
    <x v="83"/>
    <x v="1"/>
    <x v="0"/>
    <x v="5"/>
    <x v="1"/>
    <x v="0"/>
    <x v="271"/>
    <x v="2"/>
    <x v="1"/>
    <x v="236"/>
    <x v="55"/>
    <x v="375"/>
    <x v="824"/>
    <x v="615"/>
    <x v="3"/>
    <x v="2"/>
    <x v="172"/>
    <x v="0"/>
  </r>
  <r>
    <x v="133"/>
    <x v="421"/>
    <x v="9"/>
    <x v="71"/>
    <x v="753"/>
    <x v="74"/>
    <x v="1"/>
    <x v="0"/>
    <x v="5"/>
    <x v="1"/>
    <x v="0"/>
    <x v="331"/>
    <x v="2"/>
    <x v="1"/>
    <x v="281"/>
    <x v="65"/>
    <x v="282"/>
    <x v="815"/>
    <x v="620"/>
    <x v="3"/>
    <x v="2"/>
    <x v="170"/>
    <x v="0"/>
  </r>
  <r>
    <x v="132"/>
    <x v="419"/>
    <x v="9"/>
    <x v="71"/>
    <x v="743"/>
    <x v="64"/>
    <x v="1"/>
    <x v="0"/>
    <x v="7"/>
    <x v="1"/>
    <x v="0"/>
    <x v="117"/>
    <x v="2"/>
    <x v="1"/>
    <x v="356"/>
    <x v="210"/>
    <x v="186"/>
    <x v="764"/>
    <x v="567"/>
    <x v="3"/>
    <x v="2"/>
    <x v="170"/>
    <x v="0"/>
  </r>
  <r>
    <x v="131"/>
    <x v="422"/>
    <x v="9"/>
    <x v="71"/>
    <x v="763"/>
    <x v="84"/>
    <x v="1"/>
    <x v="0"/>
    <x v="1"/>
    <x v="1"/>
    <x v="0"/>
    <x v="273"/>
    <x v="2"/>
    <x v="1"/>
    <x v="366"/>
    <x v="144"/>
    <x v="331"/>
    <x v="781"/>
    <x v="564"/>
    <x v="3"/>
    <x v="2"/>
    <x v="170"/>
    <x v="0"/>
  </r>
  <r>
    <x v="130"/>
    <x v="420"/>
    <x v="9"/>
    <x v="71"/>
    <x v="750"/>
    <x v="71"/>
    <x v="1"/>
    <x v="0"/>
    <x v="8"/>
    <x v="1"/>
    <x v="0"/>
    <x v="123"/>
    <x v="2"/>
    <x v="1"/>
    <x v="329"/>
    <x v="101"/>
    <x v="263"/>
    <x v="843"/>
    <x v="653"/>
    <x v="3"/>
    <x v="2"/>
    <x v="170"/>
    <x v="0"/>
  </r>
  <r>
    <x v="129"/>
    <x v="415"/>
    <x v="9"/>
    <x v="71"/>
    <x v="695"/>
    <x v="16"/>
    <x v="1"/>
    <x v="0"/>
    <x v="0"/>
    <x v="1"/>
    <x v="0"/>
    <x v="436"/>
    <x v="2"/>
    <x v="1"/>
    <x v="16"/>
    <x v="8"/>
    <x v="276"/>
    <x v="846"/>
    <x v="656"/>
    <x v="3"/>
    <x v="2"/>
    <x v="169"/>
    <x v="0"/>
  </r>
  <r>
    <x v="128"/>
    <x v="418"/>
    <x v="9"/>
    <x v="71"/>
    <x v="797"/>
    <x v="119"/>
    <x v="1"/>
    <x v="0"/>
    <x v="5"/>
    <x v="1"/>
    <x v="0"/>
    <x v="264"/>
    <x v="2"/>
    <x v="1"/>
    <x v="442"/>
    <x v="182"/>
    <x v="192"/>
    <x v="848"/>
    <x v="673"/>
    <x v="3"/>
    <x v="2"/>
    <x v="169"/>
    <x v="0"/>
  </r>
  <r>
    <x v="127"/>
    <x v="416"/>
    <x v="9"/>
    <x v="71"/>
    <x v="736"/>
    <x v="57"/>
    <x v="1"/>
    <x v="0"/>
    <x v="3"/>
    <x v="1"/>
    <x v="0"/>
    <x v="279"/>
    <x v="2"/>
    <x v="1"/>
    <x v="289"/>
    <x v="124"/>
    <x v="131"/>
    <x v="797"/>
    <x v="605"/>
    <x v="3"/>
    <x v="2"/>
    <x v="169"/>
    <x v="0"/>
  </r>
  <r>
    <x v="126"/>
    <x v="417"/>
    <x v="9"/>
    <x v="71"/>
    <x v="745"/>
    <x v="66"/>
    <x v="1"/>
    <x v="0"/>
    <x v="4"/>
    <x v="1"/>
    <x v="0"/>
    <x v="435"/>
    <x v="2"/>
    <x v="1"/>
    <x v="302"/>
    <x v="84"/>
    <x v="460"/>
    <x v="817"/>
    <x v="602"/>
    <x v="3"/>
    <x v="2"/>
    <x v="169"/>
    <x v="0"/>
  </r>
  <r>
    <x v="125"/>
    <x v="401"/>
    <x v="9"/>
    <x v="71"/>
    <x v="742"/>
    <x v="63"/>
    <x v="1"/>
    <x v="0"/>
    <x v="1"/>
    <x v="1"/>
    <x v="0"/>
    <x v="473"/>
    <x v="2"/>
    <x v="1"/>
    <x v="332"/>
    <x v="103"/>
    <x v="458"/>
    <x v="845"/>
    <x v="626"/>
    <x v="3"/>
    <x v="2"/>
    <x v="163"/>
    <x v="0"/>
  </r>
  <r>
    <x v="124"/>
    <x v="395"/>
    <x v="9"/>
    <x v="71"/>
    <x v="684"/>
    <x v="5"/>
    <x v="1"/>
    <x v="0"/>
    <x v="1"/>
    <x v="1"/>
    <x v="0"/>
    <x v="396"/>
    <x v="2"/>
    <x v="1"/>
    <x v="53"/>
    <x v="202"/>
    <x v="299"/>
    <x v="806"/>
    <x v="603"/>
    <x v="3"/>
    <x v="2"/>
    <x v="161"/>
    <x v="0"/>
  </r>
  <r>
    <x v="123"/>
    <x v="397"/>
    <x v="9"/>
    <x v="71"/>
    <x v="795"/>
    <x v="117"/>
    <x v="1"/>
    <x v="0"/>
    <x v="3"/>
    <x v="1"/>
    <x v="0"/>
    <x v="176"/>
    <x v="2"/>
    <x v="1"/>
    <x v="428"/>
    <x v="174"/>
    <x v="132"/>
    <x v="798"/>
    <x v="606"/>
    <x v="3"/>
    <x v="2"/>
    <x v="161"/>
    <x v="0"/>
  </r>
  <r>
    <x v="122"/>
    <x v="396"/>
    <x v="9"/>
    <x v="71"/>
    <x v="730"/>
    <x v="51"/>
    <x v="1"/>
    <x v="0"/>
    <x v="4"/>
    <x v="1"/>
    <x v="0"/>
    <x v="524"/>
    <x v="2"/>
    <x v="1"/>
    <x v="259"/>
    <x v="168"/>
    <x v="335"/>
    <x v="813"/>
    <x v="613"/>
    <x v="3"/>
    <x v="2"/>
    <x v="161"/>
    <x v="0"/>
  </r>
  <r>
    <x v="121"/>
    <x v="366"/>
    <x v="9"/>
    <x v="71"/>
    <x v="770"/>
    <x v="91"/>
    <x v="1"/>
    <x v="0"/>
    <x v="6"/>
    <x v="1"/>
    <x v="0"/>
    <x v="305"/>
    <x v="2"/>
    <x v="1"/>
    <x v="294"/>
    <x v="79"/>
    <x v="293"/>
    <x v="831"/>
    <x v="639"/>
    <x v="3"/>
    <x v="2"/>
    <x v="153"/>
    <x v="0"/>
  </r>
  <r>
    <x v="120"/>
    <x v="365"/>
    <x v="9"/>
    <x v="71"/>
    <x v="708"/>
    <x v="29"/>
    <x v="1"/>
    <x v="0"/>
    <x v="8"/>
    <x v="1"/>
    <x v="0"/>
    <x v="324"/>
    <x v="2"/>
    <x v="1"/>
    <x v="156"/>
    <x v="191"/>
    <x v="153"/>
    <x v="739"/>
    <x v="532"/>
    <x v="3"/>
    <x v="2"/>
    <x v="153"/>
    <x v="0"/>
  </r>
  <r>
    <x v="119"/>
    <x v="357"/>
    <x v="9"/>
    <x v="71"/>
    <x v="1"/>
    <x v="96"/>
    <x v="1"/>
    <x v="0"/>
    <x v="2"/>
    <x v="1"/>
    <x v="0"/>
    <x v="60"/>
    <x v="2"/>
    <x v="1"/>
    <x v="1"/>
    <x v="0"/>
    <x v="111"/>
    <x v="876"/>
    <x v="703"/>
    <x v="0"/>
    <x v="0"/>
    <x v="147"/>
    <x v="0"/>
  </r>
  <r>
    <x v="118"/>
    <x v="353"/>
    <x v="9"/>
    <x v="71"/>
    <x v="761"/>
    <x v="82"/>
    <x v="1"/>
    <x v="0"/>
    <x v="5"/>
    <x v="1"/>
    <x v="0"/>
    <x v="195"/>
    <x v="2"/>
    <x v="1"/>
    <x v="293"/>
    <x v="133"/>
    <x v="274"/>
    <x v="830"/>
    <x v="641"/>
    <x v="3"/>
    <x v="2"/>
    <x v="144"/>
    <x v="0"/>
  </r>
  <r>
    <x v="117"/>
    <x v="351"/>
    <x v="9"/>
    <x v="71"/>
    <x v="735"/>
    <x v="56"/>
    <x v="1"/>
    <x v="0"/>
    <x v="3"/>
    <x v="1"/>
    <x v="0"/>
    <x v="333"/>
    <x v="2"/>
    <x v="1"/>
    <x v="87"/>
    <x v="122"/>
    <x v="257"/>
    <x v="829"/>
    <x v="644"/>
    <x v="3"/>
    <x v="2"/>
    <x v="144"/>
    <x v="0"/>
  </r>
  <r>
    <x v="116"/>
    <x v="352"/>
    <x v="9"/>
    <x v="71"/>
    <x v="755"/>
    <x v="76"/>
    <x v="1"/>
    <x v="0"/>
    <x v="5"/>
    <x v="1"/>
    <x v="0"/>
    <x v="152"/>
    <x v="2"/>
    <x v="1"/>
    <x v="326"/>
    <x v="99"/>
    <x v="291"/>
    <x v="822"/>
    <x v="631"/>
    <x v="3"/>
    <x v="2"/>
    <x v="144"/>
    <x v="0"/>
  </r>
  <r>
    <x v="115"/>
    <x v="350"/>
    <x v="9"/>
    <x v="71"/>
    <x v="715"/>
    <x v="36"/>
    <x v="1"/>
    <x v="0"/>
    <x v="13"/>
    <x v="1"/>
    <x v="0"/>
    <x v="238"/>
    <x v="2"/>
    <x v="1"/>
    <x v="202"/>
    <x v="187"/>
    <x v="332"/>
    <x v="756"/>
    <x v="539"/>
    <x v="3"/>
    <x v="2"/>
    <x v="144"/>
    <x v="0"/>
  </r>
  <r>
    <x v="114"/>
    <x v="309"/>
    <x v="9"/>
    <x v="71"/>
    <x v="691"/>
    <x v="12"/>
    <x v="1"/>
    <x v="0"/>
    <x v="2"/>
    <x v="1"/>
    <x v="0"/>
    <x v="516"/>
    <x v="2"/>
    <x v="1"/>
    <x v="66"/>
    <x v="37"/>
    <x v="355"/>
    <x v="808"/>
    <x v="598"/>
    <x v="3"/>
    <x v="2"/>
    <x v="137"/>
    <x v="0"/>
  </r>
  <r>
    <x v="113"/>
    <x v="310"/>
    <x v="9"/>
    <x v="71"/>
    <x v="725"/>
    <x v="46"/>
    <x v="1"/>
    <x v="0"/>
    <x v="1"/>
    <x v="1"/>
    <x v="0"/>
    <x v="254"/>
    <x v="2"/>
    <x v="1"/>
    <x v="235"/>
    <x v="100"/>
    <x v="245"/>
    <x v="795"/>
    <x v="589"/>
    <x v="3"/>
    <x v="2"/>
    <x v="137"/>
    <x v="0"/>
  </r>
  <r>
    <x v="112"/>
    <x v="306"/>
    <x v="9"/>
    <x v="71"/>
    <x v="680"/>
    <x v="1"/>
    <x v="1"/>
    <x v="0"/>
    <x v="1"/>
    <x v="1"/>
    <x v="0"/>
    <x v="515"/>
    <x v="2"/>
    <x v="1"/>
    <x v="49"/>
    <x v="20"/>
    <x v="232"/>
    <x v="840"/>
    <x v="657"/>
    <x v="3"/>
    <x v="2"/>
    <x v="137"/>
    <x v="0"/>
  </r>
  <r>
    <x v="111"/>
    <x v="305"/>
    <x v="9"/>
    <x v="71"/>
    <x v="4"/>
    <x v="16"/>
    <x v="1"/>
    <x v="0"/>
    <x v="1"/>
    <x v="1"/>
    <x v="0"/>
    <x v="436"/>
    <x v="2"/>
    <x v="1"/>
    <x v="2"/>
    <x v="1"/>
    <x v="276"/>
    <x v="846"/>
    <x v="656"/>
    <x v="1"/>
    <x v="1"/>
    <x v="137"/>
    <x v="0"/>
  </r>
  <r>
    <x v="110"/>
    <x v="314"/>
    <x v="9"/>
    <x v="71"/>
    <x v="766"/>
    <x v="87"/>
    <x v="1"/>
    <x v="0"/>
    <x v="2"/>
    <x v="1"/>
    <x v="0"/>
    <x v="257"/>
    <x v="2"/>
    <x v="1"/>
    <x v="262"/>
    <x v="63"/>
    <x v="210"/>
    <x v="879"/>
    <x v="721"/>
    <x v="3"/>
    <x v="2"/>
    <x v="137"/>
    <x v="0"/>
  </r>
  <r>
    <x v="109"/>
    <x v="313"/>
    <x v="9"/>
    <x v="71"/>
    <x v="765"/>
    <x v="86"/>
    <x v="1"/>
    <x v="0"/>
    <x v="2"/>
    <x v="1"/>
    <x v="0"/>
    <x v="243"/>
    <x v="2"/>
    <x v="1"/>
    <x v="149"/>
    <x v="149"/>
    <x v="109"/>
    <x v="747"/>
    <x v="552"/>
    <x v="3"/>
    <x v="2"/>
    <x v="137"/>
    <x v="0"/>
  </r>
  <r>
    <x v="108"/>
    <x v="312"/>
    <x v="9"/>
    <x v="71"/>
    <x v="733"/>
    <x v="54"/>
    <x v="1"/>
    <x v="0"/>
    <x v="1"/>
    <x v="1"/>
    <x v="0"/>
    <x v="475"/>
    <x v="2"/>
    <x v="1"/>
    <x v="17"/>
    <x v="120"/>
    <x v="122"/>
    <x v="738"/>
    <x v="530"/>
    <x v="3"/>
    <x v="2"/>
    <x v="137"/>
    <x v="0"/>
  </r>
  <r>
    <x v="107"/>
    <x v="307"/>
    <x v="9"/>
    <x v="71"/>
    <x v="685"/>
    <x v="6"/>
    <x v="1"/>
    <x v="0"/>
    <x v="1"/>
    <x v="1"/>
    <x v="0"/>
    <x v="441"/>
    <x v="2"/>
    <x v="1"/>
    <x v="54"/>
    <x v="183"/>
    <x v="330"/>
    <x v="802"/>
    <x v="599"/>
    <x v="3"/>
    <x v="2"/>
    <x v="137"/>
    <x v="0"/>
  </r>
  <r>
    <x v="106"/>
    <x v="308"/>
    <x v="9"/>
    <x v="71"/>
    <x v="688"/>
    <x v="9"/>
    <x v="1"/>
    <x v="0"/>
    <x v="1"/>
    <x v="1"/>
    <x v="0"/>
    <x v="445"/>
    <x v="1"/>
    <x v="1"/>
    <x v="71"/>
    <x v="184"/>
    <x v="349"/>
    <x v="809"/>
    <x v="604"/>
    <x v="3"/>
    <x v="2"/>
    <x v="137"/>
    <x v="0"/>
  </r>
  <r>
    <x v="105"/>
    <x v="311"/>
    <x v="9"/>
    <x v="71"/>
    <x v="726"/>
    <x v="47"/>
    <x v="1"/>
    <x v="0"/>
    <x v="2"/>
    <x v="1"/>
    <x v="0"/>
    <x v="350"/>
    <x v="2"/>
    <x v="1"/>
    <x v="168"/>
    <x v="51"/>
    <x v="221"/>
    <x v="878"/>
    <x v="718"/>
    <x v="3"/>
    <x v="2"/>
    <x v="137"/>
    <x v="0"/>
  </r>
  <r>
    <x v="104"/>
    <x v="295"/>
    <x v="9"/>
    <x v="71"/>
    <x v="690"/>
    <x v="11"/>
    <x v="1"/>
    <x v="0"/>
    <x v="1"/>
    <x v="1"/>
    <x v="0"/>
    <x v="489"/>
    <x v="2"/>
    <x v="1"/>
    <x v="70"/>
    <x v="47"/>
    <x v="391"/>
    <x v="820"/>
    <x v="610"/>
    <x v="3"/>
    <x v="2"/>
    <x v="132"/>
    <x v="0"/>
  </r>
  <r>
    <x v="103"/>
    <x v="298"/>
    <x v="9"/>
    <x v="71"/>
    <x v="782"/>
    <x v="104"/>
    <x v="1"/>
    <x v="0"/>
    <x v="1"/>
    <x v="1"/>
    <x v="0"/>
    <x v="206"/>
    <x v="2"/>
    <x v="1"/>
    <x v="383"/>
    <x v="137"/>
    <x v="268"/>
    <x v="844"/>
    <x v="654"/>
    <x v="3"/>
    <x v="2"/>
    <x v="132"/>
    <x v="0"/>
  </r>
  <r>
    <x v="102"/>
    <x v="297"/>
    <x v="9"/>
    <x v="71"/>
    <x v="780"/>
    <x v="102"/>
    <x v="1"/>
    <x v="0"/>
    <x v="1"/>
    <x v="1"/>
    <x v="0"/>
    <x v="129"/>
    <x v="2"/>
    <x v="1"/>
    <x v="384"/>
    <x v="138"/>
    <x v="289"/>
    <x v="852"/>
    <x v="668"/>
    <x v="3"/>
    <x v="2"/>
    <x v="132"/>
    <x v="0"/>
  </r>
  <r>
    <x v="101"/>
    <x v="296"/>
    <x v="9"/>
    <x v="71"/>
    <x v="693"/>
    <x v="14"/>
    <x v="1"/>
    <x v="0"/>
    <x v="1"/>
    <x v="1"/>
    <x v="0"/>
    <x v="368"/>
    <x v="2"/>
    <x v="1"/>
    <x v="75"/>
    <x v="32"/>
    <x v="296"/>
    <x v="814"/>
    <x v="616"/>
    <x v="3"/>
    <x v="2"/>
    <x v="132"/>
    <x v="0"/>
  </r>
  <r>
    <x v="100"/>
    <x v="291"/>
    <x v="9"/>
    <x v="71"/>
    <x v="721"/>
    <x v="42"/>
    <x v="1"/>
    <x v="0"/>
    <x v="10"/>
    <x v="1"/>
    <x v="0"/>
    <x v="470"/>
    <x v="2"/>
    <x v="1"/>
    <x v="196"/>
    <x v="100"/>
    <x v="343"/>
    <x v="789"/>
    <x v="568"/>
    <x v="3"/>
    <x v="2"/>
    <x v="129"/>
    <x v="0"/>
  </r>
  <r>
    <x v="99"/>
    <x v="286"/>
    <x v="9"/>
    <x v="71"/>
    <x v="751"/>
    <x v="72"/>
    <x v="1"/>
    <x v="0"/>
    <x v="7"/>
    <x v="1"/>
    <x v="0"/>
    <x v="167"/>
    <x v="2"/>
    <x v="1"/>
    <x v="327"/>
    <x v="131"/>
    <x v="307"/>
    <x v="836"/>
    <x v="643"/>
    <x v="3"/>
    <x v="2"/>
    <x v="126"/>
    <x v="0"/>
  </r>
  <r>
    <x v="98"/>
    <x v="287"/>
    <x v="9"/>
    <x v="71"/>
    <x v="752"/>
    <x v="73"/>
    <x v="1"/>
    <x v="0"/>
    <x v="4"/>
    <x v="1"/>
    <x v="0"/>
    <x v="299"/>
    <x v="2"/>
    <x v="1"/>
    <x v="278"/>
    <x v="64"/>
    <x v="278"/>
    <x v="812"/>
    <x v="614"/>
    <x v="3"/>
    <x v="2"/>
    <x v="126"/>
    <x v="0"/>
  </r>
  <r>
    <x v="97"/>
    <x v="288"/>
    <x v="9"/>
    <x v="71"/>
    <x v="757"/>
    <x v="78"/>
    <x v="1"/>
    <x v="0"/>
    <x v="5"/>
    <x v="1"/>
    <x v="0"/>
    <x v="248"/>
    <x v="2"/>
    <x v="1"/>
    <x v="284"/>
    <x v="67"/>
    <x v="287"/>
    <x v="819"/>
    <x v="628"/>
    <x v="3"/>
    <x v="2"/>
    <x v="126"/>
    <x v="0"/>
  </r>
  <r>
    <x v="96"/>
    <x v="283"/>
    <x v="9"/>
    <x v="71"/>
    <x v="741"/>
    <x v="62"/>
    <x v="1"/>
    <x v="0"/>
    <x v="7"/>
    <x v="1"/>
    <x v="0"/>
    <x v="201"/>
    <x v="2"/>
    <x v="1"/>
    <x v="303"/>
    <x v="86"/>
    <x v="404"/>
    <x v="853"/>
    <x v="645"/>
    <x v="3"/>
    <x v="2"/>
    <x v="124"/>
    <x v="0"/>
  </r>
  <r>
    <x v="95"/>
    <x v="284"/>
    <x v="9"/>
    <x v="71"/>
    <x v="756"/>
    <x v="77"/>
    <x v="1"/>
    <x v="0"/>
    <x v="2"/>
    <x v="1"/>
    <x v="0"/>
    <x v="245"/>
    <x v="2"/>
    <x v="1"/>
    <x v="334"/>
    <x v="104"/>
    <x v="205"/>
    <x v="874"/>
    <x v="696"/>
    <x v="3"/>
    <x v="2"/>
    <x v="124"/>
    <x v="0"/>
  </r>
  <r>
    <x v="94"/>
    <x v="275"/>
    <x v="9"/>
    <x v="71"/>
    <x v="704"/>
    <x v="25"/>
    <x v="1"/>
    <x v="0"/>
    <x v="3"/>
    <x v="1"/>
    <x v="0"/>
    <x v="387"/>
    <x v="2"/>
    <x v="1"/>
    <x v="148"/>
    <x v="57"/>
    <x v="564"/>
    <x v="862"/>
    <x v="634"/>
    <x v="3"/>
    <x v="2"/>
    <x v="118"/>
    <x v="0"/>
  </r>
  <r>
    <x v="93"/>
    <x v="265"/>
    <x v="9"/>
    <x v="71"/>
    <x v="759"/>
    <x v="80"/>
    <x v="1"/>
    <x v="0"/>
    <x v="5"/>
    <x v="1"/>
    <x v="0"/>
    <x v="8"/>
    <x v="2"/>
    <x v="1"/>
    <x v="322"/>
    <x v="136"/>
    <x v="315"/>
    <x v="832"/>
    <x v="637"/>
    <x v="3"/>
    <x v="2"/>
    <x v="112"/>
    <x v="0"/>
  </r>
  <r>
    <x v="92"/>
    <x v="264"/>
    <x v="9"/>
    <x v="71"/>
    <x v="720"/>
    <x v="41"/>
    <x v="1"/>
    <x v="0"/>
    <x v="10"/>
    <x v="1"/>
    <x v="0"/>
    <x v="460"/>
    <x v="2"/>
    <x v="1"/>
    <x v="196"/>
    <x v="100"/>
    <x v="344"/>
    <x v="784"/>
    <x v="560"/>
    <x v="3"/>
    <x v="2"/>
    <x v="112"/>
    <x v="0"/>
  </r>
  <r>
    <x v="91"/>
    <x v="266"/>
    <x v="9"/>
    <x v="71"/>
    <x v="768"/>
    <x v="89"/>
    <x v="1"/>
    <x v="0"/>
    <x v="5"/>
    <x v="1"/>
    <x v="0"/>
    <x v="52"/>
    <x v="2"/>
    <x v="1"/>
    <x v="368"/>
    <x v="151"/>
    <x v="145"/>
    <x v="765"/>
    <x v="572"/>
    <x v="3"/>
    <x v="2"/>
    <x v="112"/>
    <x v="0"/>
  </r>
  <r>
    <x v="90"/>
    <x v="250"/>
    <x v="9"/>
    <x v="71"/>
    <x v="716"/>
    <x v="37"/>
    <x v="1"/>
    <x v="0"/>
    <x v="10"/>
    <x v="1"/>
    <x v="0"/>
    <x v="219"/>
    <x v="2"/>
    <x v="1"/>
    <x v="217"/>
    <x v="80"/>
    <x v="294"/>
    <x v="754"/>
    <x v="538"/>
    <x v="3"/>
    <x v="2"/>
    <x v="107"/>
    <x v="0"/>
  </r>
  <r>
    <x v="89"/>
    <x v="240"/>
    <x v="9"/>
    <x v="71"/>
    <x v="734"/>
    <x v="55"/>
    <x v="1"/>
    <x v="0"/>
    <x v="4"/>
    <x v="1"/>
    <x v="0"/>
    <x v="329"/>
    <x v="2"/>
    <x v="1"/>
    <x v="318"/>
    <x v="121"/>
    <x v="364"/>
    <x v="837"/>
    <x v="632"/>
    <x v="3"/>
    <x v="2"/>
    <x v="103"/>
    <x v="0"/>
  </r>
  <r>
    <x v="88"/>
    <x v="239"/>
    <x v="9"/>
    <x v="71"/>
    <x v="728"/>
    <x v="49"/>
    <x v="1"/>
    <x v="0"/>
    <x v="5"/>
    <x v="1"/>
    <x v="0"/>
    <x v="241"/>
    <x v="2"/>
    <x v="1"/>
    <x v="151"/>
    <x v="106"/>
    <x v="134"/>
    <x v="766"/>
    <x v="575"/>
    <x v="3"/>
    <x v="2"/>
    <x v="103"/>
    <x v="0"/>
  </r>
  <r>
    <x v="87"/>
    <x v="241"/>
    <x v="9"/>
    <x v="71"/>
    <x v="737"/>
    <x v="58"/>
    <x v="1"/>
    <x v="0"/>
    <x v="2"/>
    <x v="1"/>
    <x v="0"/>
    <x v="0"/>
    <x v="2"/>
    <x v="1"/>
    <x v="213"/>
    <x v="140"/>
    <x v="83"/>
    <x v="736"/>
    <x v="536"/>
    <x v="3"/>
    <x v="2"/>
    <x v="103"/>
    <x v="0"/>
  </r>
  <r>
    <x v="86"/>
    <x v="238"/>
    <x v="9"/>
    <x v="71"/>
    <x v="724"/>
    <x v="45"/>
    <x v="1"/>
    <x v="0"/>
    <x v="4"/>
    <x v="1"/>
    <x v="0"/>
    <x v="131"/>
    <x v="2"/>
    <x v="1"/>
    <x v="231"/>
    <x v="91"/>
    <x v="265"/>
    <x v="773"/>
    <x v="562"/>
    <x v="3"/>
    <x v="2"/>
    <x v="103"/>
    <x v="0"/>
  </r>
  <r>
    <x v="85"/>
    <x v="237"/>
    <x v="9"/>
    <x v="71"/>
    <x v="718"/>
    <x v="39"/>
    <x v="1"/>
    <x v="0"/>
    <x v="13"/>
    <x v="1"/>
    <x v="0"/>
    <x v="49"/>
    <x v="2"/>
    <x v="1"/>
    <x v="224"/>
    <x v="203"/>
    <x v="312"/>
    <x v="761"/>
    <x v="549"/>
    <x v="3"/>
    <x v="2"/>
    <x v="103"/>
    <x v="0"/>
  </r>
  <r>
    <x v="84"/>
    <x v="219"/>
    <x v="9"/>
    <x v="71"/>
    <x v="687"/>
    <x v="8"/>
    <x v="1"/>
    <x v="0"/>
    <x v="3"/>
    <x v="1"/>
    <x v="0"/>
    <x v="385"/>
    <x v="2"/>
    <x v="1"/>
    <x v="65"/>
    <x v="30"/>
    <x v="338"/>
    <x v="787"/>
    <x v="569"/>
    <x v="3"/>
    <x v="2"/>
    <x v="97"/>
    <x v="0"/>
  </r>
  <r>
    <x v="83"/>
    <x v="155"/>
    <x v="9"/>
    <x v="71"/>
    <x v="683"/>
    <x v="4"/>
    <x v="1"/>
    <x v="0"/>
    <x v="1"/>
    <x v="1"/>
    <x v="0"/>
    <x v="511"/>
    <x v="2"/>
    <x v="1"/>
    <x v="56"/>
    <x v="21"/>
    <x v="340"/>
    <x v="791"/>
    <x v="580"/>
    <x v="3"/>
    <x v="2"/>
    <x v="74"/>
    <x v="0"/>
  </r>
  <r>
    <x v="82"/>
    <x v="132"/>
    <x v="9"/>
    <x v="71"/>
    <x v="682"/>
    <x v="3"/>
    <x v="1"/>
    <x v="0"/>
    <x v="1"/>
    <x v="1"/>
    <x v="0"/>
    <x v="351"/>
    <x v="2"/>
    <x v="1"/>
    <x v="55"/>
    <x v="22"/>
    <x v="259"/>
    <x v="750"/>
    <x v="534"/>
    <x v="3"/>
    <x v="2"/>
    <x v="69"/>
    <x v="0"/>
  </r>
  <r>
    <x v="81"/>
    <x v="80"/>
    <x v="9"/>
    <x v="71"/>
    <x v="694"/>
    <x v="15"/>
    <x v="1"/>
    <x v="0"/>
    <x v="4"/>
    <x v="1"/>
    <x v="0"/>
    <x v="160"/>
    <x v="2"/>
    <x v="1"/>
    <x v="118"/>
    <x v="44"/>
    <x v="337"/>
    <x v="811"/>
    <x v="608"/>
    <x v="3"/>
    <x v="2"/>
    <x v="49"/>
    <x v="0"/>
  </r>
  <r>
    <x v="80"/>
    <x v="52"/>
    <x v="9"/>
    <x v="71"/>
    <x v="2"/>
    <x v="10"/>
    <x v="1"/>
    <x v="0"/>
    <x v="2"/>
    <x v="1"/>
    <x v="0"/>
    <x v="332"/>
    <x v="2"/>
    <x v="1"/>
    <x v="3"/>
    <x v="35"/>
    <x v="336"/>
    <x v="807"/>
    <x v="601"/>
    <x v="1"/>
    <x v="2"/>
    <x v="37"/>
    <x v="0"/>
  </r>
  <r>
    <x v="79"/>
    <x v="41"/>
    <x v="9"/>
    <x v="71"/>
    <x v="3"/>
    <x v="11"/>
    <x v="1"/>
    <x v="0"/>
    <x v="1"/>
    <x v="1"/>
    <x v="0"/>
    <x v="43"/>
    <x v="2"/>
    <x v="1"/>
    <x v="3"/>
    <x v="36"/>
    <x v="391"/>
    <x v="820"/>
    <x v="610"/>
    <x v="1"/>
    <x v="2"/>
    <x v="30"/>
    <x v="0"/>
  </r>
  <r>
    <x v="78"/>
    <x v="3"/>
    <x v="9"/>
    <x v="71"/>
    <x v="0"/>
    <x v="0"/>
    <x v="0"/>
    <x v="0"/>
    <x v="1"/>
    <x v="1"/>
    <x v="0"/>
    <x v="21"/>
    <x v="0"/>
    <x v="2"/>
    <x v="0"/>
    <x v="9"/>
    <x v="3"/>
    <x v="788"/>
    <x v="617"/>
    <x v="0"/>
    <x v="2"/>
    <x v="5"/>
    <x v="0"/>
  </r>
  <r>
    <x v="77"/>
    <x v="888"/>
    <x v="10"/>
    <x v="10"/>
    <x v="814"/>
    <x v="286"/>
    <x v="1"/>
    <x v="0"/>
    <x v="0"/>
    <x v="1"/>
    <x v="0"/>
    <x v="505"/>
    <x v="1"/>
    <x v="1"/>
    <x v="28"/>
    <x v="416"/>
    <x v="398"/>
    <x v="413"/>
    <x v="395"/>
    <x v="3"/>
    <x v="2"/>
    <x v="287"/>
    <x v="0"/>
  </r>
  <r>
    <x v="76"/>
    <x v="883"/>
    <x v="10"/>
    <x v="28"/>
    <x v="852"/>
    <x v="324"/>
    <x v="1"/>
    <x v="0"/>
    <x v="0"/>
    <x v="1"/>
    <x v="0"/>
    <x v="380"/>
    <x v="0"/>
    <x v="2"/>
    <x v="135"/>
    <x v="386"/>
    <x v="368"/>
    <x v="360"/>
    <x v="455"/>
    <x v="3"/>
    <x v="2"/>
    <x v="285"/>
    <x v="0"/>
  </r>
  <r>
    <x v="75"/>
    <x v="861"/>
    <x v="10"/>
    <x v="10"/>
    <x v="818"/>
    <x v="290"/>
    <x v="1"/>
    <x v="0"/>
    <x v="0"/>
    <x v="1"/>
    <x v="0"/>
    <x v="22"/>
    <x v="1"/>
    <x v="1"/>
    <x v="689"/>
    <x v="413"/>
    <x v="379"/>
    <x v="391"/>
    <x v="425"/>
    <x v="3"/>
    <x v="2"/>
    <x v="276"/>
    <x v="0"/>
  </r>
  <r>
    <x v="74"/>
    <x v="863"/>
    <x v="10"/>
    <x v="27"/>
    <x v="831"/>
    <x v="303"/>
    <x v="1"/>
    <x v="0"/>
    <x v="0"/>
    <x v="1"/>
    <x v="0"/>
    <x v="103"/>
    <x v="0"/>
    <x v="1"/>
    <x v="438"/>
    <x v="417"/>
    <x v="385"/>
    <x v="346"/>
    <x v="466"/>
    <x v="3"/>
    <x v="2"/>
    <x v="276"/>
    <x v="0"/>
  </r>
  <r>
    <x v="73"/>
    <x v="862"/>
    <x v="10"/>
    <x v="10"/>
    <x v="826"/>
    <x v="298"/>
    <x v="0"/>
    <x v="0"/>
    <x v="0"/>
    <x v="1"/>
    <x v="0"/>
    <x v="22"/>
    <x v="1"/>
    <x v="1"/>
    <x v="693"/>
    <x v="410"/>
    <x v="418"/>
    <x v="403"/>
    <x v="408"/>
    <x v="3"/>
    <x v="2"/>
    <x v="276"/>
    <x v="0"/>
  </r>
  <r>
    <x v="72"/>
    <x v="859"/>
    <x v="10"/>
    <x v="27"/>
    <x v="838"/>
    <x v="310"/>
    <x v="1"/>
    <x v="0"/>
    <x v="0"/>
    <x v="1"/>
    <x v="0"/>
    <x v="15"/>
    <x v="1"/>
    <x v="1"/>
    <x v="733"/>
    <x v="429"/>
    <x v="423"/>
    <x v="358"/>
    <x v="453"/>
    <x v="3"/>
    <x v="2"/>
    <x v="275"/>
    <x v="0"/>
  </r>
  <r>
    <x v="71"/>
    <x v="855"/>
    <x v="10"/>
    <x v="32"/>
    <x v="858"/>
    <x v="330"/>
    <x v="1"/>
    <x v="0"/>
    <x v="0"/>
    <x v="1"/>
    <x v="0"/>
    <x v="62"/>
    <x v="0"/>
    <x v="2"/>
    <x v="509"/>
    <x v="395"/>
    <x v="426"/>
    <x v="332"/>
    <x v="471"/>
    <x v="3"/>
    <x v="2"/>
    <x v="274"/>
    <x v="0"/>
  </r>
  <r>
    <x v="70"/>
    <x v="853"/>
    <x v="10"/>
    <x v="2"/>
    <x v="812"/>
    <x v="284"/>
    <x v="1"/>
    <x v="0"/>
    <x v="0"/>
    <x v="1"/>
    <x v="0"/>
    <x v="50"/>
    <x v="1"/>
    <x v="1"/>
    <x v="579"/>
    <x v="394"/>
    <x v="541"/>
    <x v="320"/>
    <x v="495"/>
    <x v="3"/>
    <x v="2"/>
    <x v="274"/>
    <x v="0"/>
  </r>
  <r>
    <x v="69"/>
    <x v="854"/>
    <x v="10"/>
    <x v="27"/>
    <x v="848"/>
    <x v="320"/>
    <x v="1"/>
    <x v="0"/>
    <x v="0"/>
    <x v="1"/>
    <x v="0"/>
    <x v="121"/>
    <x v="1"/>
    <x v="1"/>
    <x v="586"/>
    <x v="402"/>
    <x v="479"/>
    <x v="340"/>
    <x v="463"/>
    <x v="3"/>
    <x v="2"/>
    <x v="274"/>
    <x v="0"/>
  </r>
  <r>
    <x v="68"/>
    <x v="833"/>
    <x v="10"/>
    <x v="27"/>
    <x v="833"/>
    <x v="305"/>
    <x v="1"/>
    <x v="0"/>
    <x v="0"/>
    <x v="1"/>
    <x v="0"/>
    <x v="65"/>
    <x v="1"/>
    <x v="2"/>
    <x v="674"/>
    <x v="418"/>
    <x v="425"/>
    <x v="362"/>
    <x v="449"/>
    <x v="3"/>
    <x v="2"/>
    <x v="271"/>
    <x v="0"/>
  </r>
  <r>
    <x v="67"/>
    <x v="781"/>
    <x v="10"/>
    <x v="27"/>
    <x v="827"/>
    <x v="299"/>
    <x v="1"/>
    <x v="0"/>
    <x v="0"/>
    <x v="1"/>
    <x v="0"/>
    <x v="21"/>
    <x v="0"/>
    <x v="1"/>
    <x v="673"/>
    <x v="420"/>
    <x v="407"/>
    <x v="338"/>
    <x v="469"/>
    <x v="3"/>
    <x v="2"/>
    <x v="260"/>
    <x v="0"/>
  </r>
  <r>
    <x v="66"/>
    <x v="773"/>
    <x v="10"/>
    <x v="32"/>
    <x v="857"/>
    <x v="329"/>
    <x v="1"/>
    <x v="0"/>
    <x v="0"/>
    <x v="1"/>
    <x v="0"/>
    <x v="8"/>
    <x v="0"/>
    <x v="2"/>
    <x v="717"/>
    <x v="392"/>
    <x v="419"/>
    <x v="334"/>
    <x v="470"/>
    <x v="3"/>
    <x v="2"/>
    <x v="258"/>
    <x v="0"/>
  </r>
  <r>
    <x v="65"/>
    <x v="733"/>
    <x v="10"/>
    <x v="10"/>
    <x v="825"/>
    <x v="297"/>
    <x v="1"/>
    <x v="0"/>
    <x v="0"/>
    <x v="1"/>
    <x v="0"/>
    <x v="33"/>
    <x v="1"/>
    <x v="2"/>
    <x v="685"/>
    <x v="414"/>
    <x v="414"/>
    <x v="393"/>
    <x v="416"/>
    <x v="3"/>
    <x v="2"/>
    <x v="255"/>
    <x v="0"/>
  </r>
  <r>
    <x v="64"/>
    <x v="734"/>
    <x v="10"/>
    <x v="32"/>
    <x v="854"/>
    <x v="326"/>
    <x v="1"/>
    <x v="0"/>
    <x v="0"/>
    <x v="1"/>
    <x v="0"/>
    <x v="169"/>
    <x v="1"/>
    <x v="1"/>
    <x v="664"/>
    <x v="397"/>
    <x v="399"/>
    <x v="327"/>
    <x v="490"/>
    <x v="3"/>
    <x v="2"/>
    <x v="255"/>
    <x v="0"/>
  </r>
  <r>
    <x v="63"/>
    <x v="721"/>
    <x v="10"/>
    <x v="10"/>
    <x v="824"/>
    <x v="296"/>
    <x v="1"/>
    <x v="0"/>
    <x v="0"/>
    <x v="1"/>
    <x v="0"/>
    <x v="33"/>
    <x v="1"/>
    <x v="1"/>
    <x v="711"/>
    <x v="406"/>
    <x v="449"/>
    <x v="405"/>
    <x v="403"/>
    <x v="3"/>
    <x v="2"/>
    <x v="253"/>
    <x v="0"/>
  </r>
  <r>
    <x v="62"/>
    <x v="701"/>
    <x v="10"/>
    <x v="27"/>
    <x v="837"/>
    <x v="309"/>
    <x v="1"/>
    <x v="0"/>
    <x v="0"/>
    <x v="1"/>
    <x v="0"/>
    <x v="438"/>
    <x v="1"/>
    <x v="1"/>
    <x v="152"/>
    <x v="404"/>
    <x v="455"/>
    <x v="388"/>
    <x v="417"/>
    <x v="3"/>
    <x v="2"/>
    <x v="250"/>
    <x v="0"/>
  </r>
  <r>
    <x v="61"/>
    <x v="688"/>
    <x v="10"/>
    <x v="27"/>
    <x v="828"/>
    <x v="300"/>
    <x v="1"/>
    <x v="0"/>
    <x v="0"/>
    <x v="1"/>
    <x v="0"/>
    <x v="224"/>
    <x v="1"/>
    <x v="1"/>
    <x v="498"/>
    <x v="421"/>
    <x v="434"/>
    <x v="344"/>
    <x v="464"/>
    <x v="3"/>
    <x v="2"/>
    <x v="243"/>
    <x v="0"/>
  </r>
  <r>
    <x v="60"/>
    <x v="666"/>
    <x v="10"/>
    <x v="53"/>
    <x v="864"/>
    <x v="336"/>
    <x v="1"/>
    <x v="0"/>
    <x v="0"/>
    <x v="1"/>
    <x v="0"/>
    <x v="513"/>
    <x v="1"/>
    <x v="1"/>
    <x v="125"/>
    <x v="441"/>
    <x v="582"/>
    <x v="331"/>
    <x v="465"/>
    <x v="3"/>
    <x v="2"/>
    <x v="238"/>
    <x v="0"/>
  </r>
  <r>
    <x v="59"/>
    <x v="641"/>
    <x v="10"/>
    <x v="27"/>
    <x v="832"/>
    <x v="304"/>
    <x v="1"/>
    <x v="0"/>
    <x v="0"/>
    <x v="1"/>
    <x v="0"/>
    <x v="253"/>
    <x v="1"/>
    <x v="2"/>
    <x v="414"/>
    <x v="439"/>
    <x v="475"/>
    <x v="379"/>
    <x v="427"/>
    <x v="3"/>
    <x v="2"/>
    <x v="237"/>
    <x v="0"/>
  </r>
  <r>
    <x v="58"/>
    <x v="633"/>
    <x v="10"/>
    <x v="53"/>
    <x v="860"/>
    <x v="332"/>
    <x v="1"/>
    <x v="0"/>
    <x v="0"/>
    <x v="1"/>
    <x v="0"/>
    <x v="246"/>
    <x v="1"/>
    <x v="1"/>
    <x v="314"/>
    <x v="349"/>
    <x v="622"/>
    <x v="348"/>
    <x v="437"/>
    <x v="3"/>
    <x v="2"/>
    <x v="236"/>
    <x v="0"/>
  </r>
  <r>
    <x v="57"/>
    <x v="634"/>
    <x v="10"/>
    <x v="53"/>
    <x v="865"/>
    <x v="337"/>
    <x v="1"/>
    <x v="0"/>
    <x v="0"/>
    <x v="1"/>
    <x v="0"/>
    <x v="156"/>
    <x v="1"/>
    <x v="1"/>
    <x v="691"/>
    <x v="441"/>
    <x v="631"/>
    <x v="394"/>
    <x v="390"/>
    <x v="3"/>
    <x v="2"/>
    <x v="236"/>
    <x v="0"/>
  </r>
  <r>
    <x v="56"/>
    <x v="620"/>
    <x v="10"/>
    <x v="32"/>
    <x v="855"/>
    <x v="327"/>
    <x v="1"/>
    <x v="0"/>
    <x v="0"/>
    <x v="1"/>
    <x v="0"/>
    <x v="217"/>
    <x v="1"/>
    <x v="1"/>
    <x v="439"/>
    <x v="396"/>
    <x v="393"/>
    <x v="322"/>
    <x v="494"/>
    <x v="3"/>
    <x v="2"/>
    <x v="231"/>
    <x v="0"/>
  </r>
  <r>
    <x v="55"/>
    <x v="607"/>
    <x v="10"/>
    <x v="53"/>
    <x v="861"/>
    <x v="333"/>
    <x v="1"/>
    <x v="0"/>
    <x v="0"/>
    <x v="1"/>
    <x v="0"/>
    <x v="464"/>
    <x v="1"/>
    <x v="1"/>
    <x v="110"/>
    <x v="441"/>
    <x v="577"/>
    <x v="396"/>
    <x v="401"/>
    <x v="3"/>
    <x v="2"/>
    <x v="230"/>
    <x v="0"/>
  </r>
  <r>
    <x v="54"/>
    <x v="593"/>
    <x v="10"/>
    <x v="10"/>
    <x v="823"/>
    <x v="295"/>
    <x v="1"/>
    <x v="0"/>
    <x v="0"/>
    <x v="1"/>
    <x v="0"/>
    <x v="97"/>
    <x v="1"/>
    <x v="1"/>
    <x v="423"/>
    <x v="412"/>
    <x v="409"/>
    <x v="407"/>
    <x v="397"/>
    <x v="3"/>
    <x v="2"/>
    <x v="224"/>
    <x v="0"/>
  </r>
  <r>
    <x v="53"/>
    <x v="592"/>
    <x v="10"/>
    <x v="30"/>
    <x v="853"/>
    <x v="325"/>
    <x v="1"/>
    <x v="0"/>
    <x v="0"/>
    <x v="1"/>
    <x v="0"/>
    <x v="28"/>
    <x v="1"/>
    <x v="1"/>
    <x v="672"/>
    <x v="403"/>
    <x v="515"/>
    <x v="355"/>
    <x v="445"/>
    <x v="3"/>
    <x v="2"/>
    <x v="223"/>
    <x v="0"/>
  </r>
  <r>
    <x v="52"/>
    <x v="591"/>
    <x v="10"/>
    <x v="10"/>
    <x v="816"/>
    <x v="288"/>
    <x v="1"/>
    <x v="0"/>
    <x v="0"/>
    <x v="1"/>
    <x v="0"/>
    <x v="103"/>
    <x v="1"/>
    <x v="1"/>
    <x v="133"/>
    <x v="409"/>
    <x v="422"/>
    <x v="404"/>
    <x v="406"/>
    <x v="3"/>
    <x v="2"/>
    <x v="223"/>
    <x v="0"/>
  </r>
  <r>
    <x v="51"/>
    <x v="586"/>
    <x v="10"/>
    <x v="27"/>
    <x v="834"/>
    <x v="306"/>
    <x v="1"/>
    <x v="0"/>
    <x v="0"/>
    <x v="1"/>
    <x v="0"/>
    <x v="230"/>
    <x v="1"/>
    <x v="1"/>
    <x v="134"/>
    <x v="401"/>
    <x v="467"/>
    <x v="386"/>
    <x v="418"/>
    <x v="3"/>
    <x v="2"/>
    <x v="221"/>
    <x v="0"/>
  </r>
  <r>
    <x v="50"/>
    <x v="582"/>
    <x v="10"/>
    <x v="10"/>
    <x v="822"/>
    <x v="294"/>
    <x v="2"/>
    <x v="0"/>
    <x v="0"/>
    <x v="1"/>
    <x v="0"/>
    <x v="22"/>
    <x v="1"/>
    <x v="2"/>
    <x v="618"/>
    <x v="403"/>
    <x v="366"/>
    <x v="412"/>
    <x v="402"/>
    <x v="3"/>
    <x v="2"/>
    <x v="219"/>
    <x v="0"/>
  </r>
  <r>
    <x v="49"/>
    <x v="580"/>
    <x v="10"/>
    <x v="27"/>
    <x v="842"/>
    <x v="314"/>
    <x v="1"/>
    <x v="0"/>
    <x v="0"/>
    <x v="1"/>
    <x v="0"/>
    <x v="467"/>
    <x v="1"/>
    <x v="1"/>
    <x v="175"/>
    <x v="438"/>
    <x v="469"/>
    <x v="390"/>
    <x v="415"/>
    <x v="3"/>
    <x v="2"/>
    <x v="218"/>
    <x v="0"/>
  </r>
  <r>
    <x v="48"/>
    <x v="575"/>
    <x v="10"/>
    <x v="27"/>
    <x v="846"/>
    <x v="318"/>
    <x v="1"/>
    <x v="0"/>
    <x v="0"/>
    <x v="1"/>
    <x v="0"/>
    <x v="154"/>
    <x v="1"/>
    <x v="1"/>
    <x v="41"/>
    <x v="419"/>
    <x v="405"/>
    <x v="366"/>
    <x v="442"/>
    <x v="3"/>
    <x v="2"/>
    <x v="217"/>
    <x v="0"/>
  </r>
  <r>
    <x v="47"/>
    <x v="568"/>
    <x v="10"/>
    <x v="27"/>
    <x v="851"/>
    <x v="323"/>
    <x v="1"/>
    <x v="0"/>
    <x v="0"/>
    <x v="1"/>
    <x v="0"/>
    <x v="388"/>
    <x v="1"/>
    <x v="1"/>
    <x v="481"/>
    <x v="426"/>
    <x v="432"/>
    <x v="347"/>
    <x v="460"/>
    <x v="3"/>
    <x v="2"/>
    <x v="212"/>
    <x v="0"/>
  </r>
  <r>
    <x v="46"/>
    <x v="567"/>
    <x v="10"/>
    <x v="10"/>
    <x v="821"/>
    <x v="293"/>
    <x v="1"/>
    <x v="0"/>
    <x v="0"/>
    <x v="1"/>
    <x v="0"/>
    <x v="462"/>
    <x v="1"/>
    <x v="1"/>
    <x v="122"/>
    <x v="406"/>
    <x v="447"/>
    <x v="397"/>
    <x v="413"/>
    <x v="3"/>
    <x v="2"/>
    <x v="211"/>
    <x v="0"/>
  </r>
  <r>
    <x v="45"/>
    <x v="566"/>
    <x v="10"/>
    <x v="10"/>
    <x v="817"/>
    <x v="289"/>
    <x v="1"/>
    <x v="0"/>
    <x v="0"/>
    <x v="1"/>
    <x v="0"/>
    <x v="232"/>
    <x v="1"/>
    <x v="1"/>
    <x v="199"/>
    <x v="408"/>
    <x v="435"/>
    <x v="395"/>
    <x v="414"/>
    <x v="3"/>
    <x v="2"/>
    <x v="211"/>
    <x v="0"/>
  </r>
  <r>
    <x v="44"/>
    <x v="560"/>
    <x v="10"/>
    <x v="27"/>
    <x v="840"/>
    <x v="312"/>
    <x v="1"/>
    <x v="0"/>
    <x v="0"/>
    <x v="1"/>
    <x v="0"/>
    <x v="83"/>
    <x v="1"/>
    <x v="1"/>
    <x v="46"/>
    <x v="423"/>
    <x v="453"/>
    <x v="357"/>
    <x v="451"/>
    <x v="3"/>
    <x v="2"/>
    <x v="210"/>
    <x v="0"/>
  </r>
  <r>
    <x v="43"/>
    <x v="555"/>
    <x v="10"/>
    <x v="10"/>
    <x v="820"/>
    <x v="292"/>
    <x v="1"/>
    <x v="0"/>
    <x v="0"/>
    <x v="1"/>
    <x v="0"/>
    <x v="472"/>
    <x v="1"/>
    <x v="1"/>
    <x v="140"/>
    <x v="415"/>
    <x v="415"/>
    <x v="382"/>
    <x v="428"/>
    <x v="3"/>
    <x v="2"/>
    <x v="207"/>
    <x v="0"/>
  </r>
  <r>
    <x v="42"/>
    <x v="524"/>
    <x v="10"/>
    <x v="27"/>
    <x v="839"/>
    <x v="311"/>
    <x v="1"/>
    <x v="0"/>
    <x v="0"/>
    <x v="1"/>
    <x v="0"/>
    <x v="382"/>
    <x v="1"/>
    <x v="1"/>
    <x v="164"/>
    <x v="398"/>
    <x v="462"/>
    <x v="367"/>
    <x v="434"/>
    <x v="3"/>
    <x v="2"/>
    <x v="202"/>
    <x v="0"/>
  </r>
  <r>
    <x v="41"/>
    <x v="519"/>
    <x v="10"/>
    <x v="27"/>
    <x v="829"/>
    <x v="301"/>
    <x v="1"/>
    <x v="0"/>
    <x v="0"/>
    <x v="1"/>
    <x v="0"/>
    <x v="478"/>
    <x v="0"/>
    <x v="1"/>
    <x v="420"/>
    <x v="427"/>
    <x v="386"/>
    <x v="361"/>
    <x v="452"/>
    <x v="3"/>
    <x v="2"/>
    <x v="201"/>
    <x v="0"/>
  </r>
  <r>
    <x v="40"/>
    <x v="511"/>
    <x v="10"/>
    <x v="27"/>
    <x v="843"/>
    <x v="315"/>
    <x v="1"/>
    <x v="0"/>
    <x v="0"/>
    <x v="1"/>
    <x v="0"/>
    <x v="8"/>
    <x v="1"/>
    <x v="1"/>
    <x v="584"/>
    <x v="444"/>
    <x v="406"/>
    <x v="354"/>
    <x v="457"/>
    <x v="3"/>
    <x v="2"/>
    <x v="198"/>
    <x v="0"/>
  </r>
  <r>
    <x v="39"/>
    <x v="506"/>
    <x v="10"/>
    <x v="10"/>
    <x v="815"/>
    <x v="287"/>
    <x v="1"/>
    <x v="0"/>
    <x v="0"/>
    <x v="1"/>
    <x v="0"/>
    <x v="8"/>
    <x v="1"/>
    <x v="1"/>
    <x v="463"/>
    <x v="411"/>
    <x v="412"/>
    <x v="401"/>
    <x v="410"/>
    <x v="3"/>
    <x v="2"/>
    <x v="195"/>
    <x v="0"/>
  </r>
  <r>
    <x v="38"/>
    <x v="503"/>
    <x v="10"/>
    <x v="53"/>
    <x v="863"/>
    <x v="335"/>
    <x v="1"/>
    <x v="0"/>
    <x v="0"/>
    <x v="1"/>
    <x v="0"/>
    <x v="494"/>
    <x v="1"/>
    <x v="1"/>
    <x v="172"/>
    <x v="442"/>
    <x v="618"/>
    <x v="399"/>
    <x v="389"/>
    <x v="3"/>
    <x v="2"/>
    <x v="194"/>
    <x v="0"/>
  </r>
  <r>
    <x v="37"/>
    <x v="502"/>
    <x v="10"/>
    <x v="27"/>
    <x v="836"/>
    <x v="308"/>
    <x v="1"/>
    <x v="0"/>
    <x v="0"/>
    <x v="1"/>
    <x v="0"/>
    <x v="88"/>
    <x v="0"/>
    <x v="1"/>
    <x v="416"/>
    <x v="405"/>
    <x v="388"/>
    <x v="371"/>
    <x v="438"/>
    <x v="3"/>
    <x v="2"/>
    <x v="194"/>
    <x v="0"/>
  </r>
  <r>
    <x v="36"/>
    <x v="487"/>
    <x v="10"/>
    <x v="53"/>
    <x v="862"/>
    <x v="334"/>
    <x v="1"/>
    <x v="0"/>
    <x v="0"/>
    <x v="1"/>
    <x v="0"/>
    <x v="420"/>
    <x v="1"/>
    <x v="1"/>
    <x v="104"/>
    <x v="349"/>
    <x v="594"/>
    <x v="377"/>
    <x v="420"/>
    <x v="3"/>
    <x v="2"/>
    <x v="191"/>
    <x v="0"/>
  </r>
  <r>
    <x v="35"/>
    <x v="481"/>
    <x v="10"/>
    <x v="27"/>
    <x v="847"/>
    <x v="319"/>
    <x v="1"/>
    <x v="0"/>
    <x v="0"/>
    <x v="1"/>
    <x v="0"/>
    <x v="352"/>
    <x v="1"/>
    <x v="1"/>
    <x v="407"/>
    <x v="440"/>
    <x v="525"/>
    <x v="353"/>
    <x v="450"/>
    <x v="3"/>
    <x v="2"/>
    <x v="190"/>
    <x v="0"/>
  </r>
  <r>
    <x v="34"/>
    <x v="477"/>
    <x v="10"/>
    <x v="27"/>
    <x v="841"/>
    <x v="313"/>
    <x v="1"/>
    <x v="0"/>
    <x v="0"/>
    <x v="1"/>
    <x v="0"/>
    <x v="8"/>
    <x v="1"/>
    <x v="1"/>
    <x v="448"/>
    <x v="422"/>
    <x v="452"/>
    <x v="345"/>
    <x v="461"/>
    <x v="3"/>
    <x v="2"/>
    <x v="189"/>
    <x v="0"/>
  </r>
  <r>
    <x v="33"/>
    <x v="465"/>
    <x v="10"/>
    <x v="27"/>
    <x v="850"/>
    <x v="322"/>
    <x v="1"/>
    <x v="0"/>
    <x v="0"/>
    <x v="1"/>
    <x v="0"/>
    <x v="56"/>
    <x v="1"/>
    <x v="1"/>
    <x v="531"/>
    <x v="423"/>
    <x v="431"/>
    <x v="352"/>
    <x v="456"/>
    <x v="3"/>
    <x v="2"/>
    <x v="184"/>
    <x v="0"/>
  </r>
  <r>
    <x v="32"/>
    <x v="458"/>
    <x v="10"/>
    <x v="27"/>
    <x v="844"/>
    <x v="316"/>
    <x v="1"/>
    <x v="0"/>
    <x v="0"/>
    <x v="1"/>
    <x v="0"/>
    <x v="322"/>
    <x v="1"/>
    <x v="1"/>
    <x v="79"/>
    <x v="425"/>
    <x v="428"/>
    <x v="351"/>
    <x v="459"/>
    <x v="3"/>
    <x v="2"/>
    <x v="182"/>
    <x v="0"/>
  </r>
  <r>
    <x v="31"/>
    <x v="445"/>
    <x v="10"/>
    <x v="27"/>
    <x v="835"/>
    <x v="307"/>
    <x v="1"/>
    <x v="0"/>
    <x v="0"/>
    <x v="1"/>
    <x v="0"/>
    <x v="41"/>
    <x v="1"/>
    <x v="1"/>
    <x v="537"/>
    <x v="400"/>
    <x v="535"/>
    <x v="363"/>
    <x v="432"/>
    <x v="3"/>
    <x v="2"/>
    <x v="180"/>
    <x v="0"/>
  </r>
  <r>
    <x v="30"/>
    <x v="441"/>
    <x v="10"/>
    <x v="27"/>
    <x v="849"/>
    <x v="321"/>
    <x v="1"/>
    <x v="0"/>
    <x v="0"/>
    <x v="1"/>
    <x v="0"/>
    <x v="196"/>
    <x v="1"/>
    <x v="1"/>
    <x v="131"/>
    <x v="251"/>
    <x v="377"/>
    <x v="368"/>
    <x v="443"/>
    <x v="3"/>
    <x v="2"/>
    <x v="176"/>
    <x v="0"/>
  </r>
  <r>
    <x v="29"/>
    <x v="348"/>
    <x v="10"/>
    <x v="53"/>
    <x v="859"/>
    <x v="331"/>
    <x v="1"/>
    <x v="0"/>
    <x v="0"/>
    <x v="1"/>
    <x v="0"/>
    <x v="448"/>
    <x v="1"/>
    <x v="1"/>
    <x v="106"/>
    <x v="442"/>
    <x v="595"/>
    <x v="376"/>
    <x v="423"/>
    <x v="3"/>
    <x v="2"/>
    <x v="142"/>
    <x v="0"/>
  </r>
  <r>
    <x v="28"/>
    <x v="279"/>
    <x v="10"/>
    <x v="27"/>
    <x v="845"/>
    <x v="317"/>
    <x v="1"/>
    <x v="0"/>
    <x v="0"/>
    <x v="1"/>
    <x v="0"/>
    <x v="22"/>
    <x v="1"/>
    <x v="1"/>
    <x v="382"/>
    <x v="428"/>
    <x v="436"/>
    <x v="350"/>
    <x v="458"/>
    <x v="3"/>
    <x v="2"/>
    <x v="121"/>
    <x v="0"/>
  </r>
  <r>
    <x v="27"/>
    <x v="261"/>
    <x v="10"/>
    <x v="27"/>
    <x v="830"/>
    <x v="302"/>
    <x v="1"/>
    <x v="0"/>
    <x v="0"/>
    <x v="1"/>
    <x v="0"/>
    <x v="251"/>
    <x v="1"/>
    <x v="1"/>
    <x v="216"/>
    <x v="399"/>
    <x v="487"/>
    <x v="384"/>
    <x v="422"/>
    <x v="3"/>
    <x v="2"/>
    <x v="109"/>
    <x v="0"/>
  </r>
  <r>
    <x v="26"/>
    <x v="226"/>
    <x v="10"/>
    <x v="32"/>
    <x v="856"/>
    <x v="328"/>
    <x v="1"/>
    <x v="0"/>
    <x v="0"/>
    <x v="1"/>
    <x v="0"/>
    <x v="482"/>
    <x v="1"/>
    <x v="1"/>
    <x v="132"/>
    <x v="391"/>
    <x v="506"/>
    <x v="339"/>
    <x v="462"/>
    <x v="3"/>
    <x v="2"/>
    <x v="100"/>
    <x v="0"/>
  </r>
  <r>
    <x v="25"/>
    <x v="221"/>
    <x v="10"/>
    <x v="10"/>
    <x v="819"/>
    <x v="291"/>
    <x v="1"/>
    <x v="0"/>
    <x v="0"/>
    <x v="1"/>
    <x v="0"/>
    <x v="11"/>
    <x v="1"/>
    <x v="1"/>
    <x v="157"/>
    <x v="407"/>
    <x v="442"/>
    <x v="385"/>
    <x v="421"/>
    <x v="3"/>
    <x v="2"/>
    <x v="98"/>
    <x v="0"/>
  </r>
  <r>
    <x v="24"/>
    <x v="216"/>
    <x v="10"/>
    <x v="2"/>
    <x v="811"/>
    <x v="283"/>
    <x v="1"/>
    <x v="0"/>
    <x v="0"/>
    <x v="1"/>
    <x v="0"/>
    <x v="412"/>
    <x v="1"/>
    <x v="1"/>
    <x v="210"/>
    <x v="393"/>
    <x v="511"/>
    <x v="325"/>
    <x v="487"/>
    <x v="3"/>
    <x v="2"/>
    <x v="95"/>
    <x v="0"/>
  </r>
  <r>
    <x v="23"/>
    <x v="24"/>
    <x v="10"/>
    <x v="10"/>
    <x v="813"/>
    <x v="285"/>
    <x v="1"/>
    <x v="0"/>
    <x v="0"/>
    <x v="1"/>
    <x v="0"/>
    <x v="184"/>
    <x v="1"/>
    <x v="1"/>
    <x v="42"/>
    <x v="413"/>
    <x v="382"/>
    <x v="383"/>
    <x v="429"/>
    <x v="3"/>
    <x v="2"/>
    <x v="20"/>
    <x v="0"/>
  </r>
  <r>
    <x v="22"/>
    <x v="865"/>
    <x v="11"/>
    <x v="46"/>
    <x v="886"/>
    <x v="258"/>
    <x v="2"/>
    <x v="0"/>
    <x v="0"/>
    <x v="1"/>
    <x v="0"/>
    <x v="1"/>
    <x v="0"/>
    <x v="1"/>
    <x v="734"/>
    <x v="424"/>
    <x v="632"/>
    <x v="22"/>
    <x v="300"/>
    <x v="3"/>
    <x v="2"/>
    <x v="277"/>
    <x v="0"/>
  </r>
  <r>
    <x v="21"/>
    <x v="690"/>
    <x v="11"/>
    <x v="46"/>
    <x v="885"/>
    <x v="257"/>
    <x v="2"/>
    <x v="0"/>
    <x v="0"/>
    <x v="1"/>
    <x v="0"/>
    <x v="118"/>
    <x v="1"/>
    <x v="0"/>
    <x v="557"/>
    <x v="318"/>
    <x v="627"/>
    <x v="38"/>
    <x v="244"/>
    <x v="3"/>
    <x v="2"/>
    <x v="244"/>
    <x v="0"/>
  </r>
  <r>
    <x v="20"/>
    <x v="488"/>
    <x v="11"/>
    <x v="45"/>
    <x v="884"/>
    <x v="256"/>
    <x v="1"/>
    <x v="0"/>
    <x v="0"/>
    <x v="1"/>
    <x v="0"/>
    <x v="86"/>
    <x v="2"/>
    <x v="1"/>
    <x v="578"/>
    <x v="244"/>
    <x v="845"/>
    <x v="17"/>
    <x v="225"/>
    <x v="3"/>
    <x v="2"/>
    <x v="191"/>
    <x v="0"/>
  </r>
  <r>
    <x v="19"/>
    <x v="424"/>
    <x v="11"/>
    <x v="45"/>
    <x v="883"/>
    <x v="255"/>
    <x v="1"/>
    <x v="0"/>
    <x v="0"/>
    <x v="1"/>
    <x v="0"/>
    <x v="57"/>
    <x v="2"/>
    <x v="1"/>
    <x v="488"/>
    <x v="214"/>
    <x v="861"/>
    <x v="5"/>
    <x v="242"/>
    <x v="3"/>
    <x v="2"/>
    <x v="171"/>
    <x v="0"/>
  </r>
  <r>
    <x v="18"/>
    <x v="398"/>
    <x v="11"/>
    <x v="9"/>
    <x v="873"/>
    <x v="237"/>
    <x v="1"/>
    <x v="0"/>
    <x v="0"/>
    <x v="1"/>
    <x v="0"/>
    <x v="41"/>
    <x v="2"/>
    <x v="1"/>
    <x v="464"/>
    <x v="205"/>
    <x v="804"/>
    <x v="14"/>
    <x v="256"/>
    <x v="3"/>
    <x v="2"/>
    <x v="161"/>
    <x v="0"/>
  </r>
  <r>
    <x v="17"/>
    <x v="385"/>
    <x v="11"/>
    <x v="45"/>
    <x v="882"/>
    <x v="254"/>
    <x v="1"/>
    <x v="0"/>
    <x v="0"/>
    <x v="1"/>
    <x v="0"/>
    <x v="121"/>
    <x v="2"/>
    <x v="1"/>
    <x v="462"/>
    <x v="204"/>
    <x v="847"/>
    <x v="8"/>
    <x v="250"/>
    <x v="3"/>
    <x v="2"/>
    <x v="159"/>
    <x v="0"/>
  </r>
  <r>
    <x v="16"/>
    <x v="285"/>
    <x v="11"/>
    <x v="33"/>
    <x v="876"/>
    <x v="244"/>
    <x v="2"/>
    <x v="0"/>
    <x v="0"/>
    <x v="1"/>
    <x v="0"/>
    <x v="146"/>
    <x v="0"/>
    <x v="1"/>
    <x v="357"/>
    <x v="130"/>
    <x v="739"/>
    <x v="21"/>
    <x v="252"/>
    <x v="3"/>
    <x v="2"/>
    <x v="125"/>
    <x v="0"/>
  </r>
  <r>
    <x v="15"/>
    <x v="215"/>
    <x v="11"/>
    <x v="9"/>
    <x v="872"/>
    <x v="236"/>
    <x v="1"/>
    <x v="0"/>
    <x v="0"/>
    <x v="1"/>
    <x v="0"/>
    <x v="67"/>
    <x v="2"/>
    <x v="1"/>
    <x v="111"/>
    <x v="147"/>
    <x v="780"/>
    <x v="0"/>
    <x v="297"/>
    <x v="3"/>
    <x v="2"/>
    <x v="94"/>
    <x v="0"/>
  </r>
  <r>
    <x v="14"/>
    <x v="214"/>
    <x v="11"/>
    <x v="9"/>
    <x v="870"/>
    <x v="234"/>
    <x v="1"/>
    <x v="0"/>
    <x v="0"/>
    <x v="1"/>
    <x v="0"/>
    <x v="41"/>
    <x v="2"/>
    <x v="1"/>
    <x v="68"/>
    <x v="148"/>
    <x v="756"/>
    <x v="11"/>
    <x v="289"/>
    <x v="3"/>
    <x v="2"/>
    <x v="94"/>
    <x v="0"/>
  </r>
  <r>
    <x v="13"/>
    <x v="79"/>
    <x v="11"/>
    <x v="33"/>
    <x v="875"/>
    <x v="243"/>
    <x v="1"/>
    <x v="0"/>
    <x v="0"/>
    <x v="1"/>
    <x v="0"/>
    <x v="101"/>
    <x v="0"/>
    <x v="2"/>
    <x v="60"/>
    <x v="50"/>
    <x v="768"/>
    <x v="18"/>
    <x v="253"/>
    <x v="3"/>
    <x v="2"/>
    <x v="48"/>
    <x v="0"/>
  </r>
  <r>
    <x v="12"/>
    <x v="62"/>
    <x v="11"/>
    <x v="69"/>
    <x v="888"/>
    <x v="282"/>
    <x v="2"/>
    <x v="0"/>
    <x v="0"/>
    <x v="1"/>
    <x v="0"/>
    <x v="45"/>
    <x v="2"/>
    <x v="1"/>
    <x v="116"/>
    <x v="43"/>
    <x v="685"/>
    <x v="19"/>
    <x v="291"/>
    <x v="3"/>
    <x v="2"/>
    <x v="39"/>
    <x v="0"/>
  </r>
  <r>
    <x v="11"/>
    <x v="48"/>
    <x v="11"/>
    <x v="45"/>
    <x v="881"/>
    <x v="253"/>
    <x v="1"/>
    <x v="0"/>
    <x v="0"/>
    <x v="1"/>
    <x v="0"/>
    <x v="26"/>
    <x v="2"/>
    <x v="1"/>
    <x v="88"/>
    <x v="41"/>
    <x v="864"/>
    <x v="2"/>
    <x v="243"/>
    <x v="3"/>
    <x v="2"/>
    <x v="33"/>
    <x v="0"/>
  </r>
  <r>
    <x v="10"/>
    <x v="43"/>
    <x v="11"/>
    <x v="9"/>
    <x v="866"/>
    <x v="230"/>
    <x v="1"/>
    <x v="0"/>
    <x v="0"/>
    <x v="1"/>
    <x v="0"/>
    <x v="65"/>
    <x v="2"/>
    <x v="1"/>
    <x v="61"/>
    <x v="25"/>
    <x v="745"/>
    <x v="9"/>
    <x v="298"/>
    <x v="3"/>
    <x v="2"/>
    <x v="32"/>
    <x v="0"/>
  </r>
  <r>
    <x v="9"/>
    <x v="44"/>
    <x v="11"/>
    <x v="9"/>
    <x v="867"/>
    <x v="231"/>
    <x v="1"/>
    <x v="0"/>
    <x v="0"/>
    <x v="1"/>
    <x v="0"/>
    <x v="28"/>
    <x v="2"/>
    <x v="1"/>
    <x v="62"/>
    <x v="24"/>
    <x v="753"/>
    <x v="3"/>
    <x v="299"/>
    <x v="3"/>
    <x v="2"/>
    <x v="32"/>
    <x v="0"/>
  </r>
  <r>
    <x v="8"/>
    <x v="45"/>
    <x v="11"/>
    <x v="9"/>
    <x v="869"/>
    <x v="233"/>
    <x v="1"/>
    <x v="0"/>
    <x v="0"/>
    <x v="1"/>
    <x v="0"/>
    <x v="147"/>
    <x v="2"/>
    <x v="1"/>
    <x v="64"/>
    <x v="26"/>
    <x v="734"/>
    <x v="4"/>
    <x v="305"/>
    <x v="3"/>
    <x v="2"/>
    <x v="32"/>
    <x v="0"/>
  </r>
  <r>
    <x v="7"/>
    <x v="47"/>
    <x v="11"/>
    <x v="45"/>
    <x v="880"/>
    <x v="252"/>
    <x v="1"/>
    <x v="0"/>
    <x v="0"/>
    <x v="1"/>
    <x v="0"/>
    <x v="45"/>
    <x v="2"/>
    <x v="1"/>
    <x v="84"/>
    <x v="38"/>
    <x v="860"/>
    <x v="10"/>
    <x v="235"/>
    <x v="3"/>
    <x v="2"/>
    <x v="32"/>
    <x v="0"/>
  </r>
  <r>
    <x v="6"/>
    <x v="46"/>
    <x v="11"/>
    <x v="9"/>
    <x v="871"/>
    <x v="235"/>
    <x v="1"/>
    <x v="0"/>
    <x v="0"/>
    <x v="1"/>
    <x v="0"/>
    <x v="7"/>
    <x v="2"/>
    <x v="1"/>
    <x v="69"/>
    <x v="28"/>
    <x v="743"/>
    <x v="6"/>
    <x v="302"/>
    <x v="3"/>
    <x v="2"/>
    <x v="32"/>
    <x v="0"/>
  </r>
  <r>
    <x v="5"/>
    <x v="38"/>
    <x v="11"/>
    <x v="9"/>
    <x v="868"/>
    <x v="232"/>
    <x v="1"/>
    <x v="0"/>
    <x v="0"/>
    <x v="1"/>
    <x v="0"/>
    <x v="15"/>
    <x v="2"/>
    <x v="1"/>
    <x v="63"/>
    <x v="29"/>
    <x v="767"/>
    <x v="13"/>
    <x v="282"/>
    <x v="3"/>
    <x v="2"/>
    <x v="29"/>
    <x v="0"/>
  </r>
  <r>
    <x v="4"/>
    <x v="39"/>
    <x v="11"/>
    <x v="45"/>
    <x v="879"/>
    <x v="251"/>
    <x v="1"/>
    <x v="0"/>
    <x v="0"/>
    <x v="1"/>
    <x v="0"/>
    <x v="188"/>
    <x v="2"/>
    <x v="1"/>
    <x v="80"/>
    <x v="39"/>
    <x v="856"/>
    <x v="16"/>
    <x v="222"/>
    <x v="3"/>
    <x v="2"/>
    <x v="29"/>
    <x v="0"/>
  </r>
  <r>
    <x v="3"/>
    <x v="31"/>
    <x v="11"/>
    <x v="45"/>
    <x v="878"/>
    <x v="250"/>
    <x v="1"/>
    <x v="0"/>
    <x v="0"/>
    <x v="1"/>
    <x v="0"/>
    <x v="37"/>
    <x v="2"/>
    <x v="1"/>
    <x v="73"/>
    <x v="34"/>
    <x v="857"/>
    <x v="12"/>
    <x v="238"/>
    <x v="3"/>
    <x v="2"/>
    <x v="25"/>
    <x v="0"/>
  </r>
  <r>
    <x v="2"/>
    <x v="30"/>
    <x v="11"/>
    <x v="45"/>
    <x v="877"/>
    <x v="249"/>
    <x v="1"/>
    <x v="0"/>
    <x v="0"/>
    <x v="1"/>
    <x v="0"/>
    <x v="37"/>
    <x v="2"/>
    <x v="1"/>
    <x v="72"/>
    <x v="33"/>
    <x v="852"/>
    <x v="7"/>
    <x v="246"/>
    <x v="3"/>
    <x v="2"/>
    <x v="25"/>
    <x v="0"/>
  </r>
  <r>
    <x v="1"/>
    <x v="15"/>
    <x v="11"/>
    <x v="69"/>
    <x v="887"/>
    <x v="281"/>
    <x v="2"/>
    <x v="0"/>
    <x v="0"/>
    <x v="1"/>
    <x v="0"/>
    <x v="313"/>
    <x v="2"/>
    <x v="1"/>
    <x v="31"/>
    <x v="40"/>
    <x v="687"/>
    <x v="20"/>
    <x v="286"/>
    <x v="3"/>
    <x v="2"/>
    <x v="11"/>
    <x v="0"/>
  </r>
  <r>
    <x v="0"/>
    <x v="2"/>
    <x v="11"/>
    <x v="21"/>
    <x v="874"/>
    <x v="238"/>
    <x v="2"/>
    <x v="0"/>
    <x v="0"/>
    <x v="1"/>
    <x v="0"/>
    <x v="22"/>
    <x v="2"/>
    <x v="0"/>
    <x v="7"/>
    <x v="5"/>
    <x v="683"/>
    <x v="15"/>
    <x v="304"/>
    <x v="3"/>
    <x v="2"/>
    <x v="3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/>
    <i t="grand">
      <x/>
    </i>
  </rowItems>
  <colItems count="1">
    <i/>
  </colItems>
  <dataFields count="1">
    <dataField name="Sum of fire_size" fld="1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9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G1" activeCellId="0" sqref="G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52.29"/>
    <col collapsed="false" customWidth="true" hidden="false" outlineLevel="0" max="2" min="2" style="1" width="9.42"/>
    <col collapsed="false" customWidth="true" hidden="false" outlineLevel="0" max="3" min="3" style="1" width="12.15"/>
    <col collapsed="false" customWidth="true" hidden="false" outlineLevel="0" max="4" min="4" style="1" width="11.43"/>
    <col collapsed="false" customWidth="true" hidden="false" outlineLevel="0" max="5" min="5" style="1" width="25.42"/>
    <col collapsed="false" customWidth="true" hidden="false" outlineLevel="0" max="6" min="6" style="1" width="16.57"/>
    <col collapsed="false" customWidth="true" hidden="false" outlineLevel="0" max="7" min="7" style="2" width="17.57"/>
    <col collapsed="false" customWidth="true" hidden="false" outlineLevel="0" max="9" min="9" style="1" width="18.71"/>
    <col collapsed="false" customWidth="true" hidden="false" outlineLevel="0" max="10" min="10" style="1" width="18"/>
    <col collapsed="false" customWidth="true" hidden="false" outlineLevel="0" max="11" min="11" style="1" width="16.57"/>
    <col collapsed="false" customWidth="true" hidden="false" outlineLevel="0" max="12" min="12" style="2" width="9.14"/>
    <col collapsed="false" customWidth="true" hidden="false" outlineLevel="0" max="13" min="13" style="1" width="13.42"/>
    <col collapsed="false" customWidth="true" hidden="false" outlineLevel="0" max="14" min="14" style="1" width="21.14"/>
    <col collapsed="false" customWidth="true" hidden="false" outlineLevel="0" max="16" min="15" style="1" width="19.29"/>
    <col collapsed="false" customWidth="true" hidden="false" outlineLevel="0" max="17" min="17" style="1" width="8.15"/>
    <col collapsed="false" customWidth="true" hidden="false" outlineLevel="0" max="18" min="18" style="1" width="9.71"/>
    <col collapsed="false" customWidth="true" hidden="false" outlineLevel="0" max="19" min="19" style="1" width="38.57"/>
    <col collapsed="false" customWidth="true" hidden="false" outlineLevel="0" max="20" min="20" style="1" width="8.42"/>
    <col collapsed="false" customWidth="true" hidden="false" outlineLevel="0" max="21" min="21" style="1" width="10.71"/>
    <col collapsed="false" customWidth="true" hidden="false" outlineLevel="0" max="22" min="22" style="1" width="19.29"/>
    <col collapsed="false" customWidth="true" hidden="false" outlineLevel="0" max="23" min="23" style="1" width="23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customFormat="false" ht="12.75" hidden="false" customHeight="false" outlineLevel="0" collapsed="false">
      <c r="A2" s="1" t="s">
        <v>23</v>
      </c>
      <c r="B2" s="1" t="n">
        <v>18380651</v>
      </c>
      <c r="C2" s="1" t="s">
        <v>24</v>
      </c>
      <c r="D2" s="1" t="s">
        <v>25</v>
      </c>
      <c r="E2" s="1" t="s">
        <v>26</v>
      </c>
      <c r="F2" s="1" t="s">
        <v>27</v>
      </c>
      <c r="G2" s="2" t="s">
        <v>28</v>
      </c>
      <c r="H2" s="1" t="n">
        <v>3</v>
      </c>
      <c r="I2" s="1" t="n">
        <v>-1</v>
      </c>
      <c r="J2" s="1" t="n">
        <v>-1</v>
      </c>
      <c r="K2" s="1" t="n">
        <v>-1</v>
      </c>
      <c r="L2" s="2" t="n">
        <v>432</v>
      </c>
      <c r="M2" s="1" t="s">
        <v>29</v>
      </c>
      <c r="N2" s="1" t="s">
        <v>30</v>
      </c>
      <c r="O2" s="5" t="n">
        <v>46219.6270833333</v>
      </c>
      <c r="P2" s="5" t="n">
        <v>46222.75</v>
      </c>
      <c r="Q2" s="1" t="n">
        <v>56.1217</v>
      </c>
      <c r="R2" s="1" t="n">
        <v>-110.265</v>
      </c>
      <c r="S2" s="1" t="s">
        <v>31</v>
      </c>
      <c r="T2" s="1" t="n">
        <v>2026</v>
      </c>
      <c r="U2" s="1" t="n">
        <v>2026</v>
      </c>
      <c r="V2" s="5" t="n">
        <v>46223.90625</v>
      </c>
      <c r="W2" s="6" t="n">
        <v>46387.9999999884</v>
      </c>
    </row>
    <row r="3" customFormat="false" ht="12.75" hidden="false" customHeight="false" outlineLevel="0" collapsed="false">
      <c r="A3" s="1" t="s">
        <v>32</v>
      </c>
      <c r="B3" s="1" t="n">
        <v>18380560</v>
      </c>
      <c r="C3" s="1" t="s">
        <v>24</v>
      </c>
      <c r="D3" s="1" t="s">
        <v>33</v>
      </c>
      <c r="E3" s="1" t="s">
        <v>34</v>
      </c>
      <c r="F3" s="1" t="s">
        <v>35</v>
      </c>
      <c r="G3" s="2" t="s">
        <v>36</v>
      </c>
      <c r="H3" s="1" t="n">
        <v>5</v>
      </c>
      <c r="I3" s="1" t="n">
        <v>-1</v>
      </c>
      <c r="J3" s="1" t="n">
        <v>-1</v>
      </c>
      <c r="K3" s="1" t="n">
        <v>-1</v>
      </c>
      <c r="L3" s="2" t="n">
        <v>50</v>
      </c>
      <c r="M3" s="1" t="s">
        <v>29</v>
      </c>
      <c r="N3" s="1" t="s">
        <v>37</v>
      </c>
      <c r="O3" s="5" t="n">
        <v>46218.6638888889</v>
      </c>
      <c r="P3" s="5" t="n">
        <v>46223.6138888889</v>
      </c>
      <c r="Q3" s="1" t="n">
        <v>59.3847</v>
      </c>
      <c r="R3" s="1" t="n">
        <v>-115.094</v>
      </c>
      <c r="S3" s="1" t="s">
        <v>38</v>
      </c>
      <c r="T3" s="1" t="n">
        <v>2026</v>
      </c>
      <c r="U3" s="1" t="n">
        <v>2026</v>
      </c>
      <c r="V3" s="5" t="n">
        <v>46223.90625</v>
      </c>
      <c r="W3" s="6" t="n">
        <v>46387.9999999884</v>
      </c>
    </row>
    <row r="4" customFormat="false" ht="12.75" hidden="false" customHeight="false" outlineLevel="0" collapsed="false">
      <c r="A4" s="1" t="s">
        <v>39</v>
      </c>
      <c r="B4" s="1" t="n">
        <v>18380652</v>
      </c>
      <c r="C4" s="1" t="s">
        <v>24</v>
      </c>
      <c r="D4" s="1" t="s">
        <v>25</v>
      </c>
      <c r="E4" s="1" t="s">
        <v>40</v>
      </c>
      <c r="F4" s="1" t="s">
        <v>41</v>
      </c>
      <c r="G4" s="2" t="s">
        <v>28</v>
      </c>
      <c r="H4" s="1" t="n">
        <v>3</v>
      </c>
      <c r="I4" s="1" t="n">
        <v>-1</v>
      </c>
      <c r="J4" s="1" t="n">
        <v>-1</v>
      </c>
      <c r="K4" s="1" t="n">
        <v>-1</v>
      </c>
      <c r="L4" s="2" t="n">
        <v>107</v>
      </c>
      <c r="M4" s="1" t="s">
        <v>29</v>
      </c>
      <c r="N4" s="1" t="s">
        <v>37</v>
      </c>
      <c r="O4" s="5" t="n">
        <v>46219.6722222222</v>
      </c>
      <c r="P4" s="5" t="n">
        <v>46223.4166666667</v>
      </c>
      <c r="Q4" s="1" t="n">
        <v>56.2062</v>
      </c>
      <c r="R4" s="1" t="n">
        <v>-110.3258</v>
      </c>
      <c r="S4" s="1" t="s">
        <v>42</v>
      </c>
      <c r="T4" s="1" t="n">
        <v>2026</v>
      </c>
      <c r="U4" s="1" t="n">
        <v>2026</v>
      </c>
      <c r="V4" s="5" t="n">
        <v>46223.90625</v>
      </c>
      <c r="W4" s="6" t="n">
        <v>46387.9999999884</v>
      </c>
    </row>
    <row r="5" customFormat="false" ht="12.75" hidden="false" customHeight="false" outlineLevel="0" collapsed="false">
      <c r="A5" s="1" t="s">
        <v>43</v>
      </c>
      <c r="B5" s="1" t="n">
        <v>18358356</v>
      </c>
      <c r="C5" s="1" t="s">
        <v>24</v>
      </c>
      <c r="D5" s="1" t="s">
        <v>33</v>
      </c>
      <c r="E5" s="1" t="s">
        <v>44</v>
      </c>
      <c r="F5" s="1" t="s">
        <v>45</v>
      </c>
      <c r="G5" s="2" t="s">
        <v>36</v>
      </c>
      <c r="H5" s="1" t="n">
        <v>5</v>
      </c>
      <c r="I5" s="1" t="n">
        <v>-1</v>
      </c>
      <c r="J5" s="1" t="n">
        <v>-1</v>
      </c>
      <c r="K5" s="1" t="n">
        <v>-1</v>
      </c>
      <c r="L5" s="2" t="n">
        <v>51</v>
      </c>
      <c r="M5" s="1" t="s">
        <v>29</v>
      </c>
      <c r="N5" s="1" t="s">
        <v>37</v>
      </c>
      <c r="O5" s="5" t="n">
        <v>46218.6701388889</v>
      </c>
      <c r="P5" s="5" t="n">
        <v>46223.3645833333</v>
      </c>
      <c r="Q5" s="1" t="n">
        <v>59.5259</v>
      </c>
      <c r="R5" s="1" t="n">
        <v>-117.4878</v>
      </c>
      <c r="S5" s="1" t="s">
        <v>46</v>
      </c>
      <c r="T5" s="1" t="n">
        <v>2026</v>
      </c>
      <c r="U5" s="1" t="n">
        <v>2026</v>
      </c>
      <c r="V5" s="5" t="n">
        <v>46223.65625</v>
      </c>
      <c r="W5" s="6" t="n">
        <v>46387.9999999884</v>
      </c>
    </row>
    <row r="6" customFormat="false" ht="12.75" hidden="false" customHeight="false" outlineLevel="0" collapsed="false">
      <c r="A6" s="1" t="s">
        <v>47</v>
      </c>
      <c r="B6" s="1" t="n">
        <v>18296876</v>
      </c>
      <c r="C6" s="1" t="s">
        <v>24</v>
      </c>
      <c r="D6" s="1" t="s">
        <v>25</v>
      </c>
      <c r="E6" s="1" t="s">
        <v>48</v>
      </c>
      <c r="F6" s="1" t="s">
        <v>49</v>
      </c>
      <c r="G6" s="2" t="s">
        <v>28</v>
      </c>
      <c r="H6" s="1" t="n">
        <v>3</v>
      </c>
      <c r="I6" s="1" t="n">
        <v>-1</v>
      </c>
      <c r="J6" s="1" t="n">
        <v>-1</v>
      </c>
      <c r="K6" s="1" t="n">
        <v>-1</v>
      </c>
      <c r="L6" s="2" t="n">
        <v>76</v>
      </c>
      <c r="M6" s="1" t="s">
        <v>29</v>
      </c>
      <c r="N6" s="1" t="s">
        <v>37</v>
      </c>
      <c r="O6" s="5" t="n">
        <v>46219.6166666667</v>
      </c>
      <c r="P6" s="5" t="n">
        <v>46222.6875</v>
      </c>
      <c r="Q6" s="1" t="n">
        <v>55.9728</v>
      </c>
      <c r="R6" s="1" t="n">
        <v>-110.8128</v>
      </c>
      <c r="S6" s="1" t="s">
        <v>50</v>
      </c>
      <c r="T6" s="1" t="n">
        <v>2026</v>
      </c>
      <c r="U6" s="1" t="n">
        <v>2026</v>
      </c>
      <c r="V6" s="5" t="n">
        <v>46222.9895833333</v>
      </c>
      <c r="W6" s="6" t="n">
        <v>46387.9999999884</v>
      </c>
    </row>
    <row r="7" customFormat="false" ht="12.75" hidden="false" customHeight="false" outlineLevel="0" collapsed="false">
      <c r="A7" s="1" t="s">
        <v>51</v>
      </c>
      <c r="B7" s="1" t="n">
        <v>18296875</v>
      </c>
      <c r="C7" s="1" t="s">
        <v>24</v>
      </c>
      <c r="D7" s="1" t="s">
        <v>25</v>
      </c>
      <c r="E7" s="1" t="s">
        <v>52</v>
      </c>
      <c r="F7" s="1" t="s">
        <v>53</v>
      </c>
      <c r="G7" s="2" t="s">
        <v>28</v>
      </c>
      <c r="H7" s="1" t="n">
        <v>3</v>
      </c>
      <c r="I7" s="1" t="n">
        <v>-1</v>
      </c>
      <c r="J7" s="1" t="n">
        <v>-1</v>
      </c>
      <c r="K7" s="1" t="s">
        <v>54</v>
      </c>
      <c r="L7" s="2" t="n">
        <v>25</v>
      </c>
      <c r="M7" s="1" t="s">
        <v>29</v>
      </c>
      <c r="N7" s="1" t="s">
        <v>37</v>
      </c>
      <c r="O7" s="5" t="n">
        <v>46219.5791666667</v>
      </c>
      <c r="P7" s="5" t="n">
        <v>46222.6666666667</v>
      </c>
      <c r="Q7" s="1" t="n">
        <v>55.7187</v>
      </c>
      <c r="R7" s="1" t="n">
        <v>-110.647</v>
      </c>
      <c r="S7" s="1" t="s">
        <v>55</v>
      </c>
      <c r="T7" s="1" t="n">
        <v>2026</v>
      </c>
      <c r="U7" s="1" t="n">
        <v>2026</v>
      </c>
      <c r="V7" s="5" t="n">
        <v>46222.9895833333</v>
      </c>
      <c r="W7" s="6" t="n">
        <v>46387.9999999884</v>
      </c>
    </row>
    <row r="8" customFormat="false" ht="12.75" hidden="false" customHeight="false" outlineLevel="0" collapsed="false">
      <c r="A8" s="1" t="s">
        <v>56</v>
      </c>
      <c r="B8" s="1" t="n">
        <v>18087121</v>
      </c>
      <c r="C8" s="1" t="s">
        <v>24</v>
      </c>
      <c r="D8" s="1" t="s">
        <v>57</v>
      </c>
      <c r="E8" s="1" t="s">
        <v>58</v>
      </c>
      <c r="F8" s="1" t="s">
        <v>59</v>
      </c>
      <c r="G8" s="2" t="s">
        <v>28</v>
      </c>
      <c r="H8" s="1" t="n">
        <v>5</v>
      </c>
      <c r="I8" s="1" t="n">
        <v>-1</v>
      </c>
      <c r="J8" s="1" t="n">
        <v>-1</v>
      </c>
      <c r="K8" s="1" t="n">
        <v>-1</v>
      </c>
      <c r="L8" s="2" t="n">
        <v>0.18</v>
      </c>
      <c r="M8" s="1" t="s">
        <v>29</v>
      </c>
      <c r="N8" s="1" t="s">
        <v>37</v>
      </c>
      <c r="O8" s="5" t="n">
        <v>46219.5638888889</v>
      </c>
      <c r="P8" s="5" t="n">
        <v>46219.8854166667</v>
      </c>
      <c r="Q8" s="1" t="n">
        <v>57.7511</v>
      </c>
      <c r="R8" s="1" t="n">
        <v>-118.18</v>
      </c>
      <c r="S8" s="1" t="s">
        <v>60</v>
      </c>
      <c r="T8" s="1" t="n">
        <v>2026</v>
      </c>
      <c r="U8" s="1" t="n">
        <v>2026</v>
      </c>
      <c r="V8" s="5" t="n">
        <v>46220.65625</v>
      </c>
      <c r="W8" s="6" t="n">
        <v>46387.9999999884</v>
      </c>
    </row>
    <row r="9" customFormat="false" ht="12.75" hidden="false" customHeight="false" outlineLevel="0" collapsed="false">
      <c r="A9" s="1" t="s">
        <v>61</v>
      </c>
      <c r="B9" s="1" t="n">
        <v>18030172</v>
      </c>
      <c r="C9" s="1" t="s">
        <v>24</v>
      </c>
      <c r="D9" s="1" t="s">
        <v>62</v>
      </c>
      <c r="E9" s="1" t="s">
        <v>63</v>
      </c>
      <c r="F9" s="1" t="s">
        <v>64</v>
      </c>
      <c r="G9" s="2" t="s">
        <v>28</v>
      </c>
      <c r="H9" s="1" t="n">
        <v>5</v>
      </c>
      <c r="I9" s="1" t="n">
        <v>-1</v>
      </c>
      <c r="J9" s="1" t="n">
        <v>-1</v>
      </c>
      <c r="K9" s="1" t="n">
        <v>-1</v>
      </c>
      <c r="L9" s="2" t="n">
        <v>0.16</v>
      </c>
      <c r="M9" s="1" t="s">
        <v>65</v>
      </c>
      <c r="N9" s="1" t="s">
        <v>37</v>
      </c>
      <c r="O9" s="5" t="n">
        <v>46218.5222222222</v>
      </c>
      <c r="P9" s="5" t="n">
        <v>46219.4791666667</v>
      </c>
      <c r="Q9" s="1" t="n">
        <v>56.6014</v>
      </c>
      <c r="R9" s="1" t="n">
        <v>-112.1858</v>
      </c>
      <c r="S9" s="1" t="s">
        <v>66</v>
      </c>
      <c r="T9" s="1" t="n">
        <v>2026</v>
      </c>
      <c r="U9" s="1" t="n">
        <v>2026</v>
      </c>
      <c r="V9" s="5" t="n">
        <v>46219.9895833333</v>
      </c>
      <c r="W9" s="6" t="n">
        <v>46387.9999999884</v>
      </c>
    </row>
    <row r="10" customFormat="false" ht="12.75" hidden="false" customHeight="false" outlineLevel="0" collapsed="false">
      <c r="A10" s="1" t="s">
        <v>67</v>
      </c>
      <c r="B10" s="1" t="n">
        <v>17932365</v>
      </c>
      <c r="C10" s="1" t="s">
        <v>24</v>
      </c>
      <c r="D10" s="1" t="s">
        <v>33</v>
      </c>
      <c r="E10" s="1" t="s">
        <v>68</v>
      </c>
      <c r="F10" s="1" t="s">
        <v>69</v>
      </c>
      <c r="G10" s="2" t="s">
        <v>28</v>
      </c>
      <c r="H10" s="1" t="n">
        <v>5</v>
      </c>
      <c r="I10" s="1" t="n">
        <v>-1</v>
      </c>
      <c r="J10" s="1" t="n">
        <v>-1</v>
      </c>
      <c r="K10" s="1" t="n">
        <v>-1</v>
      </c>
      <c r="L10" s="2" t="n">
        <v>13200</v>
      </c>
      <c r="M10" s="1" t="s">
        <v>70</v>
      </c>
      <c r="N10" s="1" t="s">
        <v>37</v>
      </c>
      <c r="O10" s="5" t="n">
        <v>46198.5048611111</v>
      </c>
      <c r="P10" s="5" t="n">
        <v>46218.3534722222</v>
      </c>
      <c r="Q10" s="1" t="n">
        <v>59.4711</v>
      </c>
      <c r="R10" s="1" t="n">
        <v>-114.7088</v>
      </c>
      <c r="S10" s="1" t="s">
        <v>71</v>
      </c>
      <c r="T10" s="1" t="n">
        <v>2026</v>
      </c>
      <c r="U10" s="1" t="n">
        <v>2026</v>
      </c>
      <c r="V10" s="5" t="n">
        <v>46218.8229166667</v>
      </c>
      <c r="W10" s="6" t="n">
        <v>46387.9999999884</v>
      </c>
    </row>
    <row r="11" customFormat="false" ht="12.75" hidden="false" customHeight="false" outlineLevel="0" collapsed="false">
      <c r="A11" s="1" t="s">
        <v>72</v>
      </c>
      <c r="B11" s="1" t="n">
        <v>17562551</v>
      </c>
      <c r="C11" s="1" t="s">
        <v>24</v>
      </c>
      <c r="D11" s="1" t="s">
        <v>33</v>
      </c>
      <c r="E11" s="1" t="s">
        <v>73</v>
      </c>
      <c r="F11" s="1" t="s">
        <v>74</v>
      </c>
      <c r="G11" s="2" t="s">
        <v>28</v>
      </c>
      <c r="H11" s="1" t="n">
        <v>5</v>
      </c>
      <c r="I11" s="1" t="n">
        <v>-1</v>
      </c>
      <c r="J11" s="1" t="n">
        <v>-1</v>
      </c>
      <c r="K11" s="1" t="n">
        <v>-1</v>
      </c>
      <c r="L11" s="2" t="n">
        <v>219.6</v>
      </c>
      <c r="M11" s="1" t="s">
        <v>29</v>
      </c>
      <c r="N11" s="1" t="s">
        <v>37</v>
      </c>
      <c r="O11" s="5" t="n">
        <v>46204.3944444444</v>
      </c>
      <c r="P11" s="5" t="n">
        <v>46213.8125</v>
      </c>
      <c r="Q11" s="1" t="n">
        <v>58.8547</v>
      </c>
      <c r="R11" s="1" t="n">
        <v>-117.6375</v>
      </c>
      <c r="S11" s="1" t="s">
        <v>75</v>
      </c>
      <c r="T11" s="1" t="n">
        <v>2026</v>
      </c>
      <c r="U11" s="1" t="n">
        <v>2026</v>
      </c>
      <c r="V11" s="5" t="n">
        <v>46214.1145833333</v>
      </c>
      <c r="W11" s="6" t="n">
        <v>46387.9999999884</v>
      </c>
    </row>
    <row r="12" customFormat="false" ht="12.75" hidden="false" customHeight="false" outlineLevel="0" collapsed="false">
      <c r="A12" s="1" t="s">
        <v>76</v>
      </c>
      <c r="B12" s="1" t="n">
        <v>16449585</v>
      </c>
      <c r="C12" s="1" t="s">
        <v>24</v>
      </c>
      <c r="D12" s="1" t="s">
        <v>77</v>
      </c>
      <c r="E12" s="1" t="s">
        <v>78</v>
      </c>
      <c r="F12" s="1" t="s">
        <v>79</v>
      </c>
      <c r="G12" s="2" t="s">
        <v>36</v>
      </c>
      <c r="H12" s="1" t="n">
        <v>3</v>
      </c>
      <c r="I12" s="1" t="n">
        <v>-1</v>
      </c>
      <c r="J12" s="1" t="n">
        <v>-1</v>
      </c>
      <c r="K12" s="1" t="n">
        <v>-1</v>
      </c>
      <c r="L12" s="2" t="n">
        <v>957.19</v>
      </c>
      <c r="M12" s="1" t="s">
        <v>65</v>
      </c>
      <c r="N12" s="1" t="s">
        <v>37</v>
      </c>
      <c r="O12" s="5" t="n">
        <v>46156.54375</v>
      </c>
      <c r="P12" s="5" t="n">
        <v>46196.6597222222</v>
      </c>
      <c r="Q12" s="1" t="n">
        <v>51.8803</v>
      </c>
      <c r="R12" s="1" t="n">
        <v>-115.1532</v>
      </c>
      <c r="S12" s="1" t="s">
        <v>80</v>
      </c>
      <c r="T12" s="1" t="n">
        <v>2026</v>
      </c>
      <c r="U12" s="1" t="n">
        <v>2026</v>
      </c>
      <c r="V12" s="5" t="n">
        <v>46196.9479166667</v>
      </c>
      <c r="W12" s="6" t="n">
        <v>46387.9999999884</v>
      </c>
    </row>
    <row r="13" customFormat="false" ht="12.75" hidden="false" customHeight="false" outlineLevel="0" collapsed="false">
      <c r="A13" s="1" t="s">
        <v>81</v>
      </c>
      <c r="B13" s="1" t="n">
        <v>15422248</v>
      </c>
      <c r="C13" s="1" t="s">
        <v>24</v>
      </c>
      <c r="D13" s="1" t="s">
        <v>33</v>
      </c>
      <c r="E13" s="1" t="s">
        <v>82</v>
      </c>
      <c r="F13" s="1" t="s">
        <v>83</v>
      </c>
      <c r="G13" s="2" t="s">
        <v>84</v>
      </c>
      <c r="H13" s="1" t="n">
        <v>5</v>
      </c>
      <c r="I13" s="1" t="n">
        <v>-1</v>
      </c>
      <c r="J13" s="1" t="n">
        <v>-1</v>
      </c>
      <c r="K13" s="1" t="n">
        <v>-1</v>
      </c>
      <c r="L13" s="2" t="n">
        <v>0.01</v>
      </c>
      <c r="M13" s="1" t="s">
        <v>29</v>
      </c>
      <c r="N13" s="1" t="s">
        <v>37</v>
      </c>
      <c r="O13" s="5" t="n">
        <v>46137.7833333333</v>
      </c>
      <c r="P13" s="5" t="n">
        <v>46137.7833333333</v>
      </c>
      <c r="Q13" s="1" t="n">
        <v>58.4774</v>
      </c>
      <c r="R13" s="1" t="n">
        <v>-114.521</v>
      </c>
      <c r="S13" s="1" t="s">
        <v>85</v>
      </c>
      <c r="T13" s="1" t="n">
        <v>2026</v>
      </c>
      <c r="U13" s="1" t="n">
        <v>2026</v>
      </c>
      <c r="V13" s="5" t="n">
        <v>46140.65625</v>
      </c>
      <c r="W13" s="6" t="n">
        <v>46387.9999999884</v>
      </c>
    </row>
    <row r="14" customFormat="false" ht="12.75" hidden="false" customHeight="false" outlineLevel="0" collapsed="false">
      <c r="A14" s="1" t="s">
        <v>86</v>
      </c>
      <c r="B14" s="1" t="n">
        <v>15393793</v>
      </c>
      <c r="C14" s="1" t="s">
        <v>24</v>
      </c>
      <c r="D14" s="1" t="s">
        <v>33</v>
      </c>
      <c r="E14" s="1" t="s">
        <v>87</v>
      </c>
      <c r="F14" s="1" t="s">
        <v>88</v>
      </c>
      <c r="G14" s="2" t="s">
        <v>84</v>
      </c>
      <c r="H14" s="1" t="n">
        <v>5</v>
      </c>
      <c r="I14" s="1" t="n">
        <v>-1</v>
      </c>
      <c r="J14" s="1" t="n">
        <v>-1</v>
      </c>
      <c r="K14" s="1" t="n">
        <v>-1</v>
      </c>
      <c r="L14" s="2" t="n">
        <v>0.01</v>
      </c>
      <c r="M14" s="1" t="s">
        <v>65</v>
      </c>
      <c r="N14" s="1" t="s">
        <v>37</v>
      </c>
      <c r="O14" s="5" t="n">
        <v>46113.5833333333</v>
      </c>
      <c r="P14" s="5" t="n">
        <v>46113.5902777778</v>
      </c>
      <c r="Q14" s="1" t="n">
        <v>58.528</v>
      </c>
      <c r="R14" s="1" t="n">
        <v>-115.1647</v>
      </c>
      <c r="S14" s="1" t="s">
        <v>89</v>
      </c>
      <c r="T14" s="1" t="n">
        <v>2026</v>
      </c>
      <c r="U14" s="1" t="n">
        <v>2026</v>
      </c>
      <c r="V14" s="5" t="n">
        <v>46119.65625</v>
      </c>
      <c r="W14" s="6" t="n">
        <v>46387.9999999884</v>
      </c>
    </row>
    <row r="15" customFormat="false" ht="12.75" hidden="false" customHeight="false" outlineLevel="0" collapsed="false">
      <c r="A15" s="1" t="s">
        <v>90</v>
      </c>
      <c r="B15" s="1" t="n">
        <v>18416839</v>
      </c>
      <c r="C15" s="1" t="s">
        <v>91</v>
      </c>
      <c r="D15" s="1" t="s">
        <v>92</v>
      </c>
      <c r="E15" s="1" t="s">
        <v>93</v>
      </c>
      <c r="F15" s="1" t="s">
        <v>94</v>
      </c>
      <c r="G15" s="2" t="s">
        <v>84</v>
      </c>
      <c r="H15" s="1" t="n">
        <v>-1</v>
      </c>
      <c r="I15" s="1" t="n">
        <v>-1</v>
      </c>
      <c r="J15" s="1" t="n">
        <v>0</v>
      </c>
      <c r="K15" s="1" t="n">
        <v>-1</v>
      </c>
      <c r="L15" s="2" t="n">
        <v>105.5</v>
      </c>
      <c r="M15" s="1" t="s">
        <v>65</v>
      </c>
      <c r="N15" s="1" t="s">
        <v>30</v>
      </c>
      <c r="O15" s="5" t="n">
        <v>46218.6694444444</v>
      </c>
      <c r="P15" s="5" t="n">
        <v>46223.9180555556</v>
      </c>
      <c r="Q15" s="1" t="n">
        <v>50.3046</v>
      </c>
      <c r="R15" s="1" t="n">
        <v>-122.7951</v>
      </c>
      <c r="S15" s="1" t="s">
        <v>95</v>
      </c>
      <c r="T15" s="1" t="n">
        <v>2026</v>
      </c>
      <c r="U15" s="1" t="n">
        <v>2026</v>
      </c>
      <c r="V15" s="5" t="n">
        <v>46224.3229166667</v>
      </c>
      <c r="W15" s="6" t="n">
        <v>46387.9999999884</v>
      </c>
    </row>
    <row r="16" customFormat="false" ht="12.75" hidden="false" customHeight="false" outlineLevel="0" collapsed="false">
      <c r="A16" s="1" t="s">
        <v>96</v>
      </c>
      <c r="B16" s="1" t="n">
        <v>18410907</v>
      </c>
      <c r="C16" s="1" t="s">
        <v>91</v>
      </c>
      <c r="D16" s="1" t="s">
        <v>97</v>
      </c>
      <c r="E16" s="1" t="s">
        <v>98</v>
      </c>
      <c r="F16" s="1" t="s">
        <v>99</v>
      </c>
      <c r="G16" s="2" t="s">
        <v>28</v>
      </c>
      <c r="H16" s="1" t="n">
        <v>-1</v>
      </c>
      <c r="I16" s="1" t="n">
        <v>-1</v>
      </c>
      <c r="J16" s="1" t="n">
        <v>0</v>
      </c>
      <c r="K16" s="1" t="n">
        <v>-1</v>
      </c>
      <c r="L16" s="2" t="n">
        <v>0.3</v>
      </c>
      <c r="M16" s="1" t="s">
        <v>29</v>
      </c>
      <c r="N16" s="1" t="s">
        <v>37</v>
      </c>
      <c r="O16" s="5" t="n">
        <v>46220.7243055556</v>
      </c>
      <c r="P16" s="5" t="n">
        <v>46223.8763888889</v>
      </c>
      <c r="Q16" s="1" t="n">
        <v>53.3611</v>
      </c>
      <c r="R16" s="1" t="n">
        <v>-123.8289</v>
      </c>
      <c r="S16" s="1" t="s">
        <v>100</v>
      </c>
      <c r="T16" s="1" t="n">
        <v>2026</v>
      </c>
      <c r="U16" s="1" t="n">
        <v>2026</v>
      </c>
      <c r="V16" s="5" t="n">
        <v>46224.28125</v>
      </c>
      <c r="W16" s="6" t="n">
        <v>46387.9999999884</v>
      </c>
    </row>
    <row r="17" customFormat="false" ht="12.75" hidden="false" customHeight="false" outlineLevel="0" collapsed="false">
      <c r="A17" s="1" t="s">
        <v>101</v>
      </c>
      <c r="B17" s="1" t="n">
        <v>18411385</v>
      </c>
      <c r="C17" s="1" t="s">
        <v>91</v>
      </c>
      <c r="D17" s="1" t="s">
        <v>102</v>
      </c>
      <c r="E17" s="1" t="s">
        <v>103</v>
      </c>
      <c r="F17" s="1" t="s">
        <v>104</v>
      </c>
      <c r="G17" s="2" t="s">
        <v>28</v>
      </c>
      <c r="H17" s="1" t="n">
        <v>-1</v>
      </c>
      <c r="I17" s="1" t="n">
        <v>-1</v>
      </c>
      <c r="J17" s="1" t="n">
        <v>0</v>
      </c>
      <c r="K17" s="1" t="n">
        <v>-1</v>
      </c>
      <c r="L17" s="2" t="n">
        <v>2.5</v>
      </c>
      <c r="M17" s="1" t="s">
        <v>29</v>
      </c>
      <c r="N17" s="1" t="s">
        <v>105</v>
      </c>
      <c r="O17" s="5" t="n">
        <v>46223.75</v>
      </c>
      <c r="P17" s="5" t="n">
        <v>46223.8958333333</v>
      </c>
      <c r="Q17" s="1" t="n">
        <v>59.8227</v>
      </c>
      <c r="R17" s="1" t="n">
        <v>-133.9205</v>
      </c>
      <c r="S17" s="1" t="s">
        <v>106</v>
      </c>
      <c r="T17" s="1" t="n">
        <v>2026</v>
      </c>
      <c r="U17" s="1" t="n">
        <v>2026</v>
      </c>
      <c r="V17" s="5" t="n">
        <v>46224.28125</v>
      </c>
      <c r="W17" s="6" t="n">
        <v>46387.9999999884</v>
      </c>
    </row>
    <row r="18" customFormat="false" ht="12.75" hidden="false" customHeight="false" outlineLevel="0" collapsed="false">
      <c r="A18" s="1" t="s">
        <v>107</v>
      </c>
      <c r="B18" s="1" t="n">
        <v>18409255</v>
      </c>
      <c r="C18" s="1" t="s">
        <v>91</v>
      </c>
      <c r="D18" s="1" t="s">
        <v>92</v>
      </c>
      <c r="E18" s="1" t="s">
        <v>108</v>
      </c>
      <c r="F18" s="1" t="s">
        <v>109</v>
      </c>
      <c r="G18" s="2" t="s">
        <v>28</v>
      </c>
      <c r="H18" s="1" t="n">
        <v>-1</v>
      </c>
      <c r="I18" s="1" t="n">
        <v>-1</v>
      </c>
      <c r="J18" s="1" t="n">
        <v>0</v>
      </c>
      <c r="K18" s="1" t="n">
        <v>-1</v>
      </c>
      <c r="L18" s="2" t="n">
        <v>0.009</v>
      </c>
      <c r="M18" s="1" t="s">
        <v>65</v>
      </c>
      <c r="N18" s="1" t="s">
        <v>37</v>
      </c>
      <c r="O18" s="5" t="n">
        <v>46220.8986111111</v>
      </c>
      <c r="P18" s="5" t="n">
        <v>46223.8541666667</v>
      </c>
      <c r="Q18" s="1" t="n">
        <v>49.8884</v>
      </c>
      <c r="R18" s="1" t="n">
        <v>-123.3344</v>
      </c>
      <c r="S18" s="1" t="s">
        <v>110</v>
      </c>
      <c r="T18" s="1" t="n">
        <v>2026</v>
      </c>
      <c r="U18" s="1" t="n">
        <v>2026</v>
      </c>
      <c r="V18" s="5" t="n">
        <v>46224.2395833333</v>
      </c>
      <c r="W18" s="6" t="n">
        <v>46387.9999999884</v>
      </c>
    </row>
    <row r="19" customFormat="false" ht="12.75" hidden="false" customHeight="false" outlineLevel="0" collapsed="false">
      <c r="A19" s="1" t="s">
        <v>111</v>
      </c>
      <c r="B19" s="1" t="n">
        <v>18409224</v>
      </c>
      <c r="C19" s="1" t="s">
        <v>91</v>
      </c>
      <c r="D19" s="1" t="s">
        <v>112</v>
      </c>
      <c r="E19" s="1" t="s">
        <v>113</v>
      </c>
      <c r="F19" s="1" t="s">
        <v>114</v>
      </c>
      <c r="G19" s="2" t="s">
        <v>84</v>
      </c>
      <c r="H19" s="1" t="n">
        <v>-1</v>
      </c>
      <c r="I19" s="1" t="n">
        <v>-1</v>
      </c>
      <c r="J19" s="1" t="n">
        <v>0</v>
      </c>
      <c r="K19" s="1" t="n">
        <v>-1</v>
      </c>
      <c r="L19" s="2" t="n">
        <v>16499</v>
      </c>
      <c r="M19" s="1" t="s">
        <v>65</v>
      </c>
      <c r="N19" s="1" t="s">
        <v>105</v>
      </c>
      <c r="O19" s="5" t="n">
        <v>46207.7993055556</v>
      </c>
      <c r="P19" s="5" t="n">
        <v>46223.8541666667</v>
      </c>
      <c r="Q19" s="1" t="n">
        <v>49.9475</v>
      </c>
      <c r="R19" s="1" t="n">
        <v>-121.4584</v>
      </c>
      <c r="S19" s="1" t="s">
        <v>115</v>
      </c>
      <c r="T19" s="1" t="n">
        <v>2026</v>
      </c>
      <c r="U19" s="1" t="n">
        <v>2026</v>
      </c>
      <c r="V19" s="5" t="n">
        <v>46224.2395833333</v>
      </c>
      <c r="W19" s="6" t="n">
        <v>46387.9999999884</v>
      </c>
    </row>
    <row r="20" customFormat="false" ht="12.75" hidden="false" customHeight="false" outlineLevel="0" collapsed="false">
      <c r="A20" s="1" t="s">
        <v>116</v>
      </c>
      <c r="B20" s="1" t="n">
        <v>18409221</v>
      </c>
      <c r="C20" s="1" t="s">
        <v>91</v>
      </c>
      <c r="D20" s="1" t="s">
        <v>112</v>
      </c>
      <c r="E20" s="1" t="s">
        <v>117</v>
      </c>
      <c r="F20" s="1" t="s">
        <v>118</v>
      </c>
      <c r="G20" s="2" t="s">
        <v>84</v>
      </c>
      <c r="H20" s="1" t="n">
        <v>-1</v>
      </c>
      <c r="I20" s="1" t="n">
        <v>-1</v>
      </c>
      <c r="J20" s="1" t="n">
        <v>0</v>
      </c>
      <c r="K20" s="1" t="n">
        <v>-1</v>
      </c>
      <c r="L20" s="2" t="n">
        <v>4261</v>
      </c>
      <c r="M20" s="1" t="s">
        <v>65</v>
      </c>
      <c r="N20" s="1" t="s">
        <v>105</v>
      </c>
      <c r="O20" s="5" t="n">
        <v>46205.5145833333</v>
      </c>
      <c r="P20" s="5" t="n">
        <v>46223.8541666667</v>
      </c>
      <c r="Q20" s="1" t="n">
        <v>49.8934</v>
      </c>
      <c r="R20" s="1" t="n">
        <v>-121.4548</v>
      </c>
      <c r="S20" s="1" t="s">
        <v>119</v>
      </c>
      <c r="T20" s="1" t="n">
        <v>2026</v>
      </c>
      <c r="U20" s="1" t="n">
        <v>2026</v>
      </c>
      <c r="V20" s="5" t="n">
        <v>46224.2395833333</v>
      </c>
      <c r="W20" s="6" t="n">
        <v>46387.9999999884</v>
      </c>
    </row>
    <row r="21" customFormat="false" ht="12.75" hidden="false" customHeight="false" outlineLevel="0" collapsed="false">
      <c r="A21" s="1" t="s">
        <v>120</v>
      </c>
      <c r="B21" s="1" t="n">
        <v>18405616</v>
      </c>
      <c r="C21" s="1" t="s">
        <v>91</v>
      </c>
      <c r="D21" s="1" t="s">
        <v>121</v>
      </c>
      <c r="E21" s="1" t="s">
        <v>122</v>
      </c>
      <c r="F21" s="1" t="s">
        <v>123</v>
      </c>
      <c r="G21" s="2" t="s">
        <v>28</v>
      </c>
      <c r="H21" s="1" t="n">
        <v>-1</v>
      </c>
      <c r="I21" s="1" t="n">
        <v>-1</v>
      </c>
      <c r="J21" s="1" t="n">
        <v>0</v>
      </c>
      <c r="K21" s="1" t="n">
        <v>-1</v>
      </c>
      <c r="L21" s="2" t="n">
        <v>0.08</v>
      </c>
      <c r="M21" s="1" t="s">
        <v>65</v>
      </c>
      <c r="N21" s="1" t="s">
        <v>105</v>
      </c>
      <c r="O21" s="5" t="n">
        <v>46223.6430555556</v>
      </c>
      <c r="P21" s="5" t="n">
        <v>46223.8125</v>
      </c>
      <c r="Q21" s="1" t="n">
        <v>49.1005</v>
      </c>
      <c r="R21" s="1" t="n">
        <v>-118.1982</v>
      </c>
      <c r="S21" s="1" t="s">
        <v>124</v>
      </c>
      <c r="T21" s="1" t="n">
        <v>2026</v>
      </c>
      <c r="U21" s="1" t="n">
        <v>2026</v>
      </c>
      <c r="V21" s="5" t="n">
        <v>46224.1979166667</v>
      </c>
      <c r="W21" s="6" t="n">
        <v>46387.9999999884</v>
      </c>
    </row>
    <row r="22" customFormat="false" ht="12.75" hidden="false" customHeight="false" outlineLevel="0" collapsed="false">
      <c r="A22" s="1" t="s">
        <v>125</v>
      </c>
      <c r="B22" s="1" t="n">
        <v>18405562</v>
      </c>
      <c r="C22" s="1" t="s">
        <v>91</v>
      </c>
      <c r="D22" s="1" t="s">
        <v>126</v>
      </c>
      <c r="E22" s="1" t="s">
        <v>127</v>
      </c>
      <c r="F22" s="1" t="s">
        <v>128</v>
      </c>
      <c r="G22" s="2" t="s">
        <v>28</v>
      </c>
      <c r="H22" s="1" t="n">
        <v>-1</v>
      </c>
      <c r="I22" s="1" t="n">
        <v>-1</v>
      </c>
      <c r="J22" s="1" t="n">
        <v>0</v>
      </c>
      <c r="K22" s="1" t="n">
        <v>-1</v>
      </c>
      <c r="L22" s="2" t="n">
        <v>0.01</v>
      </c>
      <c r="M22" s="1" t="s">
        <v>65</v>
      </c>
      <c r="N22" s="1" t="s">
        <v>37</v>
      </c>
      <c r="O22" s="5" t="n">
        <v>46221.8159722222</v>
      </c>
      <c r="P22" s="5" t="n">
        <v>46223.8125</v>
      </c>
      <c r="Q22" s="1" t="n">
        <v>51.4347</v>
      </c>
      <c r="R22" s="1" t="n">
        <v>-118.4847</v>
      </c>
      <c r="S22" s="1" t="s">
        <v>129</v>
      </c>
      <c r="T22" s="1" t="n">
        <v>2026</v>
      </c>
      <c r="U22" s="1" t="n">
        <v>2026</v>
      </c>
      <c r="V22" s="5" t="n">
        <v>46224.1979166667</v>
      </c>
      <c r="W22" s="6" t="n">
        <v>46387.9999999884</v>
      </c>
    </row>
    <row r="23" customFormat="false" ht="12.75" hidden="false" customHeight="false" outlineLevel="0" collapsed="false">
      <c r="A23" s="1" t="s">
        <v>130</v>
      </c>
      <c r="B23" s="1" t="n">
        <v>18405355</v>
      </c>
      <c r="C23" s="1" t="s">
        <v>91</v>
      </c>
      <c r="D23" s="1" t="s">
        <v>131</v>
      </c>
      <c r="E23" s="1" t="s">
        <v>132</v>
      </c>
      <c r="F23" s="1" t="s">
        <v>133</v>
      </c>
      <c r="G23" s="2" t="s">
        <v>28</v>
      </c>
      <c r="H23" s="1" t="n">
        <v>-1</v>
      </c>
      <c r="I23" s="1" t="n">
        <v>-1</v>
      </c>
      <c r="J23" s="1" t="n">
        <v>0</v>
      </c>
      <c r="K23" s="1" t="n">
        <v>-1</v>
      </c>
      <c r="L23" s="2" t="n">
        <v>23</v>
      </c>
      <c r="M23" s="1" t="s">
        <v>65</v>
      </c>
      <c r="N23" s="1" t="s">
        <v>30</v>
      </c>
      <c r="O23" s="5" t="n">
        <v>46222.7881944444</v>
      </c>
      <c r="P23" s="5" t="n">
        <v>46223.7930555556</v>
      </c>
      <c r="Q23" s="1" t="n">
        <v>57.111</v>
      </c>
      <c r="R23" s="1" t="n">
        <v>-127.5983</v>
      </c>
      <c r="S23" s="1" t="s">
        <v>134</v>
      </c>
      <c r="T23" s="1" t="n">
        <v>2026</v>
      </c>
      <c r="U23" s="1" t="n">
        <v>2026</v>
      </c>
      <c r="V23" s="5" t="n">
        <v>46224.1979166667</v>
      </c>
      <c r="W23" s="6" t="n">
        <v>46387.9999999884</v>
      </c>
    </row>
    <row r="24" customFormat="false" ht="12.75" hidden="false" customHeight="false" outlineLevel="0" collapsed="false">
      <c r="A24" s="1" t="s">
        <v>135</v>
      </c>
      <c r="B24" s="1" t="n">
        <v>18402583</v>
      </c>
      <c r="C24" s="1" t="s">
        <v>91</v>
      </c>
      <c r="D24" s="1" t="s">
        <v>97</v>
      </c>
      <c r="E24" s="1" t="s">
        <v>136</v>
      </c>
      <c r="F24" s="1" t="s">
        <v>137</v>
      </c>
      <c r="G24" s="2" t="s">
        <v>84</v>
      </c>
      <c r="H24" s="1" t="n">
        <v>-1</v>
      </c>
      <c r="I24" s="1" t="n">
        <v>-1</v>
      </c>
      <c r="J24" s="1" t="n">
        <v>0</v>
      </c>
      <c r="K24" s="1" t="n">
        <v>-1</v>
      </c>
      <c r="L24" s="2" t="n">
        <v>0.009</v>
      </c>
      <c r="M24" s="1" t="s">
        <v>70</v>
      </c>
      <c r="N24" s="1" t="s">
        <v>30</v>
      </c>
      <c r="O24" s="5" t="n">
        <v>46220.8006944444</v>
      </c>
      <c r="P24" s="5" t="n">
        <v>46223.7708333333</v>
      </c>
      <c r="Q24" s="1" t="n">
        <v>53.1298</v>
      </c>
      <c r="R24" s="1" t="n">
        <v>-120.8774</v>
      </c>
      <c r="S24" s="1" t="s">
        <v>138</v>
      </c>
      <c r="T24" s="1" t="n">
        <v>2026</v>
      </c>
      <c r="U24" s="1" t="n">
        <v>2026</v>
      </c>
      <c r="V24" s="5" t="n">
        <v>46224.15625</v>
      </c>
      <c r="W24" s="6" t="n">
        <v>46387.9999999884</v>
      </c>
    </row>
    <row r="25" customFormat="false" ht="12.75" hidden="false" customHeight="false" outlineLevel="0" collapsed="false">
      <c r="A25" s="1" t="s">
        <v>139</v>
      </c>
      <c r="B25" s="1" t="n">
        <v>18397118</v>
      </c>
      <c r="C25" s="1" t="s">
        <v>91</v>
      </c>
      <c r="D25" s="1" t="s">
        <v>140</v>
      </c>
      <c r="E25" s="1" t="s">
        <v>141</v>
      </c>
      <c r="F25" s="1" t="s">
        <v>142</v>
      </c>
      <c r="G25" s="2" t="s">
        <v>28</v>
      </c>
      <c r="H25" s="1" t="n">
        <v>-1</v>
      </c>
      <c r="I25" s="1" t="n">
        <v>-1</v>
      </c>
      <c r="J25" s="1" t="n">
        <v>0</v>
      </c>
      <c r="K25" s="1" t="n">
        <v>-1</v>
      </c>
      <c r="L25" s="2" t="n">
        <v>0.6</v>
      </c>
      <c r="M25" s="1" t="s">
        <v>70</v>
      </c>
      <c r="N25" s="1" t="s">
        <v>105</v>
      </c>
      <c r="O25" s="5" t="n">
        <v>46220.8520833333</v>
      </c>
      <c r="P25" s="5" t="n">
        <v>46223.7291666667</v>
      </c>
      <c r="Q25" s="1" t="n">
        <v>52.8655</v>
      </c>
      <c r="R25" s="1" t="n">
        <v>-120.611</v>
      </c>
      <c r="S25" s="1" t="s">
        <v>143</v>
      </c>
      <c r="T25" s="1" t="n">
        <v>2026</v>
      </c>
      <c r="U25" s="1" t="n">
        <v>2026</v>
      </c>
      <c r="V25" s="5" t="n">
        <v>46224.1145833333</v>
      </c>
      <c r="W25" s="6" t="n">
        <v>46387.9999999884</v>
      </c>
    </row>
    <row r="26" customFormat="false" ht="12.75" hidden="false" customHeight="false" outlineLevel="0" collapsed="false">
      <c r="A26" s="1" t="s">
        <v>144</v>
      </c>
      <c r="B26" s="1" t="n">
        <v>18395536</v>
      </c>
      <c r="C26" s="1" t="s">
        <v>91</v>
      </c>
      <c r="D26" s="1" t="s">
        <v>97</v>
      </c>
      <c r="E26" s="1" t="s">
        <v>145</v>
      </c>
      <c r="F26" s="1" t="s">
        <v>146</v>
      </c>
      <c r="G26" s="2" t="s">
        <v>28</v>
      </c>
      <c r="H26" s="1" t="n">
        <v>-1</v>
      </c>
      <c r="I26" s="1" t="n">
        <v>-1</v>
      </c>
      <c r="J26" s="1" t="n">
        <v>0</v>
      </c>
      <c r="K26" s="1" t="n">
        <v>-1</v>
      </c>
      <c r="L26" s="2" t="n">
        <v>1.1</v>
      </c>
      <c r="M26" s="1" t="s">
        <v>29</v>
      </c>
      <c r="N26" s="1" t="s">
        <v>105</v>
      </c>
      <c r="O26" s="5" t="n">
        <v>46220.7902777778</v>
      </c>
      <c r="P26" s="5" t="n">
        <v>46223.6680555556</v>
      </c>
      <c r="Q26" s="1" t="n">
        <v>52.9431</v>
      </c>
      <c r="R26" s="1" t="n">
        <v>-121.5645</v>
      </c>
      <c r="S26" s="1" t="s">
        <v>147</v>
      </c>
      <c r="T26" s="1" t="n">
        <v>2026</v>
      </c>
      <c r="U26" s="1" t="n">
        <v>2026</v>
      </c>
      <c r="V26" s="5" t="n">
        <v>46224.0729166667</v>
      </c>
      <c r="W26" s="6" t="n">
        <v>46387.9999999884</v>
      </c>
    </row>
    <row r="27" customFormat="false" ht="12.75" hidden="false" customHeight="false" outlineLevel="0" collapsed="false">
      <c r="A27" s="1" t="s">
        <v>148</v>
      </c>
      <c r="B27" s="1" t="n">
        <v>18395918</v>
      </c>
      <c r="C27" s="1" t="s">
        <v>91</v>
      </c>
      <c r="D27" s="1" t="s">
        <v>126</v>
      </c>
      <c r="E27" s="1" t="s">
        <v>149</v>
      </c>
      <c r="F27" s="1" t="s">
        <v>150</v>
      </c>
      <c r="G27" s="2" t="s">
        <v>28</v>
      </c>
      <c r="H27" s="1" t="n">
        <v>-1</v>
      </c>
      <c r="I27" s="1" t="n">
        <v>-1</v>
      </c>
      <c r="J27" s="1" t="n">
        <v>0</v>
      </c>
      <c r="K27" s="1" t="n">
        <v>-1</v>
      </c>
      <c r="L27" s="2" t="n">
        <v>0.009</v>
      </c>
      <c r="M27" s="1" t="s">
        <v>65</v>
      </c>
      <c r="N27" s="1" t="s">
        <v>105</v>
      </c>
      <c r="O27" s="5" t="n">
        <v>46223.6666666667</v>
      </c>
      <c r="P27" s="5" t="n">
        <v>46223.6680555556</v>
      </c>
      <c r="Q27" s="1" t="n">
        <v>51.5062</v>
      </c>
      <c r="R27" s="1" t="n">
        <v>-118.4267</v>
      </c>
      <c r="S27" s="1" t="s">
        <v>151</v>
      </c>
      <c r="T27" s="1" t="n">
        <v>2026</v>
      </c>
      <c r="U27" s="1" t="n">
        <v>2026</v>
      </c>
      <c r="V27" s="5" t="n">
        <v>46224.0729166667</v>
      </c>
      <c r="W27" s="6" t="n">
        <v>46387.9999999884</v>
      </c>
    </row>
    <row r="28" customFormat="false" ht="12.75" hidden="false" customHeight="false" outlineLevel="0" collapsed="false">
      <c r="A28" s="1" t="s">
        <v>152</v>
      </c>
      <c r="B28" s="1" t="n">
        <v>18390651</v>
      </c>
      <c r="C28" s="1" t="s">
        <v>91</v>
      </c>
      <c r="D28" s="1" t="s">
        <v>112</v>
      </c>
      <c r="E28" s="1" t="s">
        <v>153</v>
      </c>
      <c r="F28" s="1" t="s">
        <v>154</v>
      </c>
      <c r="G28" s="2" t="s">
        <v>28</v>
      </c>
      <c r="H28" s="1" t="n">
        <v>-1</v>
      </c>
      <c r="I28" s="1" t="n">
        <v>-1</v>
      </c>
      <c r="J28" s="1" t="n">
        <v>0</v>
      </c>
      <c r="K28" s="1" t="n">
        <v>-1</v>
      </c>
      <c r="L28" s="2" t="n">
        <v>5</v>
      </c>
      <c r="M28" s="1" t="s">
        <v>29</v>
      </c>
      <c r="N28" s="1" t="s">
        <v>30</v>
      </c>
      <c r="O28" s="5" t="n">
        <v>46219.6881944445</v>
      </c>
      <c r="P28" s="5" t="n">
        <v>46223.6458333333</v>
      </c>
      <c r="Q28" s="1" t="n">
        <v>49.1127</v>
      </c>
      <c r="R28" s="1" t="n">
        <v>-120.9404</v>
      </c>
      <c r="S28" s="1" t="s">
        <v>155</v>
      </c>
      <c r="T28" s="1" t="n">
        <v>2026</v>
      </c>
      <c r="U28" s="1" t="n">
        <v>2026</v>
      </c>
      <c r="V28" s="5" t="n">
        <v>46224.03125</v>
      </c>
      <c r="W28" s="6" t="n">
        <v>46387.9999999884</v>
      </c>
    </row>
    <row r="29" customFormat="false" ht="12.75" hidden="false" customHeight="false" outlineLevel="0" collapsed="false">
      <c r="A29" s="1" t="s">
        <v>156</v>
      </c>
      <c r="B29" s="1" t="n">
        <v>18390616</v>
      </c>
      <c r="C29" s="1" t="s">
        <v>91</v>
      </c>
      <c r="D29" s="1" t="s">
        <v>102</v>
      </c>
      <c r="E29" s="1" t="s">
        <v>157</v>
      </c>
      <c r="F29" s="1" t="s">
        <v>158</v>
      </c>
      <c r="G29" s="2" t="s">
        <v>28</v>
      </c>
      <c r="H29" s="1" t="n">
        <v>-1</v>
      </c>
      <c r="I29" s="1" t="n">
        <v>-1</v>
      </c>
      <c r="J29" s="1" t="n">
        <v>0</v>
      </c>
      <c r="K29" s="1" t="n">
        <v>-1</v>
      </c>
      <c r="L29" s="2" t="n">
        <v>54.5</v>
      </c>
      <c r="M29" s="1" t="s">
        <v>29</v>
      </c>
      <c r="N29" s="1" t="s">
        <v>30</v>
      </c>
      <c r="O29" s="5" t="n">
        <v>46216.7951388889</v>
      </c>
      <c r="P29" s="5" t="n">
        <v>46223.6458333333</v>
      </c>
      <c r="Q29" s="1" t="n">
        <v>59.7547</v>
      </c>
      <c r="R29" s="1" t="n">
        <v>-129.1575</v>
      </c>
      <c r="S29" s="1" t="s">
        <v>159</v>
      </c>
      <c r="T29" s="1" t="n">
        <v>2026</v>
      </c>
      <c r="U29" s="1" t="n">
        <v>2026</v>
      </c>
      <c r="V29" s="5" t="n">
        <v>46224.03125</v>
      </c>
      <c r="W29" s="6" t="n">
        <v>46387.9999999884</v>
      </c>
    </row>
    <row r="30" customFormat="false" ht="12.75" hidden="false" customHeight="false" outlineLevel="0" collapsed="false">
      <c r="A30" s="1" t="s">
        <v>160</v>
      </c>
      <c r="B30" s="1" t="n">
        <v>18390653</v>
      </c>
      <c r="C30" s="1" t="s">
        <v>91</v>
      </c>
      <c r="D30" s="1" t="s">
        <v>112</v>
      </c>
      <c r="E30" s="1" t="s">
        <v>161</v>
      </c>
      <c r="F30" s="1" t="s">
        <v>162</v>
      </c>
      <c r="G30" s="2" t="s">
        <v>28</v>
      </c>
      <c r="H30" s="1" t="n">
        <v>-1</v>
      </c>
      <c r="I30" s="1" t="n">
        <v>-1</v>
      </c>
      <c r="J30" s="1" t="n">
        <v>0</v>
      </c>
      <c r="K30" s="1" t="n">
        <v>-1</v>
      </c>
      <c r="L30" s="2" t="n">
        <v>0.009</v>
      </c>
      <c r="M30" s="1" t="s">
        <v>65</v>
      </c>
      <c r="N30" s="1" t="s">
        <v>37</v>
      </c>
      <c r="O30" s="5" t="n">
        <v>46219.7854166667</v>
      </c>
      <c r="P30" s="5" t="n">
        <v>46223.6458333333</v>
      </c>
      <c r="Q30" s="1" t="n">
        <v>49.1102</v>
      </c>
      <c r="R30" s="1" t="n">
        <v>-120.984</v>
      </c>
      <c r="S30" s="1" t="s">
        <v>163</v>
      </c>
      <c r="T30" s="1" t="n">
        <v>2026</v>
      </c>
      <c r="U30" s="1" t="n">
        <v>2026</v>
      </c>
      <c r="V30" s="5" t="n">
        <v>46224.03125</v>
      </c>
      <c r="W30" s="6" t="n">
        <v>46387.9999999884</v>
      </c>
    </row>
    <row r="31" customFormat="false" ht="12.75" hidden="false" customHeight="false" outlineLevel="0" collapsed="false">
      <c r="A31" s="1" t="s">
        <v>164</v>
      </c>
      <c r="B31" s="1" t="n">
        <v>18390655</v>
      </c>
      <c r="C31" s="1" t="s">
        <v>91</v>
      </c>
      <c r="D31" s="1" t="s">
        <v>112</v>
      </c>
      <c r="E31" s="1" t="s">
        <v>165</v>
      </c>
      <c r="F31" s="1" t="s">
        <v>166</v>
      </c>
      <c r="G31" s="2" t="s">
        <v>84</v>
      </c>
      <c r="H31" s="1" t="n">
        <v>-1</v>
      </c>
      <c r="I31" s="1" t="n">
        <v>-1</v>
      </c>
      <c r="J31" s="1" t="n">
        <v>0</v>
      </c>
      <c r="K31" s="1" t="n">
        <v>-1</v>
      </c>
      <c r="L31" s="2" t="n">
        <v>0.009</v>
      </c>
      <c r="M31" s="1" t="s">
        <v>65</v>
      </c>
      <c r="N31" s="1" t="s">
        <v>37</v>
      </c>
      <c r="O31" s="5" t="n">
        <v>46220.2993055556</v>
      </c>
      <c r="P31" s="5" t="n">
        <v>46223.6458333333</v>
      </c>
      <c r="Q31" s="1" t="n">
        <v>49.1371</v>
      </c>
      <c r="R31" s="1" t="n">
        <v>-120.9887</v>
      </c>
      <c r="S31" s="1" t="s">
        <v>167</v>
      </c>
      <c r="T31" s="1" t="n">
        <v>2026</v>
      </c>
      <c r="U31" s="1" t="n">
        <v>2026</v>
      </c>
      <c r="V31" s="5" t="n">
        <v>46224.03125</v>
      </c>
      <c r="W31" s="6" t="n">
        <v>46387.9999999884</v>
      </c>
    </row>
    <row r="32" customFormat="false" ht="12.75" hidden="false" customHeight="false" outlineLevel="0" collapsed="false">
      <c r="A32" s="1" t="s">
        <v>168</v>
      </c>
      <c r="B32" s="1" t="n">
        <v>18390656</v>
      </c>
      <c r="C32" s="1" t="s">
        <v>91</v>
      </c>
      <c r="D32" s="1" t="s">
        <v>112</v>
      </c>
      <c r="E32" s="1" t="s">
        <v>169</v>
      </c>
      <c r="F32" s="1" t="s">
        <v>170</v>
      </c>
      <c r="G32" s="2" t="s">
        <v>84</v>
      </c>
      <c r="H32" s="1" t="n">
        <v>-1</v>
      </c>
      <c r="I32" s="1" t="n">
        <v>-1</v>
      </c>
      <c r="J32" s="1" t="n">
        <v>0</v>
      </c>
      <c r="K32" s="1" t="n">
        <v>-1</v>
      </c>
      <c r="L32" s="2" t="n">
        <v>0.009</v>
      </c>
      <c r="M32" s="1" t="s">
        <v>70</v>
      </c>
      <c r="N32" s="1" t="s">
        <v>30</v>
      </c>
      <c r="O32" s="5" t="n">
        <v>46220.625</v>
      </c>
      <c r="P32" s="5" t="n">
        <v>46223.6458333333</v>
      </c>
      <c r="Q32" s="1" t="n">
        <v>49.2069</v>
      </c>
      <c r="R32" s="1" t="n">
        <v>-121.0202</v>
      </c>
      <c r="S32" s="1" t="s">
        <v>171</v>
      </c>
      <c r="T32" s="1" t="n">
        <v>2026</v>
      </c>
      <c r="U32" s="1" t="n">
        <v>2026</v>
      </c>
      <c r="V32" s="5" t="n">
        <v>46224.03125</v>
      </c>
      <c r="W32" s="6" t="n">
        <v>46387.9999999884</v>
      </c>
    </row>
    <row r="33" customFormat="false" ht="12.75" hidden="false" customHeight="false" outlineLevel="0" collapsed="false">
      <c r="A33" s="1" t="s">
        <v>172</v>
      </c>
      <c r="B33" s="1" t="n">
        <v>18390657</v>
      </c>
      <c r="C33" s="1" t="s">
        <v>91</v>
      </c>
      <c r="D33" s="1" t="s">
        <v>112</v>
      </c>
      <c r="E33" s="1" t="s">
        <v>173</v>
      </c>
      <c r="F33" s="1" t="s">
        <v>174</v>
      </c>
      <c r="G33" s="2" t="s">
        <v>28</v>
      </c>
      <c r="H33" s="1" t="n">
        <v>-1</v>
      </c>
      <c r="I33" s="1" t="n">
        <v>-1</v>
      </c>
      <c r="J33" s="1" t="n">
        <v>0</v>
      </c>
      <c r="K33" s="1" t="n">
        <v>-1</v>
      </c>
      <c r="L33" s="2" t="n">
        <v>2</v>
      </c>
      <c r="M33" s="1" t="s">
        <v>65</v>
      </c>
      <c r="N33" s="1" t="s">
        <v>30</v>
      </c>
      <c r="O33" s="5" t="n">
        <v>46220.6847222222</v>
      </c>
      <c r="P33" s="5" t="n">
        <v>46223.6458333333</v>
      </c>
      <c r="Q33" s="1" t="n">
        <v>49.1226</v>
      </c>
      <c r="R33" s="1" t="n">
        <v>-120.9159</v>
      </c>
      <c r="S33" s="1" t="s">
        <v>175</v>
      </c>
      <c r="T33" s="1" t="n">
        <v>2026</v>
      </c>
      <c r="U33" s="1" t="n">
        <v>2026</v>
      </c>
      <c r="V33" s="5" t="n">
        <v>46224.03125</v>
      </c>
      <c r="W33" s="6" t="n">
        <v>46387.9999999884</v>
      </c>
    </row>
    <row r="34" customFormat="false" ht="12.75" hidden="false" customHeight="false" outlineLevel="0" collapsed="false">
      <c r="A34" s="1" t="s">
        <v>176</v>
      </c>
      <c r="B34" s="1" t="n">
        <v>18390658</v>
      </c>
      <c r="C34" s="1" t="s">
        <v>91</v>
      </c>
      <c r="D34" s="1" t="s">
        <v>112</v>
      </c>
      <c r="E34" s="1" t="s">
        <v>177</v>
      </c>
      <c r="F34" s="1" t="s">
        <v>178</v>
      </c>
      <c r="G34" s="2" t="s">
        <v>28</v>
      </c>
      <c r="H34" s="1" t="n">
        <v>-1</v>
      </c>
      <c r="I34" s="1" t="n">
        <v>-1</v>
      </c>
      <c r="J34" s="1" t="n">
        <v>0</v>
      </c>
      <c r="K34" s="1" t="n">
        <v>-1</v>
      </c>
      <c r="L34" s="2" t="n">
        <v>0.009</v>
      </c>
      <c r="M34" s="1" t="s">
        <v>65</v>
      </c>
      <c r="N34" s="1" t="s">
        <v>30</v>
      </c>
      <c r="O34" s="5" t="n">
        <v>46222.7444444444</v>
      </c>
      <c r="P34" s="5" t="n">
        <v>46223.6458333333</v>
      </c>
      <c r="Q34" s="1" t="n">
        <v>49.1213</v>
      </c>
      <c r="R34" s="1" t="n">
        <v>-120.9688</v>
      </c>
      <c r="S34" s="1" t="s">
        <v>179</v>
      </c>
      <c r="T34" s="1" t="n">
        <v>2026</v>
      </c>
      <c r="U34" s="1" t="n">
        <v>2026</v>
      </c>
      <c r="V34" s="5" t="n">
        <v>46224.03125</v>
      </c>
      <c r="W34" s="6" t="n">
        <v>46387.9999999884</v>
      </c>
    </row>
    <row r="35" customFormat="false" ht="12.75" hidden="false" customHeight="false" outlineLevel="0" collapsed="false">
      <c r="A35" s="1" t="s">
        <v>180</v>
      </c>
      <c r="B35" s="1" t="n">
        <v>18386852</v>
      </c>
      <c r="C35" s="1" t="s">
        <v>91</v>
      </c>
      <c r="D35" s="1" t="s">
        <v>121</v>
      </c>
      <c r="E35" s="1" t="s">
        <v>181</v>
      </c>
      <c r="F35" s="1" t="s">
        <v>182</v>
      </c>
      <c r="G35" s="2" t="s">
        <v>28</v>
      </c>
      <c r="H35" s="1" t="n">
        <v>-1</v>
      </c>
      <c r="I35" s="1" t="n">
        <v>-1</v>
      </c>
      <c r="J35" s="1" t="n">
        <v>0</v>
      </c>
      <c r="K35" s="1" t="n">
        <v>-1</v>
      </c>
      <c r="L35" s="2" t="n">
        <v>0.31</v>
      </c>
      <c r="M35" s="1" t="s">
        <v>65</v>
      </c>
      <c r="N35" s="1" t="s">
        <v>30</v>
      </c>
      <c r="O35" s="5" t="n">
        <v>46223.3833333333</v>
      </c>
      <c r="P35" s="5" t="n">
        <v>46223.5847222222</v>
      </c>
      <c r="Q35" s="1" t="n">
        <v>49.2789</v>
      </c>
      <c r="R35" s="1" t="n">
        <v>-119.0897</v>
      </c>
      <c r="S35" s="1" t="s">
        <v>183</v>
      </c>
      <c r="T35" s="1" t="n">
        <v>2026</v>
      </c>
      <c r="U35" s="1" t="n">
        <v>2026</v>
      </c>
      <c r="V35" s="5" t="n">
        <v>46223.9895833333</v>
      </c>
      <c r="W35" s="6" t="n">
        <v>46387.9999999884</v>
      </c>
    </row>
    <row r="36" customFormat="false" ht="12.75" hidden="false" customHeight="false" outlineLevel="0" collapsed="false">
      <c r="A36" s="1" t="s">
        <v>184</v>
      </c>
      <c r="B36" s="1" t="n">
        <v>18386952</v>
      </c>
      <c r="C36" s="1" t="s">
        <v>91</v>
      </c>
      <c r="D36" s="1" t="s">
        <v>92</v>
      </c>
      <c r="E36" s="1" t="s">
        <v>185</v>
      </c>
      <c r="F36" s="1" t="s">
        <v>186</v>
      </c>
      <c r="G36" s="2" t="s">
        <v>28</v>
      </c>
      <c r="H36" s="1" t="n">
        <v>-1</v>
      </c>
      <c r="I36" s="1" t="n">
        <v>-1</v>
      </c>
      <c r="J36" s="1" t="n">
        <v>0</v>
      </c>
      <c r="K36" s="1" t="n">
        <v>-1</v>
      </c>
      <c r="L36" s="2" t="n">
        <v>27.8</v>
      </c>
      <c r="M36" s="1" t="s">
        <v>65</v>
      </c>
      <c r="N36" s="1" t="s">
        <v>105</v>
      </c>
      <c r="O36" s="5" t="n">
        <v>46220.6270833333</v>
      </c>
      <c r="P36" s="5" t="n">
        <v>46223.5847222222</v>
      </c>
      <c r="Q36" s="1" t="n">
        <v>50.2534</v>
      </c>
      <c r="R36" s="1" t="n">
        <v>-122.4369</v>
      </c>
      <c r="S36" s="1" t="s">
        <v>187</v>
      </c>
      <c r="T36" s="1" t="n">
        <v>2026</v>
      </c>
      <c r="U36" s="1" t="n">
        <v>2026</v>
      </c>
      <c r="V36" s="5" t="n">
        <v>46223.9895833333</v>
      </c>
      <c r="W36" s="6" t="n">
        <v>46387.9999999884</v>
      </c>
    </row>
    <row r="37" customFormat="false" ht="12.75" hidden="false" customHeight="false" outlineLevel="0" collapsed="false">
      <c r="A37" s="1" t="s">
        <v>188</v>
      </c>
      <c r="B37" s="1" t="n">
        <v>18386790</v>
      </c>
      <c r="C37" s="1" t="s">
        <v>91</v>
      </c>
      <c r="D37" s="1" t="s">
        <v>189</v>
      </c>
      <c r="E37" s="1" t="s">
        <v>190</v>
      </c>
      <c r="F37" s="1" t="s">
        <v>191</v>
      </c>
      <c r="G37" s="2" t="s">
        <v>28</v>
      </c>
      <c r="H37" s="1" t="n">
        <v>-1</v>
      </c>
      <c r="I37" s="1" t="n">
        <v>-1</v>
      </c>
      <c r="J37" s="1" t="n">
        <v>0</v>
      </c>
      <c r="K37" s="1" t="n">
        <v>-1</v>
      </c>
      <c r="L37" s="2" t="n">
        <v>0.04</v>
      </c>
      <c r="M37" s="1" t="s">
        <v>65</v>
      </c>
      <c r="N37" s="1" t="s">
        <v>105</v>
      </c>
      <c r="O37" s="5" t="n">
        <v>46223.5736111111</v>
      </c>
      <c r="P37" s="5" t="n">
        <v>46223.5847222222</v>
      </c>
      <c r="Q37" s="1" t="n">
        <v>50.3672</v>
      </c>
      <c r="R37" s="1" t="n">
        <v>-116.5195</v>
      </c>
      <c r="S37" s="1" t="s">
        <v>192</v>
      </c>
      <c r="T37" s="1" t="n">
        <v>2026</v>
      </c>
      <c r="U37" s="1" t="n">
        <v>2026</v>
      </c>
      <c r="V37" s="5" t="n">
        <v>46223.9895833333</v>
      </c>
      <c r="W37" s="6" t="n">
        <v>46387.9999999884</v>
      </c>
    </row>
    <row r="38" customFormat="false" ht="12.75" hidden="false" customHeight="false" outlineLevel="0" collapsed="false">
      <c r="A38" s="1" t="s">
        <v>193</v>
      </c>
      <c r="B38" s="1" t="n">
        <v>18384917</v>
      </c>
      <c r="C38" s="1" t="s">
        <v>91</v>
      </c>
      <c r="D38" s="1" t="s">
        <v>194</v>
      </c>
      <c r="E38" s="1" t="s">
        <v>195</v>
      </c>
      <c r="F38" s="1" t="s">
        <v>196</v>
      </c>
      <c r="G38" s="2" t="s">
        <v>28</v>
      </c>
      <c r="H38" s="1" t="n">
        <v>-1</v>
      </c>
      <c r="I38" s="1" t="n">
        <v>-1</v>
      </c>
      <c r="J38" s="1" t="n">
        <v>0</v>
      </c>
      <c r="K38" s="1" t="n">
        <v>-1</v>
      </c>
      <c r="L38" s="2" t="n">
        <v>2.65</v>
      </c>
      <c r="M38" s="1" t="s">
        <v>29</v>
      </c>
      <c r="N38" s="1" t="s">
        <v>37</v>
      </c>
      <c r="O38" s="5" t="n">
        <v>46221.7527777778</v>
      </c>
      <c r="P38" s="5" t="n">
        <v>46223.5430555556</v>
      </c>
      <c r="Q38" s="1" t="n">
        <v>52.6749</v>
      </c>
      <c r="R38" s="1" t="n">
        <v>-124.5502</v>
      </c>
      <c r="S38" s="1" t="s">
        <v>197</v>
      </c>
      <c r="T38" s="1" t="n">
        <v>2026</v>
      </c>
      <c r="U38" s="1" t="n">
        <v>2026</v>
      </c>
      <c r="V38" s="5" t="n">
        <v>46223.9479166667</v>
      </c>
      <c r="W38" s="6" t="n">
        <v>46387.9999999884</v>
      </c>
    </row>
    <row r="39" customFormat="false" ht="12.75" hidden="false" customHeight="false" outlineLevel="0" collapsed="false">
      <c r="A39" s="1" t="s">
        <v>198</v>
      </c>
      <c r="B39" s="1" t="n">
        <v>18384906</v>
      </c>
      <c r="C39" s="1" t="s">
        <v>91</v>
      </c>
      <c r="D39" s="1" t="s">
        <v>194</v>
      </c>
      <c r="E39" s="1" t="s">
        <v>199</v>
      </c>
      <c r="F39" s="1" t="s">
        <v>200</v>
      </c>
      <c r="G39" s="2" t="s">
        <v>28</v>
      </c>
      <c r="H39" s="1" t="n">
        <v>-1</v>
      </c>
      <c r="I39" s="1" t="n">
        <v>-1</v>
      </c>
      <c r="J39" s="1" t="n">
        <v>0</v>
      </c>
      <c r="K39" s="1" t="n">
        <v>-1</v>
      </c>
      <c r="L39" s="2" t="n">
        <v>205</v>
      </c>
      <c r="M39" s="1" t="s">
        <v>29</v>
      </c>
      <c r="N39" s="1" t="s">
        <v>105</v>
      </c>
      <c r="O39" s="5" t="n">
        <v>46220.5354166667</v>
      </c>
      <c r="P39" s="5" t="n">
        <v>46223.5625</v>
      </c>
      <c r="Q39" s="1" t="n">
        <v>52.6884</v>
      </c>
      <c r="R39" s="1" t="n">
        <v>-125.3754</v>
      </c>
      <c r="S39" s="1" t="s">
        <v>201</v>
      </c>
      <c r="T39" s="1" t="n">
        <v>2026</v>
      </c>
      <c r="U39" s="1" t="n">
        <v>2026</v>
      </c>
      <c r="V39" s="5" t="n">
        <v>46223.9479166667</v>
      </c>
      <c r="W39" s="6" t="n">
        <v>46387.9999999884</v>
      </c>
    </row>
    <row r="40" customFormat="false" ht="12.75" hidden="false" customHeight="false" outlineLevel="0" collapsed="false">
      <c r="A40" s="1" t="s">
        <v>202</v>
      </c>
      <c r="B40" s="1" t="n">
        <v>18385173</v>
      </c>
      <c r="C40" s="1" t="s">
        <v>91</v>
      </c>
      <c r="D40" s="1" t="s">
        <v>203</v>
      </c>
      <c r="E40" s="1" t="s">
        <v>204</v>
      </c>
      <c r="F40" s="1" t="s">
        <v>205</v>
      </c>
      <c r="G40" s="2" t="s">
        <v>28</v>
      </c>
      <c r="H40" s="1" t="n">
        <v>-1</v>
      </c>
      <c r="I40" s="1" t="n">
        <v>-1</v>
      </c>
      <c r="J40" s="1" t="n">
        <v>0</v>
      </c>
      <c r="K40" s="1" t="n">
        <v>-1</v>
      </c>
      <c r="L40" s="2" t="n">
        <v>12</v>
      </c>
      <c r="M40" s="1" t="s">
        <v>70</v>
      </c>
      <c r="N40" s="1" t="s">
        <v>105</v>
      </c>
      <c r="O40" s="5" t="n">
        <v>46220.6305555556</v>
      </c>
      <c r="P40" s="5" t="n">
        <v>46223.6680555556</v>
      </c>
      <c r="Q40" s="1" t="n">
        <v>49.6153</v>
      </c>
      <c r="R40" s="1" t="n">
        <v>-116.3334</v>
      </c>
      <c r="S40" s="1" t="s">
        <v>206</v>
      </c>
      <c r="T40" s="1" t="n">
        <v>2026</v>
      </c>
      <c r="U40" s="1" t="n">
        <v>2026</v>
      </c>
      <c r="V40" s="5" t="n">
        <v>46223.9479166667</v>
      </c>
      <c r="W40" s="6" t="n">
        <v>46387.9999999884</v>
      </c>
    </row>
    <row r="41" customFormat="false" ht="12.75" hidden="false" customHeight="false" outlineLevel="0" collapsed="false">
      <c r="A41" s="1" t="s">
        <v>207</v>
      </c>
      <c r="B41" s="1" t="n">
        <v>18380099</v>
      </c>
      <c r="C41" s="1" t="s">
        <v>91</v>
      </c>
      <c r="D41" s="1" t="s">
        <v>208</v>
      </c>
      <c r="E41" s="1" t="s">
        <v>209</v>
      </c>
      <c r="F41" s="1" t="s">
        <v>210</v>
      </c>
      <c r="G41" s="2" t="s">
        <v>28</v>
      </c>
      <c r="H41" s="1" t="n">
        <v>-1</v>
      </c>
      <c r="I41" s="1" t="n">
        <v>-1</v>
      </c>
      <c r="J41" s="1" t="n">
        <v>0</v>
      </c>
      <c r="K41" s="1" t="n">
        <v>-1</v>
      </c>
      <c r="L41" s="2" t="n">
        <v>0.25</v>
      </c>
      <c r="M41" s="1" t="s">
        <v>65</v>
      </c>
      <c r="N41" s="1" t="s">
        <v>105</v>
      </c>
      <c r="O41" s="5" t="n">
        <v>46222.8583333333</v>
      </c>
      <c r="P41" s="5" t="n">
        <v>46223.5013888889</v>
      </c>
      <c r="Q41" s="1" t="n">
        <v>50.7724</v>
      </c>
      <c r="R41" s="1" t="n">
        <v>-117.6456</v>
      </c>
      <c r="S41" s="1" t="s">
        <v>211</v>
      </c>
      <c r="T41" s="1" t="n">
        <v>2026</v>
      </c>
      <c r="U41" s="1" t="n">
        <v>2026</v>
      </c>
      <c r="V41" s="5" t="n">
        <v>46223.90625</v>
      </c>
      <c r="W41" s="6" t="n">
        <v>46387.9999999884</v>
      </c>
    </row>
    <row r="42" customFormat="false" ht="12.75" hidden="false" customHeight="false" outlineLevel="0" collapsed="false">
      <c r="A42" s="1" t="s">
        <v>212</v>
      </c>
      <c r="B42" s="1" t="n">
        <v>18379967</v>
      </c>
      <c r="C42" s="1" t="s">
        <v>91</v>
      </c>
      <c r="D42" s="1" t="s">
        <v>213</v>
      </c>
      <c r="E42" s="1" t="s">
        <v>214</v>
      </c>
      <c r="F42" s="1" t="s">
        <v>215</v>
      </c>
      <c r="G42" s="2" t="s">
        <v>28</v>
      </c>
      <c r="H42" s="1" t="n">
        <v>-1</v>
      </c>
      <c r="I42" s="1" t="n">
        <v>-1</v>
      </c>
      <c r="J42" s="1" t="n">
        <v>0</v>
      </c>
      <c r="K42" s="1" t="n">
        <v>-1</v>
      </c>
      <c r="L42" s="2" t="n">
        <v>0.009</v>
      </c>
      <c r="M42" s="1" t="s">
        <v>65</v>
      </c>
      <c r="N42" s="1" t="s">
        <v>37</v>
      </c>
      <c r="O42" s="5" t="n">
        <v>46220.5819444444</v>
      </c>
      <c r="P42" s="5" t="n">
        <v>46223.5208333333</v>
      </c>
      <c r="Q42" s="1" t="n">
        <v>50.2632</v>
      </c>
      <c r="R42" s="1" t="n">
        <v>-118.527</v>
      </c>
      <c r="S42" s="1" t="s">
        <v>216</v>
      </c>
      <c r="T42" s="1" t="n">
        <v>2026</v>
      </c>
      <c r="U42" s="1" t="n">
        <v>2026</v>
      </c>
      <c r="V42" s="5" t="n">
        <v>46223.90625</v>
      </c>
      <c r="W42" s="6" t="n">
        <v>46387.9999999884</v>
      </c>
    </row>
    <row r="43" customFormat="false" ht="12.75" hidden="false" customHeight="false" outlineLevel="0" collapsed="false">
      <c r="A43" s="1" t="s">
        <v>217</v>
      </c>
      <c r="B43" s="1" t="n">
        <v>18380235</v>
      </c>
      <c r="C43" s="1" t="s">
        <v>91</v>
      </c>
      <c r="D43" s="1" t="s">
        <v>218</v>
      </c>
      <c r="E43" s="1" t="s">
        <v>219</v>
      </c>
      <c r="F43" s="1" t="s">
        <v>220</v>
      </c>
      <c r="G43" s="2" t="s">
        <v>84</v>
      </c>
      <c r="H43" s="1" t="n">
        <v>-1</v>
      </c>
      <c r="I43" s="1" t="n">
        <v>-1</v>
      </c>
      <c r="J43" s="1" t="n">
        <v>0</v>
      </c>
      <c r="K43" s="1" t="n">
        <v>-1</v>
      </c>
      <c r="L43" s="2" t="n">
        <v>2.23</v>
      </c>
      <c r="M43" s="1" t="s">
        <v>65</v>
      </c>
      <c r="N43" s="1" t="s">
        <v>37</v>
      </c>
      <c r="O43" s="5" t="n">
        <v>46209.5152777778</v>
      </c>
      <c r="P43" s="5" t="n">
        <v>46223.5013888889</v>
      </c>
      <c r="Q43" s="1" t="n">
        <v>48.854</v>
      </c>
      <c r="R43" s="1" t="n">
        <v>-123.782</v>
      </c>
      <c r="S43" s="1" t="s">
        <v>221</v>
      </c>
      <c r="T43" s="1" t="n">
        <v>2026</v>
      </c>
      <c r="U43" s="1" t="n">
        <v>2026</v>
      </c>
      <c r="V43" s="5" t="n">
        <v>46223.90625</v>
      </c>
      <c r="W43" s="6" t="n">
        <v>46387.9999999884</v>
      </c>
    </row>
    <row r="44" customFormat="false" ht="12.75" hidden="false" customHeight="false" outlineLevel="0" collapsed="false">
      <c r="A44" s="1" t="s">
        <v>222</v>
      </c>
      <c r="B44" s="1" t="n">
        <v>18380189</v>
      </c>
      <c r="C44" s="1" t="s">
        <v>91</v>
      </c>
      <c r="D44" s="1" t="s">
        <v>112</v>
      </c>
      <c r="E44" s="1" t="s">
        <v>223</v>
      </c>
      <c r="F44" s="1" t="s">
        <v>224</v>
      </c>
      <c r="G44" s="2" t="s">
        <v>84</v>
      </c>
      <c r="H44" s="1" t="n">
        <v>-1</v>
      </c>
      <c r="I44" s="1" t="n">
        <v>-1</v>
      </c>
      <c r="J44" s="1" t="n">
        <v>0</v>
      </c>
      <c r="K44" s="1" t="n">
        <v>-1</v>
      </c>
      <c r="L44" s="2" t="n">
        <v>43</v>
      </c>
      <c r="M44" s="1" t="s">
        <v>29</v>
      </c>
      <c r="N44" s="1" t="s">
        <v>105</v>
      </c>
      <c r="O44" s="5" t="n">
        <v>46218.7895833333</v>
      </c>
      <c r="P44" s="5" t="n">
        <v>46223.5013888889</v>
      </c>
      <c r="Q44" s="1" t="n">
        <v>49.4856</v>
      </c>
      <c r="R44" s="1" t="n">
        <v>-121.2426</v>
      </c>
      <c r="S44" s="1" t="s">
        <v>225</v>
      </c>
      <c r="T44" s="1" t="n">
        <v>2026</v>
      </c>
      <c r="U44" s="1" t="n">
        <v>2026</v>
      </c>
      <c r="V44" s="5" t="n">
        <v>46223.90625</v>
      </c>
      <c r="W44" s="6" t="n">
        <v>46387.9999999884</v>
      </c>
    </row>
    <row r="45" customFormat="false" ht="12.75" hidden="false" customHeight="false" outlineLevel="0" collapsed="false">
      <c r="A45" s="1" t="s">
        <v>226</v>
      </c>
      <c r="B45" s="1" t="n">
        <v>18379964</v>
      </c>
      <c r="C45" s="1" t="s">
        <v>91</v>
      </c>
      <c r="D45" s="1" t="s">
        <v>213</v>
      </c>
      <c r="E45" s="1" t="s">
        <v>227</v>
      </c>
      <c r="F45" s="1" t="s">
        <v>228</v>
      </c>
      <c r="G45" s="2" t="s">
        <v>28</v>
      </c>
      <c r="H45" s="1" t="n">
        <v>-1</v>
      </c>
      <c r="I45" s="1" t="n">
        <v>-1</v>
      </c>
      <c r="J45" s="1" t="n">
        <v>0</v>
      </c>
      <c r="K45" s="1" t="n">
        <v>-1</v>
      </c>
      <c r="L45" s="2" t="n">
        <v>1.8</v>
      </c>
      <c r="M45" s="1" t="s">
        <v>65</v>
      </c>
      <c r="N45" s="1" t="s">
        <v>37</v>
      </c>
      <c r="O45" s="5" t="n">
        <v>46220.2868055556</v>
      </c>
      <c r="P45" s="5" t="n">
        <v>46223.5013888889</v>
      </c>
      <c r="Q45" s="1" t="n">
        <v>50.2747</v>
      </c>
      <c r="R45" s="1" t="n">
        <v>-118.5142</v>
      </c>
      <c r="S45" s="1" t="s">
        <v>229</v>
      </c>
      <c r="T45" s="1" t="n">
        <v>2026</v>
      </c>
      <c r="U45" s="1" t="n">
        <v>2026</v>
      </c>
      <c r="V45" s="5" t="n">
        <v>46223.90625</v>
      </c>
      <c r="W45" s="6" t="n">
        <v>46387.9999999884</v>
      </c>
    </row>
    <row r="46" customFormat="false" ht="12.75" hidden="false" customHeight="false" outlineLevel="0" collapsed="false">
      <c r="A46" s="1" t="s">
        <v>230</v>
      </c>
      <c r="B46" s="1" t="n">
        <v>18376881</v>
      </c>
      <c r="C46" s="1" t="s">
        <v>91</v>
      </c>
      <c r="D46" s="1" t="s">
        <v>231</v>
      </c>
      <c r="E46" s="1" t="s">
        <v>232</v>
      </c>
      <c r="F46" s="1" t="s">
        <v>233</v>
      </c>
      <c r="G46" s="2" t="s">
        <v>84</v>
      </c>
      <c r="H46" s="1" t="n">
        <v>-1</v>
      </c>
      <c r="I46" s="1" t="n">
        <v>-1</v>
      </c>
      <c r="J46" s="1" t="n">
        <v>0</v>
      </c>
      <c r="K46" s="1" t="n">
        <v>-1</v>
      </c>
      <c r="L46" s="2" t="n">
        <v>13434</v>
      </c>
      <c r="M46" s="1" t="s">
        <v>65</v>
      </c>
      <c r="N46" s="1" t="s">
        <v>105</v>
      </c>
      <c r="O46" s="5" t="n">
        <v>46207.5180555556</v>
      </c>
      <c r="P46" s="5" t="n">
        <v>46223.4597222222</v>
      </c>
      <c r="Q46" s="1" t="n">
        <v>51.2513</v>
      </c>
      <c r="R46" s="1" t="n">
        <v>-122.2072</v>
      </c>
      <c r="S46" s="1" t="s">
        <v>234</v>
      </c>
      <c r="T46" s="1" t="n">
        <v>2026</v>
      </c>
      <c r="U46" s="1" t="n">
        <v>2026</v>
      </c>
      <c r="V46" s="5" t="n">
        <v>46223.8645833333</v>
      </c>
      <c r="W46" s="6" t="n">
        <v>46387.9999999884</v>
      </c>
    </row>
    <row r="47" customFormat="false" ht="12.75" hidden="false" customHeight="false" outlineLevel="0" collapsed="false">
      <c r="A47" s="1" t="s">
        <v>235</v>
      </c>
      <c r="B47" s="1" t="n">
        <v>18376571</v>
      </c>
      <c r="C47" s="1" t="s">
        <v>91</v>
      </c>
      <c r="D47" s="1" t="s">
        <v>236</v>
      </c>
      <c r="E47" s="1" t="s">
        <v>237</v>
      </c>
      <c r="F47" s="1" t="s">
        <v>238</v>
      </c>
      <c r="G47" s="2" t="s">
        <v>28</v>
      </c>
      <c r="H47" s="1" t="n">
        <v>-1</v>
      </c>
      <c r="I47" s="1" t="n">
        <v>-1</v>
      </c>
      <c r="J47" s="1" t="n">
        <v>0</v>
      </c>
      <c r="K47" s="1" t="n">
        <v>-1</v>
      </c>
      <c r="L47" s="2" t="n">
        <v>13</v>
      </c>
      <c r="M47" s="1" t="s">
        <v>29</v>
      </c>
      <c r="N47" s="1" t="s">
        <v>37</v>
      </c>
      <c r="O47" s="5" t="n">
        <v>46220.6256944445</v>
      </c>
      <c r="P47" s="5" t="n">
        <v>46223.4597222222</v>
      </c>
      <c r="Q47" s="1" t="n">
        <v>52.1602</v>
      </c>
      <c r="R47" s="1" t="n">
        <v>-122.4666</v>
      </c>
      <c r="S47" s="1" t="s">
        <v>239</v>
      </c>
      <c r="T47" s="1" t="n">
        <v>2026</v>
      </c>
      <c r="U47" s="1" t="n">
        <v>2026</v>
      </c>
      <c r="V47" s="5" t="n">
        <v>46223.8645833333</v>
      </c>
      <c r="W47" s="6" t="n">
        <v>46387.9999999884</v>
      </c>
    </row>
    <row r="48" customFormat="false" ht="12.75" hidden="false" customHeight="false" outlineLevel="0" collapsed="false">
      <c r="A48" s="1" t="s">
        <v>240</v>
      </c>
      <c r="B48" s="1" t="n">
        <v>18376630</v>
      </c>
      <c r="C48" s="1" t="s">
        <v>91</v>
      </c>
      <c r="D48" s="1" t="s">
        <v>194</v>
      </c>
      <c r="E48" s="1" t="s">
        <v>241</v>
      </c>
      <c r="F48" s="1" t="s">
        <v>242</v>
      </c>
      <c r="G48" s="2" t="s">
        <v>28</v>
      </c>
      <c r="H48" s="1" t="n">
        <v>-1</v>
      </c>
      <c r="I48" s="1" t="n">
        <v>-1</v>
      </c>
      <c r="J48" s="1" t="n">
        <v>0</v>
      </c>
      <c r="K48" s="1" t="n">
        <v>-1</v>
      </c>
      <c r="L48" s="2" t="n">
        <v>3</v>
      </c>
      <c r="M48" s="1" t="s">
        <v>29</v>
      </c>
      <c r="N48" s="1" t="s">
        <v>37</v>
      </c>
      <c r="O48" s="5" t="n">
        <v>46220.6340277778</v>
      </c>
      <c r="P48" s="5" t="n">
        <v>46223.4791666667</v>
      </c>
      <c r="Q48" s="1" t="n">
        <v>52.4304</v>
      </c>
      <c r="R48" s="1" t="n">
        <v>-124.7516</v>
      </c>
      <c r="S48" s="1" t="s">
        <v>243</v>
      </c>
      <c r="T48" s="1" t="n">
        <v>2026</v>
      </c>
      <c r="U48" s="1" t="n">
        <v>2026</v>
      </c>
      <c r="V48" s="5" t="n">
        <v>46223.8645833333</v>
      </c>
      <c r="W48" s="6" t="n">
        <v>46387.9999999884</v>
      </c>
    </row>
    <row r="49" customFormat="false" ht="12.75" hidden="false" customHeight="false" outlineLevel="0" collapsed="false">
      <c r="A49" s="1" t="s">
        <v>244</v>
      </c>
      <c r="B49" s="1" t="n">
        <v>18373274</v>
      </c>
      <c r="C49" s="1" t="s">
        <v>91</v>
      </c>
      <c r="D49" s="1" t="s">
        <v>194</v>
      </c>
      <c r="E49" s="1" t="s">
        <v>245</v>
      </c>
      <c r="F49" s="1" t="s">
        <v>246</v>
      </c>
      <c r="G49" s="2" t="s">
        <v>28</v>
      </c>
      <c r="H49" s="1" t="n">
        <v>-1</v>
      </c>
      <c r="I49" s="1" t="n">
        <v>-1</v>
      </c>
      <c r="J49" s="1" t="n">
        <v>0</v>
      </c>
      <c r="K49" s="1" t="n">
        <v>-1</v>
      </c>
      <c r="L49" s="2" t="n">
        <v>2</v>
      </c>
      <c r="M49" s="1" t="s">
        <v>29</v>
      </c>
      <c r="N49" s="1" t="s">
        <v>37</v>
      </c>
      <c r="O49" s="5" t="n">
        <v>46221.4618055556</v>
      </c>
      <c r="P49" s="5" t="n">
        <v>46223.4375</v>
      </c>
      <c r="Q49" s="1" t="n">
        <v>52.9029</v>
      </c>
      <c r="R49" s="1" t="n">
        <v>-125.5659</v>
      </c>
      <c r="S49" s="1" t="s">
        <v>247</v>
      </c>
      <c r="T49" s="1" t="n">
        <v>2026</v>
      </c>
      <c r="U49" s="1" t="n">
        <v>2026</v>
      </c>
      <c r="V49" s="5" t="n">
        <v>46223.8229166667</v>
      </c>
      <c r="W49" s="6" t="n">
        <v>46387.9999999884</v>
      </c>
    </row>
    <row r="50" customFormat="false" ht="12.75" hidden="false" customHeight="false" outlineLevel="0" collapsed="false">
      <c r="A50" s="1" t="s">
        <v>248</v>
      </c>
      <c r="B50" s="1" t="n">
        <v>18369344</v>
      </c>
      <c r="C50" s="1" t="s">
        <v>91</v>
      </c>
      <c r="D50" s="1" t="s">
        <v>208</v>
      </c>
      <c r="E50" s="1" t="s">
        <v>249</v>
      </c>
      <c r="F50" s="1" t="s">
        <v>250</v>
      </c>
      <c r="G50" s="2" t="s">
        <v>28</v>
      </c>
      <c r="H50" s="1" t="n">
        <v>-1</v>
      </c>
      <c r="I50" s="1" t="n">
        <v>-1</v>
      </c>
      <c r="J50" s="1" t="n">
        <v>0</v>
      </c>
      <c r="K50" s="1" t="n">
        <v>-1</v>
      </c>
      <c r="L50" s="2" t="n">
        <v>0.04</v>
      </c>
      <c r="M50" s="1" t="s">
        <v>65</v>
      </c>
      <c r="N50" s="1" t="s">
        <v>105</v>
      </c>
      <c r="O50" s="5" t="n">
        <v>46223.3881944444</v>
      </c>
      <c r="P50" s="5" t="n">
        <v>46223.3958333333</v>
      </c>
      <c r="Q50" s="1" t="n">
        <v>50.774</v>
      </c>
      <c r="R50" s="1" t="n">
        <v>-117.6353</v>
      </c>
      <c r="S50" s="1" t="s">
        <v>251</v>
      </c>
      <c r="T50" s="1" t="n">
        <v>2026</v>
      </c>
      <c r="U50" s="1" t="n">
        <v>2026</v>
      </c>
      <c r="V50" s="5" t="n">
        <v>46223.78125</v>
      </c>
      <c r="W50" s="6" t="n">
        <v>46387.9999999884</v>
      </c>
    </row>
    <row r="51" customFormat="false" ht="12.75" hidden="false" customHeight="false" outlineLevel="0" collapsed="false">
      <c r="A51" s="1" t="s">
        <v>252</v>
      </c>
      <c r="B51" s="1" t="n">
        <v>18320854</v>
      </c>
      <c r="C51" s="1" t="s">
        <v>91</v>
      </c>
      <c r="D51" s="1" t="s">
        <v>253</v>
      </c>
      <c r="E51" s="1" t="s">
        <v>254</v>
      </c>
      <c r="F51" s="1" t="s">
        <v>255</v>
      </c>
      <c r="G51" s="2" t="s">
        <v>28</v>
      </c>
      <c r="H51" s="1" t="n">
        <v>-1</v>
      </c>
      <c r="I51" s="1" t="n">
        <v>-1</v>
      </c>
      <c r="J51" s="1" t="n">
        <v>0</v>
      </c>
      <c r="K51" s="1" t="n">
        <v>-1</v>
      </c>
      <c r="L51" s="2" t="n">
        <v>10277</v>
      </c>
      <c r="M51" s="1" t="s">
        <v>29</v>
      </c>
      <c r="N51" s="1" t="s">
        <v>105</v>
      </c>
      <c r="O51" s="5" t="n">
        <v>46220.2805555556</v>
      </c>
      <c r="P51" s="5" t="n">
        <v>46222.8347222222</v>
      </c>
      <c r="Q51" s="1" t="n">
        <v>51.2235</v>
      </c>
      <c r="R51" s="1" t="n">
        <v>-121.755</v>
      </c>
      <c r="S51" s="1" t="s">
        <v>256</v>
      </c>
      <c r="T51" s="1" t="n">
        <v>2026</v>
      </c>
      <c r="U51" s="1" t="n">
        <v>2026</v>
      </c>
      <c r="V51" s="5" t="n">
        <v>46223.2395833333</v>
      </c>
      <c r="W51" s="6" t="n">
        <v>46387.9999999884</v>
      </c>
    </row>
    <row r="52" customFormat="false" ht="12.75" hidden="false" customHeight="false" outlineLevel="0" collapsed="false">
      <c r="A52" s="1" t="s">
        <v>257</v>
      </c>
      <c r="B52" s="1" t="n">
        <v>18317554</v>
      </c>
      <c r="C52" s="1" t="s">
        <v>91</v>
      </c>
      <c r="D52" s="1" t="s">
        <v>258</v>
      </c>
      <c r="E52" s="1" t="s">
        <v>259</v>
      </c>
      <c r="F52" s="1" t="s">
        <v>260</v>
      </c>
      <c r="G52" s="2" t="s">
        <v>28</v>
      </c>
      <c r="H52" s="1" t="n">
        <v>-1</v>
      </c>
      <c r="I52" s="1" t="n">
        <v>-1</v>
      </c>
      <c r="J52" s="1" t="n">
        <v>0</v>
      </c>
      <c r="K52" s="1" t="n">
        <v>-1</v>
      </c>
      <c r="L52" s="2" t="n">
        <v>1</v>
      </c>
      <c r="M52" s="1" t="s">
        <v>65</v>
      </c>
      <c r="N52" s="1" t="s">
        <v>37</v>
      </c>
      <c r="O52" s="5" t="n">
        <v>46221.8604166667</v>
      </c>
      <c r="P52" s="5" t="n">
        <v>46222.7930555556</v>
      </c>
      <c r="Q52" s="1" t="n">
        <v>52.4509</v>
      </c>
      <c r="R52" s="1" t="n">
        <v>-125.9234</v>
      </c>
      <c r="S52" s="1" t="s">
        <v>261</v>
      </c>
      <c r="T52" s="1" t="n">
        <v>2026</v>
      </c>
      <c r="U52" s="1" t="n">
        <v>2026</v>
      </c>
      <c r="V52" s="5" t="n">
        <v>46223.1979166667</v>
      </c>
      <c r="W52" s="6" t="n">
        <v>46387.9999999884</v>
      </c>
    </row>
    <row r="53" customFormat="false" ht="12.75" hidden="false" customHeight="false" outlineLevel="0" collapsed="false">
      <c r="A53" s="1" t="s">
        <v>262</v>
      </c>
      <c r="B53" s="1" t="n">
        <v>18307913</v>
      </c>
      <c r="C53" s="1" t="s">
        <v>91</v>
      </c>
      <c r="D53" s="1" t="s">
        <v>253</v>
      </c>
      <c r="E53" s="1" t="s">
        <v>263</v>
      </c>
      <c r="F53" s="1" t="s">
        <v>264</v>
      </c>
      <c r="G53" s="2" t="s">
        <v>28</v>
      </c>
      <c r="H53" s="1" t="n">
        <v>-1</v>
      </c>
      <c r="I53" s="1" t="n">
        <v>-1</v>
      </c>
      <c r="J53" s="1" t="n">
        <v>0</v>
      </c>
      <c r="K53" s="1" t="n">
        <v>-1</v>
      </c>
      <c r="L53" s="2" t="n">
        <v>4.1</v>
      </c>
      <c r="M53" s="1" t="s">
        <v>29</v>
      </c>
      <c r="N53" s="1" t="s">
        <v>30</v>
      </c>
      <c r="O53" s="5" t="n">
        <v>46220.5430555556</v>
      </c>
      <c r="P53" s="5" t="n">
        <v>46222.7097222222</v>
      </c>
      <c r="Q53" s="1" t="n">
        <v>51.6297</v>
      </c>
      <c r="R53" s="1" t="n">
        <v>-120.6166</v>
      </c>
      <c r="S53" s="1" t="s">
        <v>265</v>
      </c>
      <c r="T53" s="1" t="n">
        <v>2026</v>
      </c>
      <c r="U53" s="1" t="n">
        <v>2026</v>
      </c>
      <c r="V53" s="5" t="n">
        <v>46223.1145833333</v>
      </c>
      <c r="W53" s="6" t="n">
        <v>46387.9999999884</v>
      </c>
    </row>
    <row r="54" customFormat="false" ht="12.75" hidden="false" customHeight="false" outlineLevel="0" collapsed="false">
      <c r="A54" s="1" t="s">
        <v>266</v>
      </c>
      <c r="B54" s="1" t="n">
        <v>18308339</v>
      </c>
      <c r="C54" s="1" t="s">
        <v>91</v>
      </c>
      <c r="D54" s="1" t="s">
        <v>208</v>
      </c>
      <c r="E54" s="1" t="s">
        <v>267</v>
      </c>
      <c r="F54" s="1" t="s">
        <v>268</v>
      </c>
      <c r="G54" s="2" t="s">
        <v>28</v>
      </c>
      <c r="H54" s="1" t="n">
        <v>-1</v>
      </c>
      <c r="I54" s="1" t="n">
        <v>-1</v>
      </c>
      <c r="J54" s="1" t="n">
        <v>0</v>
      </c>
      <c r="K54" s="1" t="n">
        <v>-1</v>
      </c>
      <c r="L54" s="2" t="n">
        <v>0.65</v>
      </c>
      <c r="M54" s="1" t="s">
        <v>29</v>
      </c>
      <c r="N54" s="1" t="s">
        <v>37</v>
      </c>
      <c r="O54" s="5" t="n">
        <v>46221.3868055556</v>
      </c>
      <c r="P54" s="5" t="n">
        <v>46222.7291666667</v>
      </c>
      <c r="Q54" s="1" t="n">
        <v>49.5587</v>
      </c>
      <c r="R54" s="1" t="n">
        <v>-118.0997</v>
      </c>
      <c r="S54" s="1" t="s">
        <v>269</v>
      </c>
      <c r="T54" s="1" t="n">
        <v>2026</v>
      </c>
      <c r="U54" s="1" t="n">
        <v>2026</v>
      </c>
      <c r="V54" s="5" t="n">
        <v>46223.1145833333</v>
      </c>
      <c r="W54" s="6" t="n">
        <v>46387.9999999884</v>
      </c>
    </row>
    <row r="55" customFormat="false" ht="12.75" hidden="false" customHeight="false" outlineLevel="0" collapsed="false">
      <c r="A55" s="1" t="s">
        <v>270</v>
      </c>
      <c r="B55" s="1" t="n">
        <v>18308328</v>
      </c>
      <c r="C55" s="1" t="s">
        <v>91</v>
      </c>
      <c r="D55" s="1" t="s">
        <v>208</v>
      </c>
      <c r="E55" s="1" t="s">
        <v>271</v>
      </c>
      <c r="F55" s="1" t="s">
        <v>272</v>
      </c>
      <c r="G55" s="2" t="s">
        <v>28</v>
      </c>
      <c r="H55" s="1" t="n">
        <v>-1</v>
      </c>
      <c r="I55" s="1" t="n">
        <v>-1</v>
      </c>
      <c r="J55" s="1" t="n">
        <v>0</v>
      </c>
      <c r="K55" s="1" t="n">
        <v>-1</v>
      </c>
      <c r="L55" s="2" t="n">
        <v>1.2</v>
      </c>
      <c r="M55" s="1" t="s">
        <v>29</v>
      </c>
      <c r="N55" s="1" t="s">
        <v>37</v>
      </c>
      <c r="O55" s="5" t="n">
        <v>46219.6333333333</v>
      </c>
      <c r="P55" s="5" t="n">
        <v>46222.7291666667</v>
      </c>
      <c r="Q55" s="1" t="n">
        <v>49.9444</v>
      </c>
      <c r="R55" s="1" t="n">
        <v>-118.1932</v>
      </c>
      <c r="S55" s="1" t="s">
        <v>273</v>
      </c>
      <c r="T55" s="1" t="n">
        <v>2026</v>
      </c>
      <c r="U55" s="1" t="n">
        <v>2026</v>
      </c>
      <c r="V55" s="5" t="n">
        <v>46223.1145833333</v>
      </c>
      <c r="W55" s="6" t="n">
        <v>46387.9999999884</v>
      </c>
    </row>
    <row r="56" customFormat="false" ht="12.75" hidden="false" customHeight="false" outlineLevel="0" collapsed="false">
      <c r="A56" s="1" t="s">
        <v>274</v>
      </c>
      <c r="B56" s="1" t="n">
        <v>18307796</v>
      </c>
      <c r="C56" s="1" t="s">
        <v>91</v>
      </c>
      <c r="D56" s="1" t="s">
        <v>97</v>
      </c>
      <c r="E56" s="1" t="s">
        <v>275</v>
      </c>
      <c r="F56" s="1" t="s">
        <v>276</v>
      </c>
      <c r="G56" s="2" t="s">
        <v>28</v>
      </c>
      <c r="H56" s="1" t="n">
        <v>-1</v>
      </c>
      <c r="I56" s="1" t="n">
        <v>-1</v>
      </c>
      <c r="J56" s="1" t="n">
        <v>0</v>
      </c>
      <c r="K56" s="1" t="n">
        <v>-1</v>
      </c>
      <c r="L56" s="2" t="n">
        <v>0.009</v>
      </c>
      <c r="M56" s="1" t="s">
        <v>29</v>
      </c>
      <c r="N56" s="1" t="s">
        <v>37</v>
      </c>
      <c r="O56" s="5" t="n">
        <v>46220.7090277778</v>
      </c>
      <c r="P56" s="5" t="n">
        <v>46222.7097222222</v>
      </c>
      <c r="Q56" s="1" t="n">
        <v>53.2597</v>
      </c>
      <c r="R56" s="1" t="n">
        <v>-123.8348</v>
      </c>
      <c r="S56" s="1" t="s">
        <v>277</v>
      </c>
      <c r="T56" s="1" t="n">
        <v>2026</v>
      </c>
      <c r="U56" s="1" t="n">
        <v>2026</v>
      </c>
      <c r="V56" s="5" t="n">
        <v>46223.1145833333</v>
      </c>
      <c r="W56" s="6" t="n">
        <v>46387.9999999884</v>
      </c>
    </row>
    <row r="57" customFormat="false" ht="12.75" hidden="false" customHeight="false" outlineLevel="0" collapsed="false">
      <c r="A57" s="1" t="s">
        <v>278</v>
      </c>
      <c r="B57" s="1" t="n">
        <v>18308087</v>
      </c>
      <c r="C57" s="1" t="s">
        <v>91</v>
      </c>
      <c r="D57" s="1" t="s">
        <v>279</v>
      </c>
      <c r="E57" s="1" t="s">
        <v>280</v>
      </c>
      <c r="F57" s="1" t="s">
        <v>281</v>
      </c>
      <c r="G57" s="2" t="s">
        <v>28</v>
      </c>
      <c r="H57" s="1" t="n">
        <v>-1</v>
      </c>
      <c r="I57" s="1" t="n">
        <v>-1</v>
      </c>
      <c r="J57" s="1" t="n">
        <v>0</v>
      </c>
      <c r="K57" s="1" t="n">
        <v>-1</v>
      </c>
      <c r="L57" s="2" t="n">
        <v>1</v>
      </c>
      <c r="M57" s="1" t="s">
        <v>65</v>
      </c>
      <c r="N57" s="1" t="s">
        <v>37</v>
      </c>
      <c r="O57" s="5" t="n">
        <v>46220.7333333333</v>
      </c>
      <c r="P57" s="5" t="n">
        <v>46222.7097222222</v>
      </c>
      <c r="Q57" s="1" t="n">
        <v>53.5812</v>
      </c>
      <c r="R57" s="1" t="n">
        <v>-123.4755</v>
      </c>
      <c r="S57" s="1" t="s">
        <v>282</v>
      </c>
      <c r="T57" s="1" t="n">
        <v>2026</v>
      </c>
      <c r="U57" s="1" t="n">
        <v>2026</v>
      </c>
      <c r="V57" s="5" t="n">
        <v>46223.1145833333</v>
      </c>
      <c r="W57" s="6" t="n">
        <v>46387.9999999884</v>
      </c>
    </row>
    <row r="58" customFormat="false" ht="12.75" hidden="false" customHeight="false" outlineLevel="0" collapsed="false">
      <c r="A58" s="1" t="s">
        <v>283</v>
      </c>
      <c r="B58" s="1" t="n">
        <v>18303965</v>
      </c>
      <c r="C58" s="1" t="s">
        <v>91</v>
      </c>
      <c r="D58" s="1" t="s">
        <v>203</v>
      </c>
      <c r="E58" s="1" t="s">
        <v>284</v>
      </c>
      <c r="F58" s="1" t="s">
        <v>285</v>
      </c>
      <c r="G58" s="2" t="s">
        <v>28</v>
      </c>
      <c r="H58" s="1" t="n">
        <v>-1</v>
      </c>
      <c r="I58" s="1" t="n">
        <v>-1</v>
      </c>
      <c r="J58" s="1" t="n">
        <v>0</v>
      </c>
      <c r="K58" s="1" t="n">
        <v>-1</v>
      </c>
      <c r="L58" s="2" t="n">
        <v>250</v>
      </c>
      <c r="M58" s="1" t="s">
        <v>70</v>
      </c>
      <c r="N58" s="1" t="s">
        <v>105</v>
      </c>
      <c r="O58" s="5" t="n">
        <v>46220.6354166667</v>
      </c>
      <c r="P58" s="5" t="n">
        <v>46222.6875</v>
      </c>
      <c r="Q58" s="1" t="n">
        <v>49.6022</v>
      </c>
      <c r="R58" s="1" t="n">
        <v>-116.3751</v>
      </c>
      <c r="S58" s="1" t="s">
        <v>286</v>
      </c>
      <c r="T58" s="1" t="n">
        <v>2026</v>
      </c>
      <c r="U58" s="1" t="n">
        <v>2026</v>
      </c>
      <c r="V58" s="5" t="n">
        <v>46223.0729166667</v>
      </c>
      <c r="W58" s="6" t="n">
        <v>46387.9999999884</v>
      </c>
    </row>
    <row r="59" customFormat="false" ht="12.75" hidden="false" customHeight="false" outlineLevel="0" collapsed="false">
      <c r="A59" s="1" t="s">
        <v>287</v>
      </c>
      <c r="B59" s="1" t="n">
        <v>18300080</v>
      </c>
      <c r="C59" s="1" t="s">
        <v>91</v>
      </c>
      <c r="D59" s="1" t="s">
        <v>203</v>
      </c>
      <c r="E59" s="1" t="s">
        <v>288</v>
      </c>
      <c r="F59" s="1" t="s">
        <v>289</v>
      </c>
      <c r="G59" s="2" t="s">
        <v>28</v>
      </c>
      <c r="H59" s="1" t="n">
        <v>-1</v>
      </c>
      <c r="I59" s="1" t="n">
        <v>-1</v>
      </c>
      <c r="J59" s="1" t="n">
        <v>0</v>
      </c>
      <c r="K59" s="1" t="n">
        <v>-1</v>
      </c>
      <c r="L59" s="2" t="n">
        <v>0.01</v>
      </c>
      <c r="M59" s="1" t="s">
        <v>29</v>
      </c>
      <c r="N59" s="1" t="s">
        <v>30</v>
      </c>
      <c r="O59" s="5" t="n">
        <v>46220.7972222222</v>
      </c>
      <c r="P59" s="5" t="n">
        <v>46222.7513888889</v>
      </c>
      <c r="Q59" s="1" t="n">
        <v>49.6034</v>
      </c>
      <c r="R59" s="1" t="n">
        <v>-116.307</v>
      </c>
      <c r="S59" s="1" t="s">
        <v>290</v>
      </c>
      <c r="T59" s="1" t="n">
        <v>2026</v>
      </c>
      <c r="U59" s="1" t="n">
        <v>2026</v>
      </c>
      <c r="V59" s="5" t="n">
        <v>46223.0319444445</v>
      </c>
      <c r="W59" s="6" t="n">
        <v>46387.9999999884</v>
      </c>
    </row>
    <row r="60" customFormat="false" ht="12.75" hidden="false" customHeight="false" outlineLevel="0" collapsed="false">
      <c r="A60" s="1" t="s">
        <v>291</v>
      </c>
      <c r="B60" s="1" t="n">
        <v>18300116</v>
      </c>
      <c r="C60" s="1" t="s">
        <v>91</v>
      </c>
      <c r="D60" s="1" t="s">
        <v>208</v>
      </c>
      <c r="E60" s="1" t="s">
        <v>292</v>
      </c>
      <c r="F60" s="1" t="s">
        <v>293</v>
      </c>
      <c r="G60" s="2" t="s">
        <v>28</v>
      </c>
      <c r="H60" s="1" t="n">
        <v>-1</v>
      </c>
      <c r="I60" s="1" t="n">
        <v>-1</v>
      </c>
      <c r="J60" s="1" t="n">
        <v>0</v>
      </c>
      <c r="K60" s="1" t="n">
        <v>-1</v>
      </c>
      <c r="L60" s="2" t="n">
        <v>8</v>
      </c>
      <c r="M60" s="1" t="s">
        <v>70</v>
      </c>
      <c r="N60" s="1" t="s">
        <v>105</v>
      </c>
      <c r="O60" s="5" t="n">
        <v>46219.5395833333</v>
      </c>
      <c r="P60" s="5" t="n">
        <v>46222.6263888889</v>
      </c>
      <c r="Q60" s="1" t="n">
        <v>49.7802</v>
      </c>
      <c r="R60" s="1" t="n">
        <v>-117.3138</v>
      </c>
      <c r="S60" s="1" t="s">
        <v>294</v>
      </c>
      <c r="T60" s="1" t="n">
        <v>2026</v>
      </c>
      <c r="U60" s="1" t="n">
        <v>2026</v>
      </c>
      <c r="V60" s="5" t="n">
        <v>46223.0319444445</v>
      </c>
      <c r="W60" s="6" t="n">
        <v>46387.9999999884</v>
      </c>
    </row>
    <row r="61" customFormat="false" ht="12.75" hidden="false" customHeight="false" outlineLevel="0" collapsed="false">
      <c r="A61" s="1" t="s">
        <v>295</v>
      </c>
      <c r="B61" s="1" t="n">
        <v>18300136</v>
      </c>
      <c r="C61" s="1" t="s">
        <v>91</v>
      </c>
      <c r="D61" s="1" t="s">
        <v>208</v>
      </c>
      <c r="E61" s="1" t="s">
        <v>296</v>
      </c>
      <c r="F61" s="1" t="s">
        <v>297</v>
      </c>
      <c r="G61" s="2" t="s">
        <v>28</v>
      </c>
      <c r="H61" s="1" t="n">
        <v>-1</v>
      </c>
      <c r="I61" s="1" t="n">
        <v>-1</v>
      </c>
      <c r="J61" s="1" t="n">
        <v>0</v>
      </c>
      <c r="K61" s="1" t="n">
        <v>-1</v>
      </c>
      <c r="L61" s="2" t="n">
        <v>0.2</v>
      </c>
      <c r="M61" s="1" t="s">
        <v>70</v>
      </c>
      <c r="N61" s="1" t="s">
        <v>105</v>
      </c>
      <c r="O61" s="5" t="n">
        <v>46222.5972222222</v>
      </c>
      <c r="P61" s="5" t="n">
        <v>46222.6263888889</v>
      </c>
      <c r="Q61" s="1" t="n">
        <v>49.7779</v>
      </c>
      <c r="R61" s="1" t="n">
        <v>-117.283</v>
      </c>
      <c r="S61" s="1" t="s">
        <v>298</v>
      </c>
      <c r="T61" s="1" t="n">
        <v>2026</v>
      </c>
      <c r="U61" s="1" t="n">
        <v>2026</v>
      </c>
      <c r="V61" s="5" t="n">
        <v>46223.0319444445</v>
      </c>
      <c r="W61" s="6" t="n">
        <v>46387.9999999884</v>
      </c>
    </row>
    <row r="62" customFormat="false" ht="12.75" hidden="false" customHeight="false" outlineLevel="0" collapsed="false">
      <c r="A62" s="1" t="s">
        <v>299</v>
      </c>
      <c r="B62" s="1" t="n">
        <v>18300134</v>
      </c>
      <c r="C62" s="1" t="s">
        <v>91</v>
      </c>
      <c r="D62" s="1" t="s">
        <v>208</v>
      </c>
      <c r="E62" s="1" t="s">
        <v>300</v>
      </c>
      <c r="F62" s="1" t="s">
        <v>301</v>
      </c>
      <c r="G62" s="2" t="s">
        <v>28</v>
      </c>
      <c r="H62" s="1" t="n">
        <v>-1</v>
      </c>
      <c r="I62" s="1" t="n">
        <v>-1</v>
      </c>
      <c r="J62" s="1" t="n">
        <v>0</v>
      </c>
      <c r="K62" s="1" t="n">
        <v>-1</v>
      </c>
      <c r="L62" s="2" t="n">
        <v>0.68</v>
      </c>
      <c r="M62" s="1" t="s">
        <v>65</v>
      </c>
      <c r="N62" s="1" t="s">
        <v>105</v>
      </c>
      <c r="O62" s="5" t="n">
        <v>46221.73125</v>
      </c>
      <c r="P62" s="5" t="n">
        <v>46222.6458333333</v>
      </c>
      <c r="Q62" s="1" t="n">
        <v>49.4144</v>
      </c>
      <c r="R62" s="1" t="n">
        <v>-118.1526</v>
      </c>
      <c r="S62" s="1" t="s">
        <v>302</v>
      </c>
      <c r="T62" s="1" t="n">
        <v>2026</v>
      </c>
      <c r="U62" s="1" t="n">
        <v>2026</v>
      </c>
      <c r="V62" s="5" t="n">
        <v>46223.0319444445</v>
      </c>
      <c r="W62" s="6" t="n">
        <v>46387.9999999884</v>
      </c>
    </row>
    <row r="63" customFormat="false" ht="12.75" hidden="false" customHeight="false" outlineLevel="0" collapsed="false">
      <c r="A63" s="1" t="s">
        <v>303</v>
      </c>
      <c r="B63" s="1" t="n">
        <v>18298692</v>
      </c>
      <c r="C63" s="1" t="s">
        <v>91</v>
      </c>
      <c r="D63" s="1" t="s">
        <v>92</v>
      </c>
      <c r="E63" s="1" t="s">
        <v>304</v>
      </c>
      <c r="F63" s="1" t="s">
        <v>305</v>
      </c>
      <c r="G63" s="2" t="s">
        <v>28</v>
      </c>
      <c r="H63" s="1" t="n">
        <v>-1</v>
      </c>
      <c r="I63" s="1" t="n">
        <v>-1</v>
      </c>
      <c r="J63" s="1" t="n">
        <v>0</v>
      </c>
      <c r="K63" s="1" t="n">
        <v>-1</v>
      </c>
      <c r="L63" s="2" t="n">
        <v>5</v>
      </c>
      <c r="M63" s="1" t="s">
        <v>65</v>
      </c>
      <c r="N63" s="1" t="s">
        <v>105</v>
      </c>
      <c r="O63" s="5" t="n">
        <v>46220.5930555556</v>
      </c>
      <c r="P63" s="5" t="n">
        <v>46222.5847222222</v>
      </c>
      <c r="Q63" s="1" t="n">
        <v>49.9205</v>
      </c>
      <c r="R63" s="1" t="n">
        <v>-122.6452</v>
      </c>
      <c r="S63" s="1" t="s">
        <v>306</v>
      </c>
      <c r="T63" s="1" t="n">
        <v>2026</v>
      </c>
      <c r="U63" s="1" t="n">
        <v>2026</v>
      </c>
      <c r="V63" s="5" t="n">
        <v>46222.9895833333</v>
      </c>
      <c r="W63" s="6" t="n">
        <v>46387.9999999884</v>
      </c>
    </row>
    <row r="64" customFormat="false" ht="12.75" hidden="false" customHeight="false" outlineLevel="0" collapsed="false">
      <c r="A64" s="1" t="s">
        <v>307</v>
      </c>
      <c r="B64" s="1" t="n">
        <v>18294494</v>
      </c>
      <c r="C64" s="1" t="s">
        <v>91</v>
      </c>
      <c r="D64" s="1" t="s">
        <v>97</v>
      </c>
      <c r="E64" s="1" t="s">
        <v>308</v>
      </c>
      <c r="F64" s="1" t="s">
        <v>309</v>
      </c>
      <c r="G64" s="2" t="s">
        <v>28</v>
      </c>
      <c r="H64" s="1" t="n">
        <v>-1</v>
      </c>
      <c r="I64" s="1" t="n">
        <v>-1</v>
      </c>
      <c r="J64" s="1" t="n">
        <v>0</v>
      </c>
      <c r="K64" s="1" t="n">
        <v>-1</v>
      </c>
      <c r="L64" s="2" t="n">
        <v>115</v>
      </c>
      <c r="M64" s="1" t="s">
        <v>29</v>
      </c>
      <c r="N64" s="1" t="s">
        <v>105</v>
      </c>
      <c r="O64" s="5" t="n">
        <v>46220.6631944444</v>
      </c>
      <c r="P64" s="5" t="n">
        <v>46222.5430555556</v>
      </c>
      <c r="Q64" s="1" t="n">
        <v>53.1666</v>
      </c>
      <c r="R64" s="1" t="n">
        <v>-123.9877</v>
      </c>
      <c r="S64" s="1" t="s">
        <v>310</v>
      </c>
      <c r="T64" s="1" t="n">
        <v>2026</v>
      </c>
      <c r="U64" s="1" t="n">
        <v>2026</v>
      </c>
      <c r="V64" s="5" t="n">
        <v>46222.9479166667</v>
      </c>
      <c r="W64" s="6" t="n">
        <v>46387.9999999884</v>
      </c>
    </row>
    <row r="65" customFormat="false" ht="12.75" hidden="false" customHeight="false" outlineLevel="0" collapsed="false">
      <c r="A65" s="1" t="s">
        <v>311</v>
      </c>
      <c r="B65" s="1" t="n">
        <v>18294493</v>
      </c>
      <c r="C65" s="1" t="s">
        <v>91</v>
      </c>
      <c r="D65" s="1" t="s">
        <v>97</v>
      </c>
      <c r="E65" s="1" t="s">
        <v>312</v>
      </c>
      <c r="F65" s="1" t="s">
        <v>313</v>
      </c>
      <c r="G65" s="2" t="s">
        <v>28</v>
      </c>
      <c r="H65" s="1" t="n">
        <v>-1</v>
      </c>
      <c r="I65" s="1" t="n">
        <v>-1</v>
      </c>
      <c r="J65" s="1" t="n">
        <v>0</v>
      </c>
      <c r="K65" s="1" t="n">
        <v>-1</v>
      </c>
      <c r="L65" s="2" t="n">
        <v>0.6</v>
      </c>
      <c r="M65" s="1" t="s">
        <v>29</v>
      </c>
      <c r="N65" s="1" t="s">
        <v>30</v>
      </c>
      <c r="O65" s="5" t="n">
        <v>46220.6548611111</v>
      </c>
      <c r="P65" s="5" t="n">
        <v>46222.5625</v>
      </c>
      <c r="Q65" s="1" t="n">
        <v>53.1431</v>
      </c>
      <c r="R65" s="1" t="n">
        <v>-123.9848</v>
      </c>
      <c r="S65" s="1" t="s">
        <v>314</v>
      </c>
      <c r="T65" s="1" t="n">
        <v>2026</v>
      </c>
      <c r="U65" s="1" t="n">
        <v>2026</v>
      </c>
      <c r="V65" s="5" t="n">
        <v>46222.9479166667</v>
      </c>
      <c r="W65" s="6" t="n">
        <v>46387.9999999884</v>
      </c>
    </row>
    <row r="66" customFormat="false" ht="12.75" hidden="false" customHeight="false" outlineLevel="0" collapsed="false">
      <c r="A66" s="1" t="s">
        <v>315</v>
      </c>
      <c r="B66" s="1" t="n">
        <v>18291380</v>
      </c>
      <c r="C66" s="1" t="s">
        <v>91</v>
      </c>
      <c r="D66" s="1" t="s">
        <v>258</v>
      </c>
      <c r="E66" s="1" t="s">
        <v>316</v>
      </c>
      <c r="F66" s="1" t="s">
        <v>317</v>
      </c>
      <c r="G66" s="2" t="s">
        <v>28</v>
      </c>
      <c r="H66" s="1" t="n">
        <v>-1</v>
      </c>
      <c r="I66" s="1" t="n">
        <v>-1</v>
      </c>
      <c r="J66" s="1" t="n">
        <v>0</v>
      </c>
      <c r="K66" s="1" t="n">
        <v>-1</v>
      </c>
      <c r="L66" s="2" t="n">
        <v>0.25</v>
      </c>
      <c r="M66" s="1" t="s">
        <v>65</v>
      </c>
      <c r="N66" s="1" t="s">
        <v>105</v>
      </c>
      <c r="O66" s="5" t="n">
        <v>46222.5048611111</v>
      </c>
      <c r="P66" s="5" t="n">
        <v>46222.5208333333</v>
      </c>
      <c r="Q66" s="1" t="n">
        <v>52.3956</v>
      </c>
      <c r="R66" s="1" t="n">
        <v>-125.9308</v>
      </c>
      <c r="S66" s="1" t="s">
        <v>318</v>
      </c>
      <c r="T66" s="1" t="n">
        <v>2026</v>
      </c>
      <c r="U66" s="1" t="n">
        <v>2026</v>
      </c>
      <c r="V66" s="5" t="n">
        <v>46222.90625</v>
      </c>
      <c r="W66" s="6" t="n">
        <v>46387.9999999884</v>
      </c>
    </row>
    <row r="67" customFormat="false" ht="12.75" hidden="false" customHeight="false" outlineLevel="0" collapsed="false">
      <c r="A67" s="1" t="s">
        <v>319</v>
      </c>
      <c r="B67" s="1" t="n">
        <v>18285763</v>
      </c>
      <c r="C67" s="1" t="s">
        <v>91</v>
      </c>
      <c r="D67" s="1" t="s">
        <v>203</v>
      </c>
      <c r="E67" s="1" t="s">
        <v>320</v>
      </c>
      <c r="F67" s="1" t="s">
        <v>321</v>
      </c>
      <c r="G67" s="2" t="s">
        <v>28</v>
      </c>
      <c r="H67" s="1" t="n">
        <v>-1</v>
      </c>
      <c r="I67" s="1" t="n">
        <v>-1</v>
      </c>
      <c r="J67" s="1" t="n">
        <v>0</v>
      </c>
      <c r="K67" s="1" t="n">
        <v>-1</v>
      </c>
      <c r="L67" s="2" t="n">
        <v>567</v>
      </c>
      <c r="M67" s="1" t="s">
        <v>70</v>
      </c>
      <c r="N67" s="1" t="s">
        <v>105</v>
      </c>
      <c r="O67" s="5" t="n">
        <v>46221.4597222222</v>
      </c>
      <c r="P67" s="5" t="n">
        <v>46223.7708333333</v>
      </c>
      <c r="Q67" s="1" t="n">
        <v>49.7148</v>
      </c>
      <c r="R67" s="1" t="n">
        <v>-116.228</v>
      </c>
      <c r="S67" s="1" t="s">
        <v>322</v>
      </c>
      <c r="T67" s="1" t="n">
        <v>2026</v>
      </c>
      <c r="U67" s="1" t="n">
        <v>2026</v>
      </c>
      <c r="V67" s="5" t="n">
        <v>46222.8645833333</v>
      </c>
      <c r="W67" s="6" t="n">
        <v>46387.9999999884</v>
      </c>
    </row>
    <row r="68" customFormat="false" ht="12.75" hidden="false" customHeight="false" outlineLevel="0" collapsed="false">
      <c r="A68" s="1" t="s">
        <v>323</v>
      </c>
      <c r="B68" s="1" t="n">
        <v>18285765</v>
      </c>
      <c r="C68" s="1" t="s">
        <v>91</v>
      </c>
      <c r="D68" s="1" t="s">
        <v>203</v>
      </c>
      <c r="E68" s="1" t="s">
        <v>324</v>
      </c>
      <c r="F68" s="1" t="s">
        <v>325</v>
      </c>
      <c r="G68" s="2" t="s">
        <v>84</v>
      </c>
      <c r="H68" s="1" t="n">
        <v>-1</v>
      </c>
      <c r="I68" s="1" t="n">
        <v>-1</v>
      </c>
      <c r="J68" s="1" t="n">
        <v>0</v>
      </c>
      <c r="K68" s="1" t="n">
        <v>-1</v>
      </c>
      <c r="L68" s="2" t="n">
        <v>25</v>
      </c>
      <c r="M68" s="1" t="s">
        <v>29</v>
      </c>
      <c r="N68" s="1" t="s">
        <v>37</v>
      </c>
      <c r="O68" s="5" t="n">
        <v>46221.6076388889</v>
      </c>
      <c r="P68" s="5" t="n">
        <v>46222.4791666667</v>
      </c>
      <c r="Q68" s="1" t="n">
        <v>49.4417</v>
      </c>
      <c r="R68" s="1" t="n">
        <v>-115.437</v>
      </c>
      <c r="S68" s="1" t="s">
        <v>326</v>
      </c>
      <c r="T68" s="1" t="n">
        <v>2026</v>
      </c>
      <c r="U68" s="1" t="n">
        <v>2026</v>
      </c>
      <c r="V68" s="5" t="n">
        <v>46222.8645833333</v>
      </c>
      <c r="W68" s="6" t="n">
        <v>46387.9999999884</v>
      </c>
    </row>
    <row r="69" customFormat="false" ht="12.75" hidden="false" customHeight="false" outlineLevel="0" collapsed="false">
      <c r="A69" s="1" t="s">
        <v>327</v>
      </c>
      <c r="B69" s="1" t="n">
        <v>18285764</v>
      </c>
      <c r="C69" s="1" t="s">
        <v>91</v>
      </c>
      <c r="D69" s="1" t="s">
        <v>203</v>
      </c>
      <c r="E69" s="1" t="s">
        <v>328</v>
      </c>
      <c r="F69" s="1" t="s">
        <v>329</v>
      </c>
      <c r="G69" s="2" t="s">
        <v>28</v>
      </c>
      <c r="H69" s="1" t="n">
        <v>-1</v>
      </c>
      <c r="I69" s="1" t="n">
        <v>-1</v>
      </c>
      <c r="J69" s="1" t="n">
        <v>0</v>
      </c>
      <c r="K69" s="1" t="n">
        <v>-1</v>
      </c>
      <c r="L69" s="2" t="n">
        <v>10</v>
      </c>
      <c r="M69" s="1" t="s">
        <v>70</v>
      </c>
      <c r="N69" s="1" t="s">
        <v>105</v>
      </c>
      <c r="O69" s="5" t="n">
        <v>46221.5916666667</v>
      </c>
      <c r="P69" s="5" t="n">
        <v>46222.4791666667</v>
      </c>
      <c r="Q69" s="1" t="n">
        <v>49.6634</v>
      </c>
      <c r="R69" s="1" t="n">
        <v>-116.197</v>
      </c>
      <c r="S69" s="1" t="s">
        <v>330</v>
      </c>
      <c r="T69" s="1" t="n">
        <v>2026</v>
      </c>
      <c r="U69" s="1" t="n">
        <v>2026</v>
      </c>
      <c r="V69" s="5" t="n">
        <v>46222.8645833333</v>
      </c>
      <c r="W69" s="6" t="n">
        <v>46387.9999999884</v>
      </c>
    </row>
    <row r="70" customFormat="false" ht="12.75" hidden="false" customHeight="false" outlineLevel="0" collapsed="false">
      <c r="A70" s="1" t="s">
        <v>331</v>
      </c>
      <c r="B70" s="1" t="n">
        <v>18281826</v>
      </c>
      <c r="C70" s="1" t="s">
        <v>91</v>
      </c>
      <c r="D70" s="1" t="s">
        <v>332</v>
      </c>
      <c r="E70" s="1" t="s">
        <v>333</v>
      </c>
      <c r="F70" s="1" t="s">
        <v>334</v>
      </c>
      <c r="G70" s="2" t="s">
        <v>28</v>
      </c>
      <c r="H70" s="1" t="n">
        <v>-1</v>
      </c>
      <c r="I70" s="1" t="n">
        <v>-1</v>
      </c>
      <c r="J70" s="1" t="n">
        <v>0</v>
      </c>
      <c r="K70" s="1" t="n">
        <v>-1</v>
      </c>
      <c r="L70" s="2" t="n">
        <v>3</v>
      </c>
      <c r="M70" s="1" t="s">
        <v>65</v>
      </c>
      <c r="N70" s="1" t="s">
        <v>37</v>
      </c>
      <c r="O70" s="5" t="n">
        <v>46219.5138888889</v>
      </c>
      <c r="P70" s="5" t="n">
        <v>46222.4375</v>
      </c>
      <c r="Q70" s="1" t="n">
        <v>49.653</v>
      </c>
      <c r="R70" s="1" t="n">
        <v>-119.1644</v>
      </c>
      <c r="S70" s="1" t="s">
        <v>335</v>
      </c>
      <c r="T70" s="1" t="n">
        <v>2026</v>
      </c>
      <c r="U70" s="1" t="n">
        <v>2026</v>
      </c>
      <c r="V70" s="5" t="n">
        <v>46222.8229166667</v>
      </c>
      <c r="W70" s="6" t="n">
        <v>46387.9999999884</v>
      </c>
    </row>
    <row r="71" customFormat="false" ht="12.75" hidden="false" customHeight="false" outlineLevel="0" collapsed="false">
      <c r="A71" s="1" t="s">
        <v>336</v>
      </c>
      <c r="B71" s="1" t="n">
        <v>18230627</v>
      </c>
      <c r="C71" s="1" t="s">
        <v>91</v>
      </c>
      <c r="D71" s="1" t="s">
        <v>126</v>
      </c>
      <c r="E71" s="1" t="s">
        <v>337</v>
      </c>
      <c r="F71" s="1" t="s">
        <v>338</v>
      </c>
      <c r="G71" s="2" t="s">
        <v>28</v>
      </c>
      <c r="H71" s="1" t="n">
        <v>-1</v>
      </c>
      <c r="I71" s="1" t="n">
        <v>-1</v>
      </c>
      <c r="J71" s="1" t="n">
        <v>0</v>
      </c>
      <c r="K71" s="1" t="n">
        <v>-1</v>
      </c>
      <c r="L71" s="2" t="n">
        <v>4.83</v>
      </c>
      <c r="M71" s="1" t="s">
        <v>70</v>
      </c>
      <c r="N71" s="1" t="s">
        <v>105</v>
      </c>
      <c r="O71" s="5" t="n">
        <v>46220.4340277778</v>
      </c>
      <c r="P71" s="5" t="n">
        <v>46221.8541666667</v>
      </c>
      <c r="Q71" s="1" t="n">
        <v>50.9802</v>
      </c>
      <c r="R71" s="1" t="n">
        <v>-117.8488</v>
      </c>
      <c r="S71" s="1" t="s">
        <v>339</v>
      </c>
      <c r="T71" s="1" t="n">
        <v>2026</v>
      </c>
      <c r="U71" s="1" t="n">
        <v>2026</v>
      </c>
      <c r="V71" s="5" t="n">
        <v>46222.2395833333</v>
      </c>
      <c r="W71" s="6" t="n">
        <v>46387.9999999884</v>
      </c>
    </row>
    <row r="72" customFormat="false" ht="12.75" hidden="false" customHeight="false" outlineLevel="0" collapsed="false">
      <c r="A72" s="1" t="s">
        <v>340</v>
      </c>
      <c r="B72" s="1" t="n">
        <v>18230611</v>
      </c>
      <c r="C72" s="1" t="s">
        <v>91</v>
      </c>
      <c r="D72" s="1" t="s">
        <v>203</v>
      </c>
      <c r="E72" s="1" t="s">
        <v>341</v>
      </c>
      <c r="F72" s="1" t="s">
        <v>342</v>
      </c>
      <c r="G72" s="2" t="s">
        <v>28</v>
      </c>
      <c r="H72" s="1" t="n">
        <v>-1</v>
      </c>
      <c r="I72" s="1" t="n">
        <v>-1</v>
      </c>
      <c r="J72" s="1" t="n">
        <v>0</v>
      </c>
      <c r="K72" s="1" t="n">
        <v>-1</v>
      </c>
      <c r="L72" s="2" t="n">
        <v>70</v>
      </c>
      <c r="M72" s="1" t="s">
        <v>65</v>
      </c>
      <c r="N72" s="1" t="s">
        <v>105</v>
      </c>
      <c r="O72" s="5" t="n">
        <v>46221.7256944444</v>
      </c>
      <c r="P72" s="5" t="n">
        <v>46221.8347222222</v>
      </c>
      <c r="Q72" s="1" t="n">
        <v>49.8359</v>
      </c>
      <c r="R72" s="1" t="n">
        <v>-116.498</v>
      </c>
      <c r="S72" s="1" t="s">
        <v>343</v>
      </c>
      <c r="T72" s="1" t="n">
        <v>2026</v>
      </c>
      <c r="U72" s="1" t="n">
        <v>2026</v>
      </c>
      <c r="V72" s="5" t="n">
        <v>46222.2395833333</v>
      </c>
      <c r="W72" s="6" t="n">
        <v>46387.9999999884</v>
      </c>
    </row>
    <row r="73" customFormat="false" ht="12.75" hidden="false" customHeight="false" outlineLevel="0" collapsed="false">
      <c r="A73" s="1" t="s">
        <v>344</v>
      </c>
      <c r="B73" s="1" t="n">
        <v>18226687</v>
      </c>
      <c r="C73" s="1" t="s">
        <v>91</v>
      </c>
      <c r="D73" s="1" t="s">
        <v>345</v>
      </c>
      <c r="E73" s="1" t="s">
        <v>346</v>
      </c>
      <c r="F73" s="1" t="s">
        <v>347</v>
      </c>
      <c r="G73" s="2" t="s">
        <v>84</v>
      </c>
      <c r="H73" s="1" t="n">
        <v>-1</v>
      </c>
      <c r="I73" s="1" t="n">
        <v>-1</v>
      </c>
      <c r="J73" s="1" t="n">
        <v>0</v>
      </c>
      <c r="K73" s="1" t="n">
        <v>-1</v>
      </c>
      <c r="L73" s="2" t="n">
        <v>0.009</v>
      </c>
      <c r="M73" s="1" t="s">
        <v>70</v>
      </c>
      <c r="N73" s="1" t="s">
        <v>37</v>
      </c>
      <c r="O73" s="5" t="n">
        <v>46220.6263888889</v>
      </c>
      <c r="P73" s="5" t="n">
        <v>46221.7930555556</v>
      </c>
      <c r="Q73" s="1" t="n">
        <v>52.0873</v>
      </c>
      <c r="R73" s="1" t="n">
        <v>-119.7485</v>
      </c>
      <c r="S73" s="1" t="s">
        <v>348</v>
      </c>
      <c r="T73" s="1" t="n">
        <v>2026</v>
      </c>
      <c r="U73" s="1" t="n">
        <v>2026</v>
      </c>
      <c r="V73" s="5" t="n">
        <v>46222.1979166667</v>
      </c>
      <c r="W73" s="6" t="n">
        <v>46387.9999999884</v>
      </c>
    </row>
    <row r="74" customFormat="false" ht="12.75" hidden="false" customHeight="false" outlineLevel="0" collapsed="false">
      <c r="A74" s="1" t="s">
        <v>349</v>
      </c>
      <c r="B74" s="1" t="n">
        <v>18210968</v>
      </c>
      <c r="C74" s="1" t="s">
        <v>91</v>
      </c>
      <c r="D74" s="1" t="s">
        <v>121</v>
      </c>
      <c r="E74" s="1" t="s">
        <v>350</v>
      </c>
      <c r="F74" s="1" t="s">
        <v>351</v>
      </c>
      <c r="G74" s="2" t="s">
        <v>28</v>
      </c>
      <c r="H74" s="1" t="n">
        <v>-1</v>
      </c>
      <c r="I74" s="1" t="n">
        <v>-1</v>
      </c>
      <c r="J74" s="1" t="n">
        <v>0</v>
      </c>
      <c r="K74" s="1" t="n">
        <v>-1</v>
      </c>
      <c r="L74" s="2" t="n">
        <v>0.009</v>
      </c>
      <c r="M74" s="1" t="s">
        <v>70</v>
      </c>
      <c r="N74" s="1" t="s">
        <v>105</v>
      </c>
      <c r="O74" s="5" t="n">
        <v>46221.63125</v>
      </c>
      <c r="P74" s="5" t="n">
        <v>46221.6458333333</v>
      </c>
      <c r="Q74" s="1" t="n">
        <v>49.7122</v>
      </c>
      <c r="R74" s="1" t="n">
        <v>-118.5987</v>
      </c>
      <c r="S74" s="1" t="s">
        <v>352</v>
      </c>
      <c r="T74" s="1" t="n">
        <v>2026</v>
      </c>
      <c r="U74" s="1" t="n">
        <v>2026</v>
      </c>
      <c r="V74" s="5" t="n">
        <v>46222.03125</v>
      </c>
      <c r="W74" s="6" t="n">
        <v>46387.9999999884</v>
      </c>
    </row>
    <row r="75" customFormat="false" ht="12.75" hidden="false" customHeight="false" outlineLevel="0" collapsed="false">
      <c r="A75" s="1" t="s">
        <v>353</v>
      </c>
      <c r="B75" s="1" t="n">
        <v>18202147</v>
      </c>
      <c r="C75" s="1" t="s">
        <v>91</v>
      </c>
      <c r="D75" s="1" t="s">
        <v>354</v>
      </c>
      <c r="E75" s="1" t="s">
        <v>355</v>
      </c>
      <c r="F75" s="1" t="s">
        <v>356</v>
      </c>
      <c r="G75" s="2" t="s">
        <v>28</v>
      </c>
      <c r="H75" s="1" t="n">
        <v>-1</v>
      </c>
      <c r="I75" s="1" t="n">
        <v>-1</v>
      </c>
      <c r="J75" s="1" t="n">
        <v>0</v>
      </c>
      <c r="K75" s="1" t="n">
        <v>-1</v>
      </c>
      <c r="L75" s="2" t="n">
        <v>0.5</v>
      </c>
      <c r="M75" s="1" t="s">
        <v>29</v>
      </c>
      <c r="N75" s="1" t="s">
        <v>37</v>
      </c>
      <c r="O75" s="5" t="n">
        <v>46220.6541666667</v>
      </c>
      <c r="P75" s="5" t="n">
        <v>46221.5625</v>
      </c>
      <c r="Q75" s="1" t="n">
        <v>54.5194</v>
      </c>
      <c r="R75" s="1" t="n">
        <v>-122.7138</v>
      </c>
      <c r="S75" s="1" t="s">
        <v>357</v>
      </c>
      <c r="T75" s="1" t="n">
        <v>2026</v>
      </c>
      <c r="U75" s="1" t="n">
        <v>2026</v>
      </c>
      <c r="V75" s="5" t="n">
        <v>46221.9479166667</v>
      </c>
      <c r="W75" s="6" t="n">
        <v>46387.9999999884</v>
      </c>
    </row>
    <row r="76" customFormat="false" ht="12.75" hidden="false" customHeight="false" outlineLevel="0" collapsed="false">
      <c r="A76" s="1" t="s">
        <v>358</v>
      </c>
      <c r="B76" s="1" t="n">
        <v>18198914</v>
      </c>
      <c r="C76" s="1" t="s">
        <v>91</v>
      </c>
      <c r="D76" s="1" t="s">
        <v>253</v>
      </c>
      <c r="E76" s="1" t="s">
        <v>359</v>
      </c>
      <c r="F76" s="1" t="s">
        <v>360</v>
      </c>
      <c r="G76" s="2" t="s">
        <v>28</v>
      </c>
      <c r="H76" s="1" t="n">
        <v>-1</v>
      </c>
      <c r="I76" s="1" t="n">
        <v>-1</v>
      </c>
      <c r="J76" s="1" t="n">
        <v>0</v>
      </c>
      <c r="K76" s="1" t="n">
        <v>-1</v>
      </c>
      <c r="L76" s="2" t="n">
        <v>30</v>
      </c>
      <c r="M76" s="1" t="s">
        <v>29</v>
      </c>
      <c r="N76" s="1" t="s">
        <v>105</v>
      </c>
      <c r="O76" s="5" t="n">
        <v>46220.7923611111</v>
      </c>
      <c r="P76" s="5" t="n">
        <v>46222.8763888889</v>
      </c>
      <c r="Q76" s="1" t="n">
        <v>50.9791</v>
      </c>
      <c r="R76" s="1" t="n">
        <v>-121.8087</v>
      </c>
      <c r="S76" s="1" t="s">
        <v>361</v>
      </c>
      <c r="T76" s="1" t="n">
        <v>2026</v>
      </c>
      <c r="U76" s="1" t="n">
        <v>2026</v>
      </c>
      <c r="V76" s="5" t="n">
        <v>46221.90625</v>
      </c>
      <c r="W76" s="6" t="n">
        <v>46387.9999999884</v>
      </c>
    </row>
    <row r="77" customFormat="false" ht="12.75" hidden="false" customHeight="false" outlineLevel="0" collapsed="false">
      <c r="A77" s="1" t="s">
        <v>362</v>
      </c>
      <c r="B77" s="1" t="n">
        <v>18199186</v>
      </c>
      <c r="C77" s="1" t="s">
        <v>91</v>
      </c>
      <c r="D77" s="1" t="s">
        <v>203</v>
      </c>
      <c r="E77" s="1" t="s">
        <v>363</v>
      </c>
      <c r="F77" s="1" t="s">
        <v>364</v>
      </c>
      <c r="G77" s="2" t="s">
        <v>84</v>
      </c>
      <c r="H77" s="1" t="n">
        <v>-1</v>
      </c>
      <c r="I77" s="1" t="n">
        <v>-1</v>
      </c>
      <c r="J77" s="1" t="n">
        <v>0</v>
      </c>
      <c r="K77" s="1" t="n">
        <v>-1</v>
      </c>
      <c r="L77" s="2" t="n">
        <v>0.009</v>
      </c>
      <c r="M77" s="1" t="s">
        <v>29</v>
      </c>
      <c r="N77" s="1" t="s">
        <v>37</v>
      </c>
      <c r="O77" s="5" t="n">
        <v>46220.8756944445</v>
      </c>
      <c r="P77" s="5" t="n">
        <v>46221.5208333333</v>
      </c>
      <c r="Q77" s="1" t="n">
        <v>49.5733</v>
      </c>
      <c r="R77" s="1" t="n">
        <v>-115.9384</v>
      </c>
      <c r="S77" s="1" t="s">
        <v>365</v>
      </c>
      <c r="T77" s="1" t="n">
        <v>2026</v>
      </c>
      <c r="U77" s="1" t="n">
        <v>2026</v>
      </c>
      <c r="V77" s="5" t="n">
        <v>46221.90625</v>
      </c>
      <c r="W77" s="6" t="n">
        <v>46387.9999999884</v>
      </c>
    </row>
    <row r="78" customFormat="false" ht="12.75" hidden="false" customHeight="false" outlineLevel="0" collapsed="false">
      <c r="A78" s="1" t="s">
        <v>366</v>
      </c>
      <c r="B78" s="1" t="n">
        <v>18196479</v>
      </c>
      <c r="C78" s="1" t="s">
        <v>91</v>
      </c>
      <c r="D78" s="1" t="s">
        <v>253</v>
      </c>
      <c r="E78" s="1" t="s">
        <v>367</v>
      </c>
      <c r="F78" s="1" t="s">
        <v>368</v>
      </c>
      <c r="G78" s="2" t="s">
        <v>28</v>
      </c>
      <c r="H78" s="1" t="n">
        <v>-1</v>
      </c>
      <c r="I78" s="1" t="n">
        <v>-1</v>
      </c>
      <c r="J78" s="1" t="n">
        <v>0</v>
      </c>
      <c r="K78" s="1" t="n">
        <v>-1</v>
      </c>
      <c r="L78" s="2" t="n">
        <v>150</v>
      </c>
      <c r="M78" s="1" t="s">
        <v>29</v>
      </c>
      <c r="N78" s="1" t="s">
        <v>105</v>
      </c>
      <c r="O78" s="5" t="n">
        <v>46220.5055555556</v>
      </c>
      <c r="P78" s="5" t="n">
        <v>46221.4791666667</v>
      </c>
      <c r="Q78" s="1" t="n">
        <v>51.6471</v>
      </c>
      <c r="R78" s="1" t="n">
        <v>-120.6406</v>
      </c>
      <c r="S78" s="1" t="s">
        <v>369</v>
      </c>
      <c r="T78" s="1" t="n">
        <v>2026</v>
      </c>
      <c r="U78" s="1" t="n">
        <v>2026</v>
      </c>
      <c r="V78" s="5" t="n">
        <v>46221.8645833333</v>
      </c>
      <c r="W78" s="6" t="n">
        <v>46387.9999999884</v>
      </c>
    </row>
    <row r="79" customFormat="false" ht="12.75" hidden="false" customHeight="false" outlineLevel="0" collapsed="false">
      <c r="A79" s="1" t="s">
        <v>370</v>
      </c>
      <c r="B79" s="1" t="n">
        <v>18196762</v>
      </c>
      <c r="C79" s="1" t="s">
        <v>91</v>
      </c>
      <c r="D79" s="1" t="s">
        <v>189</v>
      </c>
      <c r="E79" s="1" t="s">
        <v>371</v>
      </c>
      <c r="F79" s="1" t="s">
        <v>372</v>
      </c>
      <c r="G79" s="2" t="s">
        <v>84</v>
      </c>
      <c r="H79" s="1" t="n">
        <v>-1</v>
      </c>
      <c r="I79" s="1" t="n">
        <v>-1</v>
      </c>
      <c r="J79" s="1" t="n">
        <v>0</v>
      </c>
      <c r="K79" s="1" t="n">
        <v>-1</v>
      </c>
      <c r="L79" s="2" t="n">
        <v>115</v>
      </c>
      <c r="M79" s="1" t="s">
        <v>29</v>
      </c>
      <c r="N79" s="1" t="s">
        <v>37</v>
      </c>
      <c r="O79" s="5" t="n">
        <v>46214.6736111111</v>
      </c>
      <c r="P79" s="5" t="n">
        <v>46221.4791666667</v>
      </c>
      <c r="Q79" s="1" t="n">
        <v>49.9483</v>
      </c>
      <c r="R79" s="1" t="n">
        <v>-115.7</v>
      </c>
      <c r="S79" s="1" t="s">
        <v>373</v>
      </c>
      <c r="T79" s="1" t="n">
        <v>2026</v>
      </c>
      <c r="U79" s="1" t="n">
        <v>2026</v>
      </c>
      <c r="V79" s="5" t="n">
        <v>46221.8645833333</v>
      </c>
      <c r="W79" s="6" t="n">
        <v>46387.9999999884</v>
      </c>
    </row>
    <row r="80" customFormat="false" ht="12.75" hidden="false" customHeight="false" outlineLevel="0" collapsed="false">
      <c r="A80" s="1" t="s">
        <v>374</v>
      </c>
      <c r="B80" s="1" t="n">
        <v>18187975</v>
      </c>
      <c r="C80" s="1" t="s">
        <v>91</v>
      </c>
      <c r="D80" s="1" t="s">
        <v>375</v>
      </c>
      <c r="E80" s="1" t="s">
        <v>376</v>
      </c>
      <c r="F80" s="1" t="s">
        <v>377</v>
      </c>
      <c r="G80" s="2" t="s">
        <v>28</v>
      </c>
      <c r="H80" s="1" t="n">
        <v>-1</v>
      </c>
      <c r="I80" s="1" t="n">
        <v>-1</v>
      </c>
      <c r="J80" s="1" t="n">
        <v>0</v>
      </c>
      <c r="K80" s="1" t="n">
        <v>-1</v>
      </c>
      <c r="L80" s="2" t="n">
        <v>0.009</v>
      </c>
      <c r="M80" s="1" t="s">
        <v>65</v>
      </c>
      <c r="N80" s="1" t="s">
        <v>37</v>
      </c>
      <c r="O80" s="5" t="n">
        <v>46220.5777777778</v>
      </c>
      <c r="P80" s="5" t="n">
        <v>46221.3763888889</v>
      </c>
      <c r="Q80" s="1" t="n">
        <v>50.2292</v>
      </c>
      <c r="R80" s="1" t="n">
        <v>-125.9916</v>
      </c>
      <c r="S80" s="1" t="s">
        <v>378</v>
      </c>
      <c r="T80" s="1" t="n">
        <v>2026</v>
      </c>
      <c r="U80" s="1" t="n">
        <v>2026</v>
      </c>
      <c r="V80" s="5" t="n">
        <v>46221.78125</v>
      </c>
      <c r="W80" s="6" t="n">
        <v>46387.9999999884</v>
      </c>
    </row>
    <row r="81" customFormat="false" ht="12.75" hidden="false" customHeight="false" outlineLevel="0" collapsed="false">
      <c r="A81" s="1" t="s">
        <v>379</v>
      </c>
      <c r="B81" s="1" t="n">
        <v>18150993</v>
      </c>
      <c r="C81" s="1" t="s">
        <v>91</v>
      </c>
      <c r="D81" s="1" t="s">
        <v>194</v>
      </c>
      <c r="E81" s="1" t="s">
        <v>380</v>
      </c>
      <c r="F81" s="1" t="s">
        <v>381</v>
      </c>
      <c r="G81" s="2" t="s">
        <v>28</v>
      </c>
      <c r="H81" s="1" t="n">
        <v>-1</v>
      </c>
      <c r="I81" s="1" t="n">
        <v>-1</v>
      </c>
      <c r="J81" s="1" t="n">
        <v>0</v>
      </c>
      <c r="K81" s="1" t="n">
        <v>-1</v>
      </c>
      <c r="L81" s="2" t="n">
        <v>230</v>
      </c>
      <c r="M81" s="1" t="s">
        <v>29</v>
      </c>
      <c r="N81" s="1" t="s">
        <v>105</v>
      </c>
      <c r="O81" s="5" t="n">
        <v>46220.5284722222</v>
      </c>
      <c r="P81" s="5" t="n">
        <v>46220.9611111111</v>
      </c>
      <c r="Q81" s="1" t="n">
        <v>52.673</v>
      </c>
      <c r="R81" s="1" t="n">
        <v>-125.3238</v>
      </c>
      <c r="S81" s="1" t="s">
        <v>382</v>
      </c>
      <c r="T81" s="1" t="n">
        <v>2026</v>
      </c>
      <c r="U81" s="1" t="n">
        <v>2026</v>
      </c>
      <c r="V81" s="5" t="n">
        <v>46221.3645833333</v>
      </c>
      <c r="W81" s="6" t="n">
        <v>46387.9999999884</v>
      </c>
    </row>
    <row r="82" customFormat="false" ht="12.75" hidden="false" customHeight="false" outlineLevel="0" collapsed="false">
      <c r="A82" s="1" t="s">
        <v>383</v>
      </c>
      <c r="B82" s="1" t="n">
        <v>18137961</v>
      </c>
      <c r="C82" s="1" t="s">
        <v>91</v>
      </c>
      <c r="D82" s="1" t="s">
        <v>208</v>
      </c>
      <c r="E82" s="1" t="s">
        <v>384</v>
      </c>
      <c r="F82" s="1" t="s">
        <v>385</v>
      </c>
      <c r="G82" s="2" t="s">
        <v>28</v>
      </c>
      <c r="H82" s="1" t="n">
        <v>-1</v>
      </c>
      <c r="I82" s="1" t="n">
        <v>-1</v>
      </c>
      <c r="J82" s="1" t="n">
        <v>0</v>
      </c>
      <c r="K82" s="1" t="n">
        <v>-1</v>
      </c>
      <c r="L82" s="2" t="n">
        <v>0.009</v>
      </c>
      <c r="M82" s="1" t="s">
        <v>29</v>
      </c>
      <c r="N82" s="1" t="s">
        <v>37</v>
      </c>
      <c r="O82" s="5" t="n">
        <v>46220.4736111111</v>
      </c>
      <c r="P82" s="5" t="n">
        <v>46220.7930555556</v>
      </c>
      <c r="Q82" s="1" t="n">
        <v>49.1839</v>
      </c>
      <c r="R82" s="1" t="n">
        <v>-117.2172</v>
      </c>
      <c r="S82" s="1" t="s">
        <v>386</v>
      </c>
      <c r="T82" s="1" t="n">
        <v>2026</v>
      </c>
      <c r="U82" s="1" t="n">
        <v>2026</v>
      </c>
      <c r="V82" s="5" t="n">
        <v>46221.1979166667</v>
      </c>
      <c r="W82" s="6" t="n">
        <v>46387.9999999884</v>
      </c>
    </row>
    <row r="83" customFormat="false" ht="12.75" hidden="false" customHeight="false" outlineLevel="0" collapsed="false">
      <c r="A83" s="1" t="s">
        <v>387</v>
      </c>
      <c r="B83" s="1" t="n">
        <v>18137918</v>
      </c>
      <c r="C83" s="1" t="s">
        <v>91</v>
      </c>
      <c r="D83" s="1" t="s">
        <v>203</v>
      </c>
      <c r="E83" s="1" t="s">
        <v>388</v>
      </c>
      <c r="F83" s="1" t="s">
        <v>389</v>
      </c>
      <c r="G83" s="2" t="s">
        <v>28</v>
      </c>
      <c r="H83" s="1" t="n">
        <v>-1</v>
      </c>
      <c r="I83" s="1" t="n">
        <v>-1</v>
      </c>
      <c r="J83" s="1" t="n">
        <v>0</v>
      </c>
      <c r="K83" s="1" t="n">
        <v>-1</v>
      </c>
      <c r="L83" s="2" t="n">
        <v>0.009</v>
      </c>
      <c r="M83" s="1" t="s">
        <v>29</v>
      </c>
      <c r="N83" s="1" t="s">
        <v>30</v>
      </c>
      <c r="O83" s="5" t="n">
        <v>46220.6291666667</v>
      </c>
      <c r="P83" s="5" t="n">
        <v>46220.8125</v>
      </c>
      <c r="Q83" s="1" t="n">
        <v>49.6046</v>
      </c>
      <c r="R83" s="1" t="n">
        <v>-116.2972</v>
      </c>
      <c r="S83" s="1" t="s">
        <v>390</v>
      </c>
      <c r="T83" s="1" t="n">
        <v>2026</v>
      </c>
      <c r="U83" s="1" t="n">
        <v>2026</v>
      </c>
      <c r="V83" s="5" t="n">
        <v>46221.1979166667</v>
      </c>
      <c r="W83" s="6" t="n">
        <v>46387.9999999884</v>
      </c>
    </row>
    <row r="84" customFormat="false" ht="12.75" hidden="false" customHeight="false" outlineLevel="0" collapsed="false">
      <c r="A84" s="1" t="s">
        <v>391</v>
      </c>
      <c r="B84" s="1" t="n">
        <v>18137954</v>
      </c>
      <c r="C84" s="1" t="s">
        <v>91</v>
      </c>
      <c r="D84" s="1" t="s">
        <v>208</v>
      </c>
      <c r="E84" s="1" t="s">
        <v>392</v>
      </c>
      <c r="F84" s="1" t="s">
        <v>393</v>
      </c>
      <c r="G84" s="2" t="s">
        <v>28</v>
      </c>
      <c r="H84" s="1" t="n">
        <v>-1</v>
      </c>
      <c r="I84" s="1" t="n">
        <v>-1</v>
      </c>
      <c r="J84" s="1" t="n">
        <v>0</v>
      </c>
      <c r="K84" s="1" t="n">
        <v>-1</v>
      </c>
      <c r="L84" s="2" t="n">
        <v>0.1</v>
      </c>
      <c r="M84" s="1" t="s">
        <v>29</v>
      </c>
      <c r="N84" s="1" t="s">
        <v>37</v>
      </c>
      <c r="O84" s="5" t="n">
        <v>46219.6833333333</v>
      </c>
      <c r="P84" s="5" t="n">
        <v>46220.7930555556</v>
      </c>
      <c r="Q84" s="1" t="n">
        <v>49.6395</v>
      </c>
      <c r="R84" s="1" t="n">
        <v>-117.4995</v>
      </c>
      <c r="S84" s="1" t="s">
        <v>394</v>
      </c>
      <c r="T84" s="1" t="n">
        <v>2026</v>
      </c>
      <c r="U84" s="1" t="n">
        <v>2026</v>
      </c>
      <c r="V84" s="5" t="n">
        <v>46221.1979166667</v>
      </c>
      <c r="W84" s="6" t="n">
        <v>46387.9999999884</v>
      </c>
    </row>
    <row r="85" customFormat="false" ht="12.75" hidden="false" customHeight="false" outlineLevel="0" collapsed="false">
      <c r="A85" s="1" t="s">
        <v>395</v>
      </c>
      <c r="B85" s="1" t="n">
        <v>18137593</v>
      </c>
      <c r="C85" s="1" t="s">
        <v>91</v>
      </c>
      <c r="D85" s="1" t="s">
        <v>97</v>
      </c>
      <c r="E85" s="1" t="s">
        <v>396</v>
      </c>
      <c r="F85" s="1" t="s">
        <v>397</v>
      </c>
      <c r="G85" s="2" t="s">
        <v>28</v>
      </c>
      <c r="H85" s="1" t="n">
        <v>-1</v>
      </c>
      <c r="I85" s="1" t="n">
        <v>-1</v>
      </c>
      <c r="J85" s="1" t="n">
        <v>0</v>
      </c>
      <c r="K85" s="1" t="n">
        <v>-1</v>
      </c>
      <c r="L85" s="2" t="n">
        <v>1</v>
      </c>
      <c r="M85" s="1" t="s">
        <v>29</v>
      </c>
      <c r="N85" s="1" t="s">
        <v>105</v>
      </c>
      <c r="O85" s="5" t="n">
        <v>46220.7284722222</v>
      </c>
      <c r="P85" s="5" t="n">
        <v>46220.8541666667</v>
      </c>
      <c r="Q85" s="1" t="n">
        <v>53.1162</v>
      </c>
      <c r="R85" s="1" t="n">
        <v>-121.825</v>
      </c>
      <c r="S85" s="1" t="s">
        <v>398</v>
      </c>
      <c r="T85" s="1" t="n">
        <v>2026</v>
      </c>
      <c r="U85" s="1" t="n">
        <v>2026</v>
      </c>
      <c r="V85" s="5" t="n">
        <v>46221.1979166667</v>
      </c>
      <c r="W85" s="6" t="n">
        <v>46387.9999999884</v>
      </c>
    </row>
    <row r="86" customFormat="false" ht="12.75" hidden="false" customHeight="false" outlineLevel="0" collapsed="false">
      <c r="A86" s="1" t="s">
        <v>399</v>
      </c>
      <c r="B86" s="1" t="n">
        <v>18133087</v>
      </c>
      <c r="C86" s="1" t="s">
        <v>91</v>
      </c>
      <c r="D86" s="1" t="s">
        <v>400</v>
      </c>
      <c r="E86" s="1" t="s">
        <v>401</v>
      </c>
      <c r="F86" s="1" t="s">
        <v>402</v>
      </c>
      <c r="G86" s="2" t="s">
        <v>28</v>
      </c>
      <c r="H86" s="1" t="n">
        <v>-1</v>
      </c>
      <c r="I86" s="1" t="n">
        <v>-1</v>
      </c>
      <c r="J86" s="1" t="n">
        <v>0</v>
      </c>
      <c r="K86" s="1" t="n">
        <v>-1</v>
      </c>
      <c r="L86" s="2" t="n">
        <v>0.001</v>
      </c>
      <c r="M86" s="1" t="s">
        <v>65</v>
      </c>
      <c r="N86" s="1" t="s">
        <v>30</v>
      </c>
      <c r="O86" s="5" t="n">
        <v>46220.4618055556</v>
      </c>
      <c r="P86" s="5" t="n">
        <v>46221.8958333333</v>
      </c>
      <c r="Q86" s="1" t="n">
        <v>57.6855</v>
      </c>
      <c r="R86" s="1" t="n">
        <v>-122.9327</v>
      </c>
      <c r="S86" s="1" t="s">
        <v>403</v>
      </c>
      <c r="T86" s="1" t="n">
        <v>2026</v>
      </c>
      <c r="U86" s="1" t="n">
        <v>2026</v>
      </c>
      <c r="V86" s="5" t="n">
        <v>46221.15625</v>
      </c>
      <c r="W86" s="6" t="n">
        <v>46387.9999999884</v>
      </c>
    </row>
    <row r="87" customFormat="false" ht="12.75" hidden="false" customHeight="false" outlineLevel="0" collapsed="false">
      <c r="A87" s="1" t="s">
        <v>404</v>
      </c>
      <c r="B87" s="1" t="n">
        <v>18109875</v>
      </c>
      <c r="C87" s="1" t="s">
        <v>91</v>
      </c>
      <c r="D87" s="1" t="s">
        <v>253</v>
      </c>
      <c r="E87" s="1" t="s">
        <v>405</v>
      </c>
      <c r="F87" s="1" t="s">
        <v>406</v>
      </c>
      <c r="G87" s="2" t="s">
        <v>28</v>
      </c>
      <c r="H87" s="1" t="n">
        <v>-1</v>
      </c>
      <c r="I87" s="1" t="n">
        <v>-1</v>
      </c>
      <c r="J87" s="1" t="n">
        <v>0</v>
      </c>
      <c r="K87" s="1" t="n">
        <v>-1</v>
      </c>
      <c r="L87" s="2" t="n">
        <v>0.009</v>
      </c>
      <c r="M87" s="1" t="s">
        <v>29</v>
      </c>
      <c r="N87" s="1" t="s">
        <v>37</v>
      </c>
      <c r="O87" s="5" t="n">
        <v>46220.3840277778</v>
      </c>
      <c r="P87" s="5" t="n">
        <v>46220.5013888889</v>
      </c>
      <c r="Q87" s="1" t="n">
        <v>51.3356</v>
      </c>
      <c r="R87" s="1" t="n">
        <v>-121.7237</v>
      </c>
      <c r="S87" s="1" t="s">
        <v>407</v>
      </c>
      <c r="T87" s="1" t="n">
        <v>2026</v>
      </c>
      <c r="U87" s="1" t="n">
        <v>2026</v>
      </c>
      <c r="V87" s="5" t="n">
        <v>46220.90625</v>
      </c>
      <c r="W87" s="6" t="n">
        <v>46387.9999999884</v>
      </c>
    </row>
    <row r="88" customFormat="false" ht="12.75" hidden="false" customHeight="false" outlineLevel="0" collapsed="false">
      <c r="A88" s="1" t="s">
        <v>408</v>
      </c>
      <c r="B88" s="1" t="n">
        <v>18109876</v>
      </c>
      <c r="C88" s="1" t="s">
        <v>91</v>
      </c>
      <c r="D88" s="1" t="s">
        <v>253</v>
      </c>
      <c r="E88" s="1" t="s">
        <v>409</v>
      </c>
      <c r="F88" s="1" t="s">
        <v>410</v>
      </c>
      <c r="G88" s="2" t="s">
        <v>28</v>
      </c>
      <c r="H88" s="1" t="n">
        <v>-1</v>
      </c>
      <c r="I88" s="1" t="n">
        <v>-1</v>
      </c>
      <c r="J88" s="1" t="n">
        <v>0</v>
      </c>
      <c r="K88" s="1" t="n">
        <v>-1</v>
      </c>
      <c r="L88" s="2" t="n">
        <v>0.009</v>
      </c>
      <c r="M88" s="1" t="s">
        <v>29</v>
      </c>
      <c r="N88" s="1" t="s">
        <v>37</v>
      </c>
      <c r="O88" s="5" t="n">
        <v>46220.3840277778</v>
      </c>
      <c r="P88" s="5" t="n">
        <v>46220.5430555556</v>
      </c>
      <c r="Q88" s="1" t="n">
        <v>51.3409</v>
      </c>
      <c r="R88" s="1" t="n">
        <v>-121.7175</v>
      </c>
      <c r="S88" s="1" t="s">
        <v>411</v>
      </c>
      <c r="T88" s="1" t="n">
        <v>2026</v>
      </c>
      <c r="U88" s="1" t="n">
        <v>2026</v>
      </c>
      <c r="V88" s="5" t="n">
        <v>46220.90625</v>
      </c>
      <c r="W88" s="6" t="n">
        <v>46387.9999999884</v>
      </c>
    </row>
    <row r="89" customFormat="false" ht="12.75" hidden="false" customHeight="false" outlineLevel="0" collapsed="false">
      <c r="A89" s="1" t="s">
        <v>412</v>
      </c>
      <c r="B89" s="1" t="n">
        <v>18106139</v>
      </c>
      <c r="C89" s="1" t="s">
        <v>91</v>
      </c>
      <c r="D89" s="1" t="s">
        <v>332</v>
      </c>
      <c r="E89" s="1" t="s">
        <v>413</v>
      </c>
      <c r="F89" s="1" t="s">
        <v>414</v>
      </c>
      <c r="G89" s="2" t="s">
        <v>28</v>
      </c>
      <c r="H89" s="1" t="n">
        <v>-1</v>
      </c>
      <c r="I89" s="1" t="n">
        <v>-1</v>
      </c>
      <c r="J89" s="1" t="n">
        <v>0</v>
      </c>
      <c r="K89" s="1" t="n">
        <v>-1</v>
      </c>
      <c r="L89" s="2" t="n">
        <v>0.6</v>
      </c>
      <c r="M89" s="1" t="s">
        <v>65</v>
      </c>
      <c r="N89" s="1" t="s">
        <v>37</v>
      </c>
      <c r="O89" s="5" t="n">
        <v>46219.5319444445</v>
      </c>
      <c r="P89" s="5" t="n">
        <v>46220.4597222222</v>
      </c>
      <c r="Q89" s="1" t="n">
        <v>49.0234</v>
      </c>
      <c r="R89" s="1" t="n">
        <v>-119.3282</v>
      </c>
      <c r="S89" s="1" t="s">
        <v>415</v>
      </c>
      <c r="T89" s="1" t="n">
        <v>2026</v>
      </c>
      <c r="U89" s="1" t="n">
        <v>2026</v>
      </c>
      <c r="V89" s="5" t="n">
        <v>46220.8645833333</v>
      </c>
      <c r="W89" s="6" t="n">
        <v>46387.9999999884</v>
      </c>
    </row>
    <row r="90" customFormat="false" ht="12.75" hidden="false" customHeight="false" outlineLevel="0" collapsed="false">
      <c r="A90" s="1" t="s">
        <v>416</v>
      </c>
      <c r="B90" s="1" t="n">
        <v>18051292</v>
      </c>
      <c r="C90" s="1" t="s">
        <v>91</v>
      </c>
      <c r="D90" s="1" t="s">
        <v>236</v>
      </c>
      <c r="E90" s="1" t="s">
        <v>417</v>
      </c>
      <c r="F90" s="1" t="s">
        <v>418</v>
      </c>
      <c r="G90" s="2" t="s">
        <v>28</v>
      </c>
      <c r="H90" s="1" t="n">
        <v>-1</v>
      </c>
      <c r="I90" s="1" t="n">
        <v>-1</v>
      </c>
      <c r="J90" s="1" t="n">
        <v>0</v>
      </c>
      <c r="K90" s="1" t="n">
        <v>-1</v>
      </c>
      <c r="L90" s="2" t="n">
        <v>8</v>
      </c>
      <c r="M90" s="1" t="s">
        <v>29</v>
      </c>
      <c r="N90" s="1" t="s">
        <v>37</v>
      </c>
      <c r="O90" s="5" t="n">
        <v>46218.6611111111</v>
      </c>
      <c r="P90" s="5" t="n">
        <v>46221.5208333333</v>
      </c>
      <c r="Q90" s="1" t="n">
        <v>51.589</v>
      </c>
      <c r="R90" s="1" t="n">
        <v>-122.1528</v>
      </c>
      <c r="S90" s="1" t="s">
        <v>419</v>
      </c>
      <c r="T90" s="1" t="n">
        <v>2026</v>
      </c>
      <c r="U90" s="1" t="n">
        <v>2026</v>
      </c>
      <c r="V90" s="5" t="n">
        <v>46220.2395833333</v>
      </c>
      <c r="W90" s="6" t="n">
        <v>46387.9999999884</v>
      </c>
    </row>
    <row r="91" customFormat="false" ht="12.75" hidden="false" customHeight="false" outlineLevel="0" collapsed="false">
      <c r="A91" s="1" t="s">
        <v>420</v>
      </c>
      <c r="B91" s="1" t="n">
        <v>17934383</v>
      </c>
      <c r="C91" s="1" t="s">
        <v>91</v>
      </c>
      <c r="D91" s="1" t="s">
        <v>332</v>
      </c>
      <c r="E91" s="1" t="s">
        <v>421</v>
      </c>
      <c r="F91" s="1" t="s">
        <v>422</v>
      </c>
      <c r="G91" s="2" t="s">
        <v>84</v>
      </c>
      <c r="H91" s="1" t="n">
        <v>-1</v>
      </c>
      <c r="I91" s="1" t="n">
        <v>-1</v>
      </c>
      <c r="J91" s="1" t="n">
        <v>0</v>
      </c>
      <c r="K91" s="1" t="n">
        <v>-1</v>
      </c>
      <c r="L91" s="2" t="n">
        <v>2.87</v>
      </c>
      <c r="M91" s="1" t="s">
        <v>29</v>
      </c>
      <c r="N91" s="1" t="s">
        <v>37</v>
      </c>
      <c r="O91" s="5" t="n">
        <v>46216.5215277778</v>
      </c>
      <c r="P91" s="5" t="n">
        <v>46218.4597222222</v>
      </c>
      <c r="Q91" s="1" t="n">
        <v>49.0144</v>
      </c>
      <c r="R91" s="1" t="n">
        <v>-119.3546</v>
      </c>
      <c r="S91" s="1" t="s">
        <v>423</v>
      </c>
      <c r="T91" s="1" t="n">
        <v>2026</v>
      </c>
      <c r="U91" s="1" t="n">
        <v>2026</v>
      </c>
      <c r="V91" s="5" t="n">
        <v>46218.8645833333</v>
      </c>
      <c r="W91" s="6" t="n">
        <v>46387.9999999884</v>
      </c>
    </row>
    <row r="92" customFormat="false" ht="12.75" hidden="false" customHeight="false" outlineLevel="0" collapsed="false">
      <c r="A92" s="1" t="s">
        <v>424</v>
      </c>
      <c r="B92" s="1" t="n">
        <v>17934430</v>
      </c>
      <c r="C92" s="1" t="s">
        <v>91</v>
      </c>
      <c r="D92" s="1" t="s">
        <v>203</v>
      </c>
      <c r="E92" s="1" t="s">
        <v>425</v>
      </c>
      <c r="F92" s="1" t="s">
        <v>426</v>
      </c>
      <c r="G92" s="2" t="s">
        <v>84</v>
      </c>
      <c r="H92" s="1" t="n">
        <v>-1</v>
      </c>
      <c r="I92" s="1" t="n">
        <v>-1</v>
      </c>
      <c r="J92" s="1" t="n">
        <v>0</v>
      </c>
      <c r="K92" s="1" t="n">
        <v>-1</v>
      </c>
      <c r="L92" s="2" t="n">
        <v>5.7</v>
      </c>
      <c r="M92" s="1" t="s">
        <v>29</v>
      </c>
      <c r="N92" s="1" t="s">
        <v>37</v>
      </c>
      <c r="O92" s="5" t="n">
        <v>46214.75625</v>
      </c>
      <c r="P92" s="5" t="n">
        <v>46218.4597222222</v>
      </c>
      <c r="Q92" s="1" t="n">
        <v>49.4216</v>
      </c>
      <c r="R92" s="1" t="n">
        <v>-115.9514</v>
      </c>
      <c r="S92" s="1" t="s">
        <v>427</v>
      </c>
      <c r="T92" s="1" t="n">
        <v>2026</v>
      </c>
      <c r="U92" s="1" t="n">
        <v>2026</v>
      </c>
      <c r="V92" s="5" t="n">
        <v>46218.8645833333</v>
      </c>
      <c r="W92" s="6" t="n">
        <v>46387.9999999884</v>
      </c>
    </row>
    <row r="93" customFormat="false" ht="12.75" hidden="false" customHeight="false" outlineLevel="0" collapsed="false">
      <c r="A93" s="1" t="s">
        <v>428</v>
      </c>
      <c r="B93" s="1" t="n">
        <v>17876121</v>
      </c>
      <c r="C93" s="1" t="s">
        <v>91</v>
      </c>
      <c r="D93" s="1" t="s">
        <v>231</v>
      </c>
      <c r="E93" s="1" t="s">
        <v>429</v>
      </c>
      <c r="F93" s="1" t="s">
        <v>430</v>
      </c>
      <c r="G93" s="2" t="s">
        <v>28</v>
      </c>
      <c r="H93" s="1" t="n">
        <v>-1</v>
      </c>
      <c r="I93" s="1" t="n">
        <v>-1</v>
      </c>
      <c r="J93" s="1" t="n">
        <v>0</v>
      </c>
      <c r="K93" s="1" t="n">
        <v>-1</v>
      </c>
      <c r="L93" s="2" t="n">
        <v>72</v>
      </c>
      <c r="M93" s="1" t="s">
        <v>65</v>
      </c>
      <c r="N93" s="1" t="s">
        <v>30</v>
      </c>
      <c r="O93" s="5" t="n">
        <v>46197.5722222222</v>
      </c>
      <c r="P93" s="5" t="n">
        <v>46217.7513888889</v>
      </c>
      <c r="Q93" s="1" t="n">
        <v>50.5986</v>
      </c>
      <c r="R93" s="1" t="n">
        <v>-121.9185</v>
      </c>
      <c r="S93" s="1" t="s">
        <v>431</v>
      </c>
      <c r="T93" s="1" t="n">
        <v>2026</v>
      </c>
      <c r="U93" s="1" t="n">
        <v>2026</v>
      </c>
      <c r="V93" s="5" t="n">
        <v>46218.15625</v>
      </c>
      <c r="W93" s="6" t="n">
        <v>46387.9999999884</v>
      </c>
    </row>
    <row r="94" customFormat="false" ht="12.75" hidden="false" customHeight="false" outlineLevel="0" collapsed="false">
      <c r="A94" s="1" t="s">
        <v>432</v>
      </c>
      <c r="B94" s="1" t="n">
        <v>17612759</v>
      </c>
      <c r="C94" s="1" t="s">
        <v>91</v>
      </c>
      <c r="D94" s="1" t="s">
        <v>253</v>
      </c>
      <c r="E94" s="1" t="s">
        <v>433</v>
      </c>
      <c r="F94" s="1" t="s">
        <v>434</v>
      </c>
      <c r="G94" s="2" t="s">
        <v>28</v>
      </c>
      <c r="H94" s="1" t="n">
        <v>-1</v>
      </c>
      <c r="I94" s="1" t="n">
        <v>-1</v>
      </c>
      <c r="J94" s="1" t="n">
        <v>0</v>
      </c>
      <c r="K94" s="1" t="n">
        <v>-1</v>
      </c>
      <c r="L94" s="2" t="n">
        <v>35</v>
      </c>
      <c r="M94" s="1" t="s">
        <v>29</v>
      </c>
      <c r="N94" s="1" t="s">
        <v>37</v>
      </c>
      <c r="O94" s="5" t="n">
        <v>46211.4861111111</v>
      </c>
      <c r="P94" s="5" t="n">
        <v>46214.3763888889</v>
      </c>
      <c r="Q94" s="1" t="n">
        <v>51.4093</v>
      </c>
      <c r="R94" s="1" t="n">
        <v>-121.7618</v>
      </c>
      <c r="S94" s="1" t="s">
        <v>435</v>
      </c>
      <c r="T94" s="1" t="n">
        <v>2026</v>
      </c>
      <c r="U94" s="1" t="n">
        <v>2026</v>
      </c>
      <c r="V94" s="5" t="n">
        <v>46214.78125</v>
      </c>
      <c r="W94" s="6" t="n">
        <v>46387.9999999884</v>
      </c>
    </row>
    <row r="95" customFormat="false" ht="12.75" hidden="false" customHeight="false" outlineLevel="0" collapsed="false">
      <c r="A95" s="1" t="s">
        <v>436</v>
      </c>
      <c r="B95" s="1" t="n">
        <v>17127911</v>
      </c>
      <c r="C95" s="1" t="s">
        <v>91</v>
      </c>
      <c r="D95" s="1" t="s">
        <v>437</v>
      </c>
      <c r="E95" s="1" t="s">
        <v>438</v>
      </c>
      <c r="F95" s="1" t="s">
        <v>439</v>
      </c>
      <c r="G95" s="2" t="s">
        <v>28</v>
      </c>
      <c r="H95" s="1" t="n">
        <v>-1</v>
      </c>
      <c r="I95" s="1" t="n">
        <v>-1</v>
      </c>
      <c r="J95" s="1" t="n">
        <v>0</v>
      </c>
      <c r="K95" s="1" t="n">
        <v>-1</v>
      </c>
      <c r="L95" s="2" t="n">
        <v>1.44</v>
      </c>
      <c r="M95" s="1" t="s">
        <v>29</v>
      </c>
      <c r="N95" s="1" t="s">
        <v>37</v>
      </c>
      <c r="O95" s="5" t="n">
        <v>46150.4013888889</v>
      </c>
      <c r="P95" s="5" t="n">
        <v>46207.7291666667</v>
      </c>
      <c r="Q95" s="1" t="n">
        <v>58.3549</v>
      </c>
      <c r="R95" s="1" t="n">
        <v>-123.9409</v>
      </c>
      <c r="S95" s="1" t="s">
        <v>440</v>
      </c>
      <c r="T95" s="1" t="n">
        <v>2026</v>
      </c>
      <c r="U95" s="1" t="n">
        <v>2026</v>
      </c>
      <c r="V95" s="5" t="n">
        <v>46208.1145833333</v>
      </c>
      <c r="W95" s="6" t="n">
        <v>46387.9999999884</v>
      </c>
    </row>
    <row r="96" customFormat="false" ht="12.75" hidden="false" customHeight="false" outlineLevel="0" collapsed="false">
      <c r="A96" s="1" t="s">
        <v>441</v>
      </c>
      <c r="B96" s="1" t="n">
        <v>17061148</v>
      </c>
      <c r="C96" s="1" t="s">
        <v>91</v>
      </c>
      <c r="D96" s="1" t="s">
        <v>437</v>
      </c>
      <c r="E96" s="1" t="s">
        <v>442</v>
      </c>
      <c r="F96" s="1" t="s">
        <v>443</v>
      </c>
      <c r="G96" s="2" t="s">
        <v>28</v>
      </c>
      <c r="H96" s="1" t="n">
        <v>-1</v>
      </c>
      <c r="I96" s="1" t="n">
        <v>-1</v>
      </c>
      <c r="J96" s="1" t="n">
        <v>0</v>
      </c>
      <c r="K96" s="1" t="n">
        <v>-1</v>
      </c>
      <c r="L96" s="2" t="n">
        <v>0.2</v>
      </c>
      <c r="M96" s="1" t="s">
        <v>29</v>
      </c>
      <c r="N96" s="1" t="s">
        <v>30</v>
      </c>
      <c r="O96" s="5" t="n">
        <v>46163.7173611111</v>
      </c>
      <c r="P96" s="5" t="n">
        <v>46207.8347222222</v>
      </c>
      <c r="Q96" s="1" t="n">
        <v>59.506</v>
      </c>
      <c r="R96" s="1" t="n">
        <v>-120.225</v>
      </c>
      <c r="S96" s="1" t="s">
        <v>444</v>
      </c>
      <c r="T96" s="1" t="n">
        <v>2026</v>
      </c>
      <c r="U96" s="1" t="n">
        <v>2026</v>
      </c>
      <c r="V96" s="5" t="n">
        <v>46207.15625</v>
      </c>
      <c r="W96" s="6" t="n">
        <v>46387.9999999884</v>
      </c>
    </row>
    <row r="97" customFormat="false" ht="12.75" hidden="false" customHeight="false" outlineLevel="0" collapsed="false">
      <c r="A97" s="1" t="s">
        <v>445</v>
      </c>
      <c r="B97" s="1" t="n">
        <v>17061153</v>
      </c>
      <c r="C97" s="1" t="s">
        <v>91</v>
      </c>
      <c r="D97" s="1" t="s">
        <v>437</v>
      </c>
      <c r="E97" s="1" t="s">
        <v>446</v>
      </c>
      <c r="F97" s="1" t="s">
        <v>447</v>
      </c>
      <c r="G97" s="2" t="s">
        <v>28</v>
      </c>
      <c r="H97" s="1" t="n">
        <v>-1</v>
      </c>
      <c r="I97" s="1" t="n">
        <v>-1</v>
      </c>
      <c r="J97" s="1" t="n">
        <v>0</v>
      </c>
      <c r="K97" s="1" t="n">
        <v>-1</v>
      </c>
      <c r="L97" s="2" t="n">
        <v>0.8</v>
      </c>
      <c r="M97" s="1" t="s">
        <v>29</v>
      </c>
      <c r="N97" s="1" t="s">
        <v>30</v>
      </c>
      <c r="O97" s="5" t="n">
        <v>46200.6569444445</v>
      </c>
      <c r="P97" s="5" t="n">
        <v>46206.7513888889</v>
      </c>
      <c r="Q97" s="1" t="n">
        <v>59.6977</v>
      </c>
      <c r="R97" s="1" t="n">
        <v>-121.207</v>
      </c>
      <c r="S97" s="1" t="s">
        <v>448</v>
      </c>
      <c r="T97" s="1" t="n">
        <v>2026</v>
      </c>
      <c r="U97" s="1" t="n">
        <v>2026</v>
      </c>
      <c r="V97" s="5" t="n">
        <v>46207.15625</v>
      </c>
      <c r="W97" s="6" t="n">
        <v>46387.9999999884</v>
      </c>
    </row>
    <row r="98" customFormat="false" ht="12.75" hidden="false" customHeight="false" outlineLevel="0" collapsed="false">
      <c r="A98" s="1" t="s">
        <v>449</v>
      </c>
      <c r="B98" s="1" t="n">
        <v>16494369</v>
      </c>
      <c r="C98" s="1" t="s">
        <v>91</v>
      </c>
      <c r="D98" s="1" t="s">
        <v>231</v>
      </c>
      <c r="E98" s="1" t="s">
        <v>450</v>
      </c>
      <c r="F98" s="1" t="s">
        <v>451</v>
      </c>
      <c r="G98" s="2" t="s">
        <v>84</v>
      </c>
      <c r="H98" s="1" t="n">
        <v>-1</v>
      </c>
      <c r="I98" s="1" t="n">
        <v>-1</v>
      </c>
      <c r="J98" s="1" t="n">
        <v>0</v>
      </c>
      <c r="K98" s="1" t="n">
        <v>-1</v>
      </c>
      <c r="L98" s="2" t="n">
        <v>663</v>
      </c>
      <c r="M98" s="1" t="s">
        <v>65</v>
      </c>
      <c r="N98" s="1" t="s">
        <v>37</v>
      </c>
      <c r="O98" s="5" t="n">
        <v>46192.6986111111</v>
      </c>
      <c r="P98" s="5" t="n">
        <v>46203.8347222222</v>
      </c>
      <c r="Q98" s="1" t="n">
        <v>50.1965</v>
      </c>
      <c r="R98" s="1" t="n">
        <v>-121.5728</v>
      </c>
      <c r="S98" s="1" t="s">
        <v>452</v>
      </c>
      <c r="T98" s="1" t="n">
        <v>2026</v>
      </c>
      <c r="U98" s="1" t="n">
        <v>2026</v>
      </c>
      <c r="V98" s="5" t="n">
        <v>46197.8645833333</v>
      </c>
      <c r="W98" s="6" t="n">
        <v>46387.9999999884</v>
      </c>
    </row>
    <row r="99" customFormat="false" ht="12.75" hidden="false" customHeight="false" outlineLevel="0" collapsed="false">
      <c r="A99" s="1" t="s">
        <v>453</v>
      </c>
      <c r="B99" s="1" t="n">
        <v>15935125</v>
      </c>
      <c r="C99" s="1" t="s">
        <v>91</v>
      </c>
      <c r="D99" s="1" t="s">
        <v>400</v>
      </c>
      <c r="E99" s="1" t="s">
        <v>454</v>
      </c>
      <c r="F99" s="1" t="s">
        <v>455</v>
      </c>
      <c r="G99" s="2" t="s">
        <v>84</v>
      </c>
      <c r="H99" s="1" t="n">
        <v>-1</v>
      </c>
      <c r="I99" s="1" t="n">
        <v>-1</v>
      </c>
      <c r="J99" s="1" t="n">
        <v>0</v>
      </c>
      <c r="K99" s="1" t="n">
        <v>-1</v>
      </c>
      <c r="L99" s="2" t="n">
        <v>0.001</v>
      </c>
      <c r="M99" s="1" t="s">
        <v>29</v>
      </c>
      <c r="N99" s="1" t="s">
        <v>37</v>
      </c>
      <c r="O99" s="5" t="n">
        <v>46176.53125</v>
      </c>
      <c r="P99" s="5" t="n">
        <v>46184.7513888889</v>
      </c>
      <c r="Q99" s="1" t="n">
        <v>57.3934</v>
      </c>
      <c r="R99" s="1" t="n">
        <v>-122.7395</v>
      </c>
      <c r="S99" s="1" t="s">
        <v>456</v>
      </c>
      <c r="T99" s="1" t="n">
        <v>2026</v>
      </c>
      <c r="U99" s="1" t="n">
        <v>2026</v>
      </c>
      <c r="V99" s="5" t="n">
        <v>46185.15625</v>
      </c>
      <c r="W99" s="6" t="n">
        <v>46387.9999999884</v>
      </c>
    </row>
    <row r="100" customFormat="false" ht="12.75" hidden="false" customHeight="false" outlineLevel="0" collapsed="false">
      <c r="A100" s="1" t="s">
        <v>457</v>
      </c>
      <c r="B100" s="1" t="n">
        <v>15796573</v>
      </c>
      <c r="C100" s="1" t="s">
        <v>91</v>
      </c>
      <c r="D100" s="1" t="s">
        <v>97</v>
      </c>
      <c r="E100" s="1" t="s">
        <v>458</v>
      </c>
      <c r="F100" s="1" t="s">
        <v>459</v>
      </c>
      <c r="G100" s="2" t="s">
        <v>84</v>
      </c>
      <c r="H100" s="1" t="n">
        <v>-1</v>
      </c>
      <c r="I100" s="1" t="n">
        <v>-1</v>
      </c>
      <c r="J100" s="1" t="n">
        <v>0</v>
      </c>
      <c r="K100" s="1" t="n">
        <v>-1</v>
      </c>
      <c r="L100" s="2" t="n">
        <v>1815</v>
      </c>
      <c r="M100" s="1" t="s">
        <v>29</v>
      </c>
      <c r="N100" s="1" t="s">
        <v>37</v>
      </c>
      <c r="O100" s="5" t="n">
        <v>46174.6298611111</v>
      </c>
      <c r="P100" s="5" t="n">
        <v>46185.3125</v>
      </c>
      <c r="Q100" s="1" t="n">
        <v>53.3526</v>
      </c>
      <c r="R100" s="1" t="n">
        <v>-124.1463</v>
      </c>
      <c r="S100" s="1" t="s">
        <v>460</v>
      </c>
      <c r="T100" s="1" t="n">
        <v>2026</v>
      </c>
      <c r="U100" s="1" t="n">
        <v>2026</v>
      </c>
      <c r="V100" s="5" t="n">
        <v>46181.78125</v>
      </c>
      <c r="W100" s="6" t="n">
        <v>46387.9999999884</v>
      </c>
    </row>
    <row r="101" customFormat="false" ht="12.75" hidden="false" customHeight="false" outlineLevel="0" collapsed="false">
      <c r="A101" s="1" t="s">
        <v>461</v>
      </c>
      <c r="B101" s="1" t="n">
        <v>14834570</v>
      </c>
      <c r="C101" s="1" t="s">
        <v>91</v>
      </c>
      <c r="D101" s="1" t="s">
        <v>112</v>
      </c>
      <c r="E101" s="1" t="s">
        <v>462</v>
      </c>
      <c r="F101" s="1" t="s">
        <v>463</v>
      </c>
      <c r="G101" s="2" t="s">
        <v>84</v>
      </c>
      <c r="H101" s="1" t="n">
        <v>-1</v>
      </c>
      <c r="I101" s="1" t="n">
        <v>-1</v>
      </c>
      <c r="J101" s="1" t="n">
        <v>0</v>
      </c>
      <c r="K101" s="1" t="n">
        <v>-1</v>
      </c>
      <c r="L101" s="2" t="n">
        <v>64</v>
      </c>
      <c r="M101" s="1" t="s">
        <v>65</v>
      </c>
      <c r="N101" s="1" t="s">
        <v>37</v>
      </c>
      <c r="O101" s="5" t="n">
        <v>46135.5118055556</v>
      </c>
      <c r="P101" s="5" t="n">
        <v>46170.3763888889</v>
      </c>
      <c r="Q101" s="1" t="n">
        <v>49.764</v>
      </c>
      <c r="R101" s="1" t="n">
        <v>-121.4316</v>
      </c>
      <c r="S101" s="1" t="s">
        <v>464</v>
      </c>
      <c r="T101" s="1" t="n">
        <v>2026</v>
      </c>
      <c r="U101" s="1" t="n">
        <v>2026</v>
      </c>
      <c r="V101" s="5" t="n">
        <v>46170.78125</v>
      </c>
      <c r="W101" s="6" t="n">
        <v>46387.9999999884</v>
      </c>
    </row>
    <row r="102" customFormat="false" ht="12.75" hidden="false" customHeight="false" outlineLevel="0" collapsed="false">
      <c r="A102" s="1" t="s">
        <v>465</v>
      </c>
      <c r="B102" s="1" t="n">
        <v>12339701</v>
      </c>
      <c r="C102" s="1" t="s">
        <v>91</v>
      </c>
      <c r="D102" s="1" t="s">
        <v>236</v>
      </c>
      <c r="E102" s="1" t="s">
        <v>466</v>
      </c>
      <c r="F102" s="1" t="s">
        <v>467</v>
      </c>
      <c r="G102" s="2" t="s">
        <v>84</v>
      </c>
      <c r="H102" s="1" t="n">
        <v>-1</v>
      </c>
      <c r="I102" s="1" t="n">
        <v>-1</v>
      </c>
      <c r="J102" s="1" t="n">
        <v>0</v>
      </c>
      <c r="K102" s="1" t="n">
        <v>-1</v>
      </c>
      <c r="L102" s="2" t="n">
        <v>28</v>
      </c>
      <c r="M102" s="1" t="s">
        <v>70</v>
      </c>
      <c r="N102" s="1" t="s">
        <v>37</v>
      </c>
      <c r="O102" s="5" t="n">
        <v>46104.6159722222</v>
      </c>
      <c r="P102" s="5" t="n">
        <v>46107.5847222222</v>
      </c>
      <c r="Q102" s="1" t="n">
        <v>51.335</v>
      </c>
      <c r="R102" s="1" t="n">
        <v>-122.314</v>
      </c>
      <c r="S102" s="1" t="s">
        <v>468</v>
      </c>
      <c r="T102" s="1" t="n">
        <v>2025</v>
      </c>
      <c r="U102" s="1" t="n">
        <v>2026</v>
      </c>
      <c r="V102" s="5" t="n">
        <v>46107.9895833333</v>
      </c>
      <c r="W102" s="6" t="n">
        <v>46387.9999999884</v>
      </c>
    </row>
    <row r="103" customFormat="false" ht="12.75" hidden="false" customHeight="false" outlineLevel="0" collapsed="false">
      <c r="A103" s="1" t="s">
        <v>469</v>
      </c>
      <c r="B103" s="1" t="n">
        <v>11880343</v>
      </c>
      <c r="C103" s="1" t="s">
        <v>91</v>
      </c>
      <c r="D103" s="1" t="s">
        <v>92</v>
      </c>
      <c r="E103" s="1" t="s">
        <v>470</v>
      </c>
      <c r="F103" s="1" t="s">
        <v>471</v>
      </c>
      <c r="G103" s="2" t="s">
        <v>84</v>
      </c>
      <c r="H103" s="1" t="n">
        <v>-1</v>
      </c>
      <c r="I103" s="1" t="n">
        <v>-1</v>
      </c>
      <c r="J103" s="1" t="n">
        <v>0</v>
      </c>
      <c r="K103" s="1" t="n">
        <v>-1</v>
      </c>
      <c r="L103" s="2" t="n">
        <v>0.1</v>
      </c>
      <c r="M103" s="1" t="s">
        <v>65</v>
      </c>
      <c r="N103" s="1" t="s">
        <v>37</v>
      </c>
      <c r="O103" s="5" t="n">
        <v>46097.4395833333</v>
      </c>
      <c r="P103" s="5" t="n">
        <v>46099.7513888889</v>
      </c>
      <c r="Q103" s="1" t="n">
        <v>50.5273</v>
      </c>
      <c r="R103" s="1" t="n">
        <v>-122.4817</v>
      </c>
      <c r="S103" s="1" t="s">
        <v>472</v>
      </c>
      <c r="T103" s="1" t="n">
        <v>2025</v>
      </c>
      <c r="U103" s="1" t="n">
        <v>2026</v>
      </c>
      <c r="V103" s="5" t="n">
        <v>46100.15625</v>
      </c>
      <c r="W103" s="6" t="n">
        <v>46387.9999999884</v>
      </c>
    </row>
    <row r="104" customFormat="false" ht="12.75" hidden="false" customHeight="false" outlineLevel="0" collapsed="false">
      <c r="A104" s="1" t="s">
        <v>473</v>
      </c>
      <c r="B104" s="1" t="n">
        <v>18443328</v>
      </c>
      <c r="C104" s="1" t="s">
        <v>474</v>
      </c>
      <c r="D104" s="1" t="s">
        <v>475</v>
      </c>
      <c r="E104" s="1" t="s">
        <v>476</v>
      </c>
      <c r="F104" s="1" t="s">
        <v>477</v>
      </c>
      <c r="G104" s="2" t="s">
        <v>28</v>
      </c>
      <c r="H104" s="1" t="n">
        <v>-1</v>
      </c>
      <c r="I104" s="1" t="n">
        <v>-1</v>
      </c>
      <c r="J104" s="1" t="n">
        <v>-1</v>
      </c>
      <c r="K104" s="1" t="n">
        <v>-1</v>
      </c>
      <c r="L104" s="2" t="n">
        <v>0.1</v>
      </c>
      <c r="M104" s="1" t="s">
        <v>29</v>
      </c>
      <c r="N104" s="1" t="s">
        <v>37</v>
      </c>
      <c r="O104" s="5" t="n">
        <v>46223.2083333333</v>
      </c>
      <c r="P104" s="5" t="n">
        <v>46224.6395833333</v>
      </c>
      <c r="Q104" s="1" t="n">
        <v>52.0214</v>
      </c>
      <c r="R104" s="1" t="n">
        <v>-95.5256</v>
      </c>
      <c r="S104" s="1" t="s">
        <v>478</v>
      </c>
      <c r="T104" s="1" t="n">
        <v>2026</v>
      </c>
      <c r="U104" s="1" t="n">
        <v>2026</v>
      </c>
      <c r="V104" s="5" t="n">
        <v>46224.65625</v>
      </c>
      <c r="W104" s="6" t="n">
        <v>46387.9999999884</v>
      </c>
    </row>
    <row r="105" customFormat="false" ht="12.75" hidden="false" customHeight="false" outlineLevel="0" collapsed="false">
      <c r="A105" s="1" t="s">
        <v>479</v>
      </c>
      <c r="B105" s="1" t="n">
        <v>18439647</v>
      </c>
      <c r="C105" s="1" t="s">
        <v>474</v>
      </c>
      <c r="D105" s="1" t="s">
        <v>480</v>
      </c>
      <c r="E105" s="1" t="s">
        <v>481</v>
      </c>
      <c r="F105" s="1" t="s">
        <v>482</v>
      </c>
      <c r="G105" s="2" t="s">
        <v>28</v>
      </c>
      <c r="H105" s="1" t="n">
        <v>-1</v>
      </c>
      <c r="I105" s="1" t="n">
        <v>-1</v>
      </c>
      <c r="J105" s="1" t="n">
        <v>-1</v>
      </c>
      <c r="K105" s="1" t="n">
        <v>-1</v>
      </c>
      <c r="L105" s="2" t="n">
        <v>0.1</v>
      </c>
      <c r="M105" s="1" t="s">
        <v>65</v>
      </c>
      <c r="N105" s="1" t="s">
        <v>105</v>
      </c>
      <c r="O105" s="5" t="n">
        <v>46222.2083333333</v>
      </c>
      <c r="P105" s="5" t="n">
        <v>46224.5597222222</v>
      </c>
      <c r="Q105" s="1" t="n">
        <v>54.4053</v>
      </c>
      <c r="R105" s="1" t="n">
        <v>-98.3528</v>
      </c>
      <c r="S105" s="1" t="s">
        <v>483</v>
      </c>
      <c r="T105" s="1" t="n">
        <v>2026</v>
      </c>
      <c r="U105" s="1" t="n">
        <v>2026</v>
      </c>
      <c r="V105" s="5" t="n">
        <v>46224.6145833333</v>
      </c>
      <c r="W105" s="6" t="n">
        <v>46387.9999999884</v>
      </c>
    </row>
    <row r="106" customFormat="false" ht="12.75" hidden="false" customHeight="false" outlineLevel="0" collapsed="false">
      <c r="A106" s="1" t="s">
        <v>484</v>
      </c>
      <c r="B106" s="1" t="n">
        <v>18434308</v>
      </c>
      <c r="C106" s="1" t="s">
        <v>474</v>
      </c>
      <c r="D106" s="1" t="s">
        <v>480</v>
      </c>
      <c r="E106" s="1" t="s">
        <v>485</v>
      </c>
      <c r="F106" s="1" t="s">
        <v>486</v>
      </c>
      <c r="G106" s="2" t="s">
        <v>28</v>
      </c>
      <c r="H106" s="1" t="n">
        <v>-1</v>
      </c>
      <c r="I106" s="1" t="n">
        <v>-1</v>
      </c>
      <c r="J106" s="1" t="n">
        <v>-1</v>
      </c>
      <c r="K106" s="1" t="n">
        <v>-1</v>
      </c>
      <c r="L106" s="2" t="n">
        <v>113.1</v>
      </c>
      <c r="M106" s="1" t="s">
        <v>65</v>
      </c>
      <c r="N106" s="1" t="s">
        <v>105</v>
      </c>
      <c r="O106" s="5" t="n">
        <v>46203.2083333333</v>
      </c>
      <c r="P106" s="5" t="n">
        <v>46224.5597222222</v>
      </c>
      <c r="Q106" s="1" t="n">
        <v>56.8967</v>
      </c>
      <c r="R106" s="1" t="n">
        <v>-97.4781</v>
      </c>
      <c r="S106" s="1" t="s">
        <v>487</v>
      </c>
      <c r="T106" s="1" t="n">
        <v>2026</v>
      </c>
      <c r="U106" s="1" t="n">
        <v>2026</v>
      </c>
      <c r="V106" s="5" t="n">
        <v>46224.53125</v>
      </c>
      <c r="W106" s="6" t="n">
        <v>46387.9999999884</v>
      </c>
    </row>
    <row r="107" customFormat="false" ht="12.75" hidden="false" customHeight="false" outlineLevel="0" collapsed="false">
      <c r="A107" s="1" t="s">
        <v>488</v>
      </c>
      <c r="B107" s="1" t="n">
        <v>18360409</v>
      </c>
      <c r="C107" s="1" t="s">
        <v>474</v>
      </c>
      <c r="D107" s="1" t="s">
        <v>480</v>
      </c>
      <c r="E107" s="1" t="s">
        <v>489</v>
      </c>
      <c r="F107" s="1" t="s">
        <v>490</v>
      </c>
      <c r="G107" s="2" t="s">
        <v>28</v>
      </c>
      <c r="H107" s="1" t="n">
        <v>-1</v>
      </c>
      <c r="I107" s="1" t="n">
        <v>-1</v>
      </c>
      <c r="J107" s="1" t="n">
        <v>-1</v>
      </c>
      <c r="K107" s="1" t="n">
        <v>-1</v>
      </c>
      <c r="L107" s="2" t="n">
        <v>1078</v>
      </c>
      <c r="M107" s="1" t="s">
        <v>29</v>
      </c>
      <c r="N107" s="1" t="s">
        <v>105</v>
      </c>
      <c r="O107" s="5" t="n">
        <v>46217.2083333333</v>
      </c>
      <c r="P107" s="5" t="n">
        <v>46223.6583333333</v>
      </c>
      <c r="Q107" s="1" t="n">
        <v>55.91</v>
      </c>
      <c r="R107" s="1" t="n">
        <v>-98.7264</v>
      </c>
      <c r="S107" s="1" t="s">
        <v>491</v>
      </c>
      <c r="T107" s="1" t="n">
        <v>2026</v>
      </c>
      <c r="U107" s="1" t="n">
        <v>2026</v>
      </c>
      <c r="V107" s="5" t="n">
        <v>46223.6979166667</v>
      </c>
      <c r="W107" s="6" t="n">
        <v>46387.9999999884</v>
      </c>
    </row>
    <row r="108" customFormat="false" ht="12.75" hidden="false" customHeight="false" outlineLevel="0" collapsed="false">
      <c r="A108" s="1" t="s">
        <v>492</v>
      </c>
      <c r="B108" s="1" t="n">
        <v>18358040</v>
      </c>
      <c r="C108" s="1" t="s">
        <v>474</v>
      </c>
      <c r="D108" s="1" t="s">
        <v>480</v>
      </c>
      <c r="E108" s="1" t="s">
        <v>493</v>
      </c>
      <c r="F108" s="1" t="s">
        <v>494</v>
      </c>
      <c r="G108" s="2" t="s">
        <v>28</v>
      </c>
      <c r="H108" s="1" t="n">
        <v>-1</v>
      </c>
      <c r="I108" s="1" t="n">
        <v>-1</v>
      </c>
      <c r="J108" s="1" t="n">
        <v>-1</v>
      </c>
      <c r="K108" s="1" t="n">
        <v>-1</v>
      </c>
      <c r="L108" s="2" t="n">
        <v>34.1</v>
      </c>
      <c r="M108" s="1" t="s">
        <v>29</v>
      </c>
      <c r="N108" s="1" t="s">
        <v>105</v>
      </c>
      <c r="O108" s="5" t="n">
        <v>46220.2083333333</v>
      </c>
      <c r="P108" s="5" t="n">
        <v>46223.6458333333</v>
      </c>
      <c r="Q108" s="1" t="n">
        <v>55.3222</v>
      </c>
      <c r="R108" s="1" t="n">
        <v>-98.7978</v>
      </c>
      <c r="S108" s="1" t="s">
        <v>495</v>
      </c>
      <c r="T108" s="1" t="n">
        <v>2026</v>
      </c>
      <c r="U108" s="1" t="n">
        <v>2026</v>
      </c>
      <c r="V108" s="5" t="n">
        <v>46223.65625</v>
      </c>
      <c r="W108" s="6" t="n">
        <v>46387.9999999884</v>
      </c>
    </row>
    <row r="109" customFormat="false" ht="12.75" hidden="false" customHeight="false" outlineLevel="0" collapsed="false">
      <c r="A109" s="1" t="s">
        <v>496</v>
      </c>
      <c r="B109" s="1" t="n">
        <v>18357866</v>
      </c>
      <c r="C109" s="1" t="s">
        <v>474</v>
      </c>
      <c r="D109" s="1" t="s">
        <v>480</v>
      </c>
      <c r="E109" s="1" t="s">
        <v>497</v>
      </c>
      <c r="F109" s="1" t="s">
        <v>498</v>
      </c>
      <c r="G109" s="2" t="s">
        <v>28</v>
      </c>
      <c r="H109" s="1" t="n">
        <v>-1</v>
      </c>
      <c r="I109" s="1" t="n">
        <v>-1</v>
      </c>
      <c r="J109" s="1" t="n">
        <v>-1</v>
      </c>
      <c r="K109" s="1" t="n">
        <v>-1</v>
      </c>
      <c r="L109" s="2" t="n">
        <v>19562.4</v>
      </c>
      <c r="M109" s="1" t="s">
        <v>29</v>
      </c>
      <c r="N109" s="1" t="s">
        <v>105</v>
      </c>
      <c r="O109" s="5" t="n">
        <v>46197.2083333333</v>
      </c>
      <c r="P109" s="5" t="n">
        <v>46223.6409722222</v>
      </c>
      <c r="Q109" s="1" t="n">
        <v>55.4344</v>
      </c>
      <c r="R109" s="1" t="n">
        <v>-98.7372</v>
      </c>
      <c r="S109" s="1" t="s">
        <v>499</v>
      </c>
      <c r="T109" s="1" t="n">
        <v>2026</v>
      </c>
      <c r="U109" s="1" t="n">
        <v>2026</v>
      </c>
      <c r="V109" s="5" t="n">
        <v>46223.65625</v>
      </c>
      <c r="W109" s="6" t="n">
        <v>46387.9999999884</v>
      </c>
    </row>
    <row r="110" customFormat="false" ht="12.75" hidden="false" customHeight="false" outlineLevel="0" collapsed="false">
      <c r="A110" s="1" t="s">
        <v>500</v>
      </c>
      <c r="B110" s="1" t="n">
        <v>18358047</v>
      </c>
      <c r="C110" s="1" t="s">
        <v>474</v>
      </c>
      <c r="D110" s="1" t="s">
        <v>480</v>
      </c>
      <c r="E110" s="1" t="s">
        <v>501</v>
      </c>
      <c r="F110" s="1" t="s">
        <v>502</v>
      </c>
      <c r="G110" s="2" t="s">
        <v>28</v>
      </c>
      <c r="H110" s="1" t="n">
        <v>-1</v>
      </c>
      <c r="I110" s="1" t="n">
        <v>-1</v>
      </c>
      <c r="J110" s="1" t="n">
        <v>-1</v>
      </c>
      <c r="K110" s="1" t="n">
        <v>-1</v>
      </c>
      <c r="L110" s="2" t="n">
        <v>2</v>
      </c>
      <c r="M110" s="1" t="s">
        <v>29</v>
      </c>
      <c r="N110" s="1" t="s">
        <v>37</v>
      </c>
      <c r="O110" s="5" t="n">
        <v>46221.2083333333</v>
      </c>
      <c r="P110" s="5" t="n">
        <v>46223.6381944444</v>
      </c>
      <c r="Q110" s="1" t="n">
        <v>54.8303</v>
      </c>
      <c r="R110" s="1" t="n">
        <v>-95.2867</v>
      </c>
      <c r="S110" s="1" t="s">
        <v>503</v>
      </c>
      <c r="T110" s="1" t="n">
        <v>2026</v>
      </c>
      <c r="U110" s="1" t="n">
        <v>2026</v>
      </c>
      <c r="V110" s="5" t="n">
        <v>46223.65625</v>
      </c>
      <c r="W110" s="6" t="n">
        <v>46387.9999999884</v>
      </c>
    </row>
    <row r="111" customFormat="false" ht="12.75" hidden="false" customHeight="false" outlineLevel="0" collapsed="false">
      <c r="A111" s="1" t="s">
        <v>504</v>
      </c>
      <c r="B111" s="1" t="n">
        <v>18353244</v>
      </c>
      <c r="C111" s="1" t="s">
        <v>474</v>
      </c>
      <c r="D111" s="1" t="s">
        <v>505</v>
      </c>
      <c r="E111" s="1" t="s">
        <v>506</v>
      </c>
      <c r="F111" s="1" t="s">
        <v>507</v>
      </c>
      <c r="G111" s="2" t="s">
        <v>28</v>
      </c>
      <c r="H111" s="1" t="n">
        <v>-1</v>
      </c>
      <c r="I111" s="1" t="n">
        <v>-1</v>
      </c>
      <c r="J111" s="1" t="n">
        <v>-1</v>
      </c>
      <c r="K111" s="1" t="n">
        <v>-1</v>
      </c>
      <c r="L111" s="2" t="n">
        <v>18000</v>
      </c>
      <c r="M111" s="1" t="s">
        <v>70</v>
      </c>
      <c r="N111" s="1" t="s">
        <v>105</v>
      </c>
      <c r="O111" s="5" t="n">
        <v>46175.2083333333</v>
      </c>
      <c r="P111" s="5" t="n">
        <v>46224.5576388889</v>
      </c>
      <c r="Q111" s="1" t="n">
        <v>55.2836</v>
      </c>
      <c r="R111" s="1" t="n">
        <v>-101.9058</v>
      </c>
      <c r="S111" s="1" t="s">
        <v>508</v>
      </c>
      <c r="T111" s="1" t="n">
        <v>2026</v>
      </c>
      <c r="U111" s="1" t="n">
        <v>2026</v>
      </c>
      <c r="V111" s="5" t="n">
        <v>46223.6145833333</v>
      </c>
      <c r="W111" s="6" t="n">
        <v>46387.9999999884</v>
      </c>
    </row>
    <row r="112" customFormat="false" ht="12.75" hidden="false" customHeight="false" outlineLevel="0" collapsed="false">
      <c r="A112" s="1" t="s">
        <v>509</v>
      </c>
      <c r="B112" s="1" t="n">
        <v>18274420</v>
      </c>
      <c r="C112" s="1" t="s">
        <v>474</v>
      </c>
      <c r="D112" s="1" t="s">
        <v>480</v>
      </c>
      <c r="E112" s="1" t="s">
        <v>510</v>
      </c>
      <c r="F112" s="1" t="s">
        <v>511</v>
      </c>
      <c r="G112" s="2" t="s">
        <v>28</v>
      </c>
      <c r="H112" s="1" t="n">
        <v>-1</v>
      </c>
      <c r="I112" s="1" t="n">
        <v>-1</v>
      </c>
      <c r="J112" s="1" t="n">
        <v>-1</v>
      </c>
      <c r="K112" s="1" t="n">
        <v>-1</v>
      </c>
      <c r="L112" s="2" t="n">
        <v>1098.1</v>
      </c>
      <c r="M112" s="1" t="s">
        <v>70</v>
      </c>
      <c r="N112" s="1" t="s">
        <v>37</v>
      </c>
      <c r="O112" s="5" t="n">
        <v>46199.2083333333</v>
      </c>
      <c r="P112" s="5" t="n">
        <v>46224.5597222222</v>
      </c>
      <c r="Q112" s="1" t="n">
        <v>56.2617</v>
      </c>
      <c r="R112" s="1" t="n">
        <v>-101.3053</v>
      </c>
      <c r="S112" s="1" t="s">
        <v>512</v>
      </c>
      <c r="T112" s="1" t="n">
        <v>2026</v>
      </c>
      <c r="U112" s="1" t="n">
        <v>2026</v>
      </c>
      <c r="V112" s="5" t="n">
        <v>46222.7395833333</v>
      </c>
      <c r="W112" s="6" t="n">
        <v>46387.9999999884</v>
      </c>
    </row>
    <row r="113" customFormat="false" ht="12.75" hidden="false" customHeight="false" outlineLevel="0" collapsed="false">
      <c r="A113" s="1" t="s">
        <v>513</v>
      </c>
      <c r="B113" s="1" t="n">
        <v>18258017</v>
      </c>
      <c r="C113" s="1" t="s">
        <v>474</v>
      </c>
      <c r="D113" s="1" t="s">
        <v>480</v>
      </c>
      <c r="E113" s="1" t="s">
        <v>514</v>
      </c>
      <c r="F113" s="1" t="s">
        <v>515</v>
      </c>
      <c r="G113" s="2" t="s">
        <v>28</v>
      </c>
      <c r="H113" s="1" t="n">
        <v>-1</v>
      </c>
      <c r="I113" s="1" t="n">
        <v>-1</v>
      </c>
      <c r="J113" s="1" t="n">
        <v>-1</v>
      </c>
      <c r="K113" s="1" t="n">
        <v>-1</v>
      </c>
      <c r="L113" s="2" t="n">
        <v>20</v>
      </c>
      <c r="M113" s="1" t="s">
        <v>70</v>
      </c>
      <c r="N113" s="1" t="s">
        <v>30</v>
      </c>
      <c r="O113" s="5" t="n">
        <v>46218.2083333333</v>
      </c>
      <c r="P113" s="5" t="n">
        <v>46224.5597222222</v>
      </c>
      <c r="Q113" s="1" t="n">
        <v>55.4986</v>
      </c>
      <c r="R113" s="1" t="n">
        <v>-97.3189</v>
      </c>
      <c r="S113" s="1" t="s">
        <v>516</v>
      </c>
      <c r="T113" s="1" t="n">
        <v>2026</v>
      </c>
      <c r="U113" s="1" t="n">
        <v>2026</v>
      </c>
      <c r="V113" s="5" t="n">
        <v>46222.5729166667</v>
      </c>
      <c r="W113" s="6" t="n">
        <v>46387.9999999884</v>
      </c>
    </row>
    <row r="114" customFormat="false" ht="12.75" hidden="false" customHeight="false" outlineLevel="0" collapsed="false">
      <c r="A114" s="1" t="s">
        <v>517</v>
      </c>
      <c r="B114" s="1" t="n">
        <v>18255374</v>
      </c>
      <c r="C114" s="1" t="s">
        <v>474</v>
      </c>
      <c r="D114" s="1" t="s">
        <v>480</v>
      </c>
      <c r="E114" s="1" t="s">
        <v>518</v>
      </c>
      <c r="F114" s="1" t="s">
        <v>519</v>
      </c>
      <c r="G114" s="2" t="s">
        <v>28</v>
      </c>
      <c r="H114" s="1" t="n">
        <v>-1</v>
      </c>
      <c r="I114" s="1" t="n">
        <v>-1</v>
      </c>
      <c r="J114" s="1" t="n">
        <v>-1</v>
      </c>
      <c r="K114" s="1" t="n">
        <v>-1</v>
      </c>
      <c r="L114" s="2" t="n">
        <v>283</v>
      </c>
      <c r="M114" s="1" t="s">
        <v>70</v>
      </c>
      <c r="N114" s="1" t="s">
        <v>37</v>
      </c>
      <c r="O114" s="5" t="n">
        <v>46200.2083333333</v>
      </c>
      <c r="P114" s="5" t="n">
        <v>46224.5597222222</v>
      </c>
      <c r="Q114" s="1" t="n">
        <v>56.2508</v>
      </c>
      <c r="R114" s="1" t="n">
        <v>-94.3703</v>
      </c>
      <c r="S114" s="1" t="s">
        <v>520</v>
      </c>
      <c r="T114" s="1" t="n">
        <v>2026</v>
      </c>
      <c r="U114" s="1" t="n">
        <v>2026</v>
      </c>
      <c r="V114" s="5" t="n">
        <v>46222.53125</v>
      </c>
      <c r="W114" s="6" t="n">
        <v>46387.9999999884</v>
      </c>
    </row>
    <row r="115" customFormat="false" ht="12.75" hidden="false" customHeight="false" outlineLevel="0" collapsed="false">
      <c r="A115" s="1" t="s">
        <v>521</v>
      </c>
      <c r="B115" s="1" t="n">
        <v>18255454</v>
      </c>
      <c r="C115" s="1" t="s">
        <v>474</v>
      </c>
      <c r="D115" s="1" t="s">
        <v>480</v>
      </c>
      <c r="E115" s="1" t="s">
        <v>522</v>
      </c>
      <c r="F115" s="1" t="s">
        <v>523</v>
      </c>
      <c r="G115" s="2" t="s">
        <v>28</v>
      </c>
      <c r="H115" s="1" t="n">
        <v>-1</v>
      </c>
      <c r="I115" s="1" t="n">
        <v>-1</v>
      </c>
      <c r="J115" s="1" t="n">
        <v>-1</v>
      </c>
      <c r="K115" s="1" t="n">
        <v>-1</v>
      </c>
      <c r="L115" s="2" t="n">
        <v>320</v>
      </c>
      <c r="M115" s="1" t="s">
        <v>65</v>
      </c>
      <c r="N115" s="1" t="s">
        <v>37</v>
      </c>
      <c r="O115" s="5" t="n">
        <v>46215.2083333333</v>
      </c>
      <c r="P115" s="5" t="n">
        <v>46224.5597222222</v>
      </c>
      <c r="Q115" s="1" t="n">
        <v>56.4494</v>
      </c>
      <c r="R115" s="1" t="n">
        <v>-95.5564</v>
      </c>
      <c r="S115" s="1" t="s">
        <v>524</v>
      </c>
      <c r="T115" s="1" t="n">
        <v>2026</v>
      </c>
      <c r="U115" s="1" t="n">
        <v>2026</v>
      </c>
      <c r="V115" s="5" t="n">
        <v>46222.53125</v>
      </c>
      <c r="W115" s="6" t="n">
        <v>46387.9999999884</v>
      </c>
    </row>
    <row r="116" customFormat="false" ht="12.75" hidden="false" customHeight="false" outlineLevel="0" collapsed="false">
      <c r="A116" s="1" t="s">
        <v>525</v>
      </c>
      <c r="B116" s="1" t="n">
        <v>18255469</v>
      </c>
      <c r="C116" s="1" t="s">
        <v>474</v>
      </c>
      <c r="D116" s="1" t="s">
        <v>480</v>
      </c>
      <c r="E116" s="1" t="s">
        <v>526</v>
      </c>
      <c r="F116" s="1" t="s">
        <v>527</v>
      </c>
      <c r="G116" s="2" t="s">
        <v>28</v>
      </c>
      <c r="H116" s="1" t="n">
        <v>-1</v>
      </c>
      <c r="I116" s="1" t="n">
        <v>-1</v>
      </c>
      <c r="J116" s="1" t="n">
        <v>-1</v>
      </c>
      <c r="K116" s="1" t="n">
        <v>-1</v>
      </c>
      <c r="L116" s="2" t="n">
        <v>0.1</v>
      </c>
      <c r="M116" s="1" t="s">
        <v>29</v>
      </c>
      <c r="N116" s="1" t="s">
        <v>30</v>
      </c>
      <c r="O116" s="5" t="n">
        <v>46219.2083333333</v>
      </c>
      <c r="P116" s="5" t="n">
        <v>46224.5597222222</v>
      </c>
      <c r="Q116" s="1" t="n">
        <v>56.6914</v>
      </c>
      <c r="R116" s="1" t="n">
        <v>-94.34</v>
      </c>
      <c r="S116" s="1" t="s">
        <v>528</v>
      </c>
      <c r="T116" s="1" t="n">
        <v>2026</v>
      </c>
      <c r="U116" s="1" t="n">
        <v>2026</v>
      </c>
      <c r="V116" s="5" t="n">
        <v>46222.53125</v>
      </c>
      <c r="W116" s="6" t="n">
        <v>46387.9999999884</v>
      </c>
    </row>
    <row r="117" customFormat="false" ht="12.75" hidden="false" customHeight="false" outlineLevel="0" collapsed="false">
      <c r="A117" s="1" t="s">
        <v>529</v>
      </c>
      <c r="B117" s="1" t="n">
        <v>18209831</v>
      </c>
      <c r="C117" s="1" t="s">
        <v>474</v>
      </c>
      <c r="D117" s="1" t="s">
        <v>480</v>
      </c>
      <c r="E117" s="1" t="s">
        <v>530</v>
      </c>
      <c r="F117" s="1" t="s">
        <v>531</v>
      </c>
      <c r="G117" s="2" t="s">
        <v>28</v>
      </c>
      <c r="H117" s="1" t="n">
        <v>-1</v>
      </c>
      <c r="I117" s="1" t="n">
        <v>-1</v>
      </c>
      <c r="J117" s="1" t="n">
        <v>-1</v>
      </c>
      <c r="K117" s="1" t="n">
        <v>-1</v>
      </c>
      <c r="L117" s="2" t="n">
        <v>1</v>
      </c>
      <c r="M117" s="1" t="s">
        <v>65</v>
      </c>
      <c r="N117" s="1" t="s">
        <v>105</v>
      </c>
      <c r="O117" s="5" t="n">
        <v>46221.2083333333</v>
      </c>
      <c r="P117" s="5" t="n">
        <v>46224.5597222222</v>
      </c>
      <c r="Q117" s="1" t="n">
        <v>57.615</v>
      </c>
      <c r="R117" s="1" t="n">
        <v>-94.0517</v>
      </c>
      <c r="S117" s="1" t="s">
        <v>532</v>
      </c>
      <c r="T117" s="1" t="n">
        <v>2026</v>
      </c>
      <c r="U117" s="1" t="n">
        <v>2026</v>
      </c>
      <c r="V117" s="5" t="n">
        <v>46222.03125</v>
      </c>
      <c r="W117" s="6" t="n">
        <v>46387.9999999884</v>
      </c>
    </row>
    <row r="118" customFormat="false" ht="12.75" hidden="false" customHeight="false" outlineLevel="0" collapsed="false">
      <c r="A118" s="1" t="s">
        <v>533</v>
      </c>
      <c r="B118" s="1" t="n">
        <v>18209833</v>
      </c>
      <c r="C118" s="1" t="s">
        <v>474</v>
      </c>
      <c r="D118" s="1" t="s">
        <v>480</v>
      </c>
      <c r="E118" s="1" t="s">
        <v>534</v>
      </c>
      <c r="F118" s="1" t="s">
        <v>535</v>
      </c>
      <c r="G118" s="2" t="s">
        <v>28</v>
      </c>
      <c r="H118" s="1" t="n">
        <v>-1</v>
      </c>
      <c r="I118" s="1" t="n">
        <v>-1</v>
      </c>
      <c r="J118" s="1" t="n">
        <v>-1</v>
      </c>
      <c r="K118" s="1" t="n">
        <v>-1</v>
      </c>
      <c r="L118" s="2" t="n">
        <v>1</v>
      </c>
      <c r="M118" s="1" t="s">
        <v>65</v>
      </c>
      <c r="N118" s="1" t="s">
        <v>105</v>
      </c>
      <c r="O118" s="5" t="n">
        <v>46221.2083333333</v>
      </c>
      <c r="P118" s="5" t="n">
        <v>46224.5597222222</v>
      </c>
      <c r="Q118" s="1" t="n">
        <v>58.0997</v>
      </c>
      <c r="R118" s="1" t="n">
        <v>-95.0333</v>
      </c>
      <c r="S118" s="1" t="s">
        <v>536</v>
      </c>
      <c r="T118" s="1" t="n">
        <v>2026</v>
      </c>
      <c r="U118" s="1" t="n">
        <v>2026</v>
      </c>
      <c r="V118" s="5" t="n">
        <v>46222.03125</v>
      </c>
      <c r="W118" s="6" t="n">
        <v>46387.9999999884</v>
      </c>
    </row>
    <row r="119" customFormat="false" ht="12.75" hidden="false" customHeight="false" outlineLevel="0" collapsed="false">
      <c r="A119" s="1" t="s">
        <v>537</v>
      </c>
      <c r="B119" s="1" t="n">
        <v>18209832</v>
      </c>
      <c r="C119" s="1" t="s">
        <v>474</v>
      </c>
      <c r="D119" s="1" t="s">
        <v>480</v>
      </c>
      <c r="E119" s="1" t="s">
        <v>538</v>
      </c>
      <c r="F119" s="1" t="s">
        <v>539</v>
      </c>
      <c r="G119" s="2" t="s">
        <v>28</v>
      </c>
      <c r="H119" s="1" t="n">
        <v>-1</v>
      </c>
      <c r="I119" s="1" t="n">
        <v>-1</v>
      </c>
      <c r="J119" s="1" t="n">
        <v>-1</v>
      </c>
      <c r="K119" s="1" t="n">
        <v>-1</v>
      </c>
      <c r="L119" s="2" t="n">
        <v>1</v>
      </c>
      <c r="M119" s="1" t="s">
        <v>65</v>
      </c>
      <c r="N119" s="1" t="s">
        <v>105</v>
      </c>
      <c r="O119" s="5" t="n">
        <v>46221.2083333333</v>
      </c>
      <c r="P119" s="5" t="n">
        <v>46224.5597222222</v>
      </c>
      <c r="Q119" s="1" t="n">
        <v>57.8522</v>
      </c>
      <c r="R119" s="1" t="n">
        <v>-95.9761</v>
      </c>
      <c r="S119" s="1" t="s">
        <v>540</v>
      </c>
      <c r="T119" s="1" t="n">
        <v>2026</v>
      </c>
      <c r="U119" s="1" t="n">
        <v>2026</v>
      </c>
      <c r="V119" s="5" t="n">
        <v>46222.03125</v>
      </c>
      <c r="W119" s="6" t="n">
        <v>46387.9999999884</v>
      </c>
    </row>
    <row r="120" customFormat="false" ht="12.75" hidden="false" customHeight="false" outlineLevel="0" collapsed="false">
      <c r="A120" s="1" t="s">
        <v>541</v>
      </c>
      <c r="B120" s="1" t="n">
        <v>18209829</v>
      </c>
      <c r="C120" s="1" t="s">
        <v>474</v>
      </c>
      <c r="D120" s="1" t="s">
        <v>480</v>
      </c>
      <c r="E120" s="1" t="s">
        <v>542</v>
      </c>
      <c r="F120" s="1" t="s">
        <v>543</v>
      </c>
      <c r="G120" s="2" t="s">
        <v>28</v>
      </c>
      <c r="H120" s="1" t="n">
        <v>-1</v>
      </c>
      <c r="I120" s="1" t="n">
        <v>-1</v>
      </c>
      <c r="J120" s="1" t="n">
        <v>-1</v>
      </c>
      <c r="K120" s="1" t="n">
        <v>-1</v>
      </c>
      <c r="L120" s="2" t="n">
        <v>1</v>
      </c>
      <c r="M120" s="1" t="s">
        <v>65</v>
      </c>
      <c r="N120" s="1" t="s">
        <v>105</v>
      </c>
      <c r="O120" s="5" t="n">
        <v>46221.2083333333</v>
      </c>
      <c r="P120" s="5" t="n">
        <v>46224.5597222222</v>
      </c>
      <c r="Q120" s="1" t="n">
        <v>56.6964</v>
      </c>
      <c r="R120" s="1" t="n">
        <v>-96.8067</v>
      </c>
      <c r="S120" s="1" t="s">
        <v>544</v>
      </c>
      <c r="T120" s="1" t="n">
        <v>2026</v>
      </c>
      <c r="U120" s="1" t="n">
        <v>2026</v>
      </c>
      <c r="V120" s="5" t="n">
        <v>46222.03125</v>
      </c>
      <c r="W120" s="6" t="n">
        <v>46387.9999999884</v>
      </c>
    </row>
    <row r="121" customFormat="false" ht="12.75" hidden="false" customHeight="false" outlineLevel="0" collapsed="false">
      <c r="A121" s="1" t="s">
        <v>545</v>
      </c>
      <c r="B121" s="1" t="n">
        <v>18209830</v>
      </c>
      <c r="C121" s="1" t="s">
        <v>474</v>
      </c>
      <c r="D121" s="1" t="s">
        <v>480</v>
      </c>
      <c r="E121" s="1" t="s">
        <v>546</v>
      </c>
      <c r="F121" s="1" t="s">
        <v>547</v>
      </c>
      <c r="G121" s="2" t="s">
        <v>28</v>
      </c>
      <c r="H121" s="1" t="n">
        <v>-1</v>
      </c>
      <c r="I121" s="1" t="n">
        <v>-1</v>
      </c>
      <c r="J121" s="1" t="n">
        <v>-1</v>
      </c>
      <c r="K121" s="1" t="n">
        <v>-1</v>
      </c>
      <c r="L121" s="2" t="n">
        <v>1</v>
      </c>
      <c r="M121" s="1" t="s">
        <v>65</v>
      </c>
      <c r="N121" s="1" t="s">
        <v>105</v>
      </c>
      <c r="O121" s="5" t="n">
        <v>46221.2083333333</v>
      </c>
      <c r="P121" s="5" t="n">
        <v>46224.5597222222</v>
      </c>
      <c r="Q121" s="1" t="n">
        <v>56.8506</v>
      </c>
      <c r="R121" s="1" t="n">
        <v>-92.9978</v>
      </c>
      <c r="S121" s="1" t="s">
        <v>548</v>
      </c>
      <c r="T121" s="1" t="n">
        <v>2026</v>
      </c>
      <c r="U121" s="1" t="n">
        <v>2026</v>
      </c>
      <c r="V121" s="5" t="n">
        <v>46222.03125</v>
      </c>
      <c r="W121" s="6" t="n">
        <v>46387.9999999884</v>
      </c>
    </row>
    <row r="122" customFormat="false" ht="12.75" hidden="false" customHeight="false" outlineLevel="0" collapsed="false">
      <c r="A122" s="1" t="s">
        <v>549</v>
      </c>
      <c r="B122" s="1" t="n">
        <v>18171372</v>
      </c>
      <c r="C122" s="1" t="s">
        <v>474</v>
      </c>
      <c r="D122" s="1" t="s">
        <v>480</v>
      </c>
      <c r="E122" s="1" t="s">
        <v>550</v>
      </c>
      <c r="F122" s="1" t="s">
        <v>551</v>
      </c>
      <c r="G122" s="2" t="s">
        <v>28</v>
      </c>
      <c r="H122" s="1" t="n">
        <v>-1</v>
      </c>
      <c r="I122" s="1" t="n">
        <v>-1</v>
      </c>
      <c r="J122" s="1" t="n">
        <v>-1</v>
      </c>
      <c r="K122" s="1" t="n">
        <v>-1</v>
      </c>
      <c r="L122" s="2" t="n">
        <v>343</v>
      </c>
      <c r="M122" s="1" t="s">
        <v>65</v>
      </c>
      <c r="N122" s="1" t="s">
        <v>105</v>
      </c>
      <c r="O122" s="5" t="n">
        <v>46215.2083333333</v>
      </c>
      <c r="P122" s="5" t="n">
        <v>46224.5597222222</v>
      </c>
      <c r="Q122" s="1" t="n">
        <v>53.6114</v>
      </c>
      <c r="R122" s="1" t="n">
        <v>-95.4622</v>
      </c>
      <c r="S122" s="1" t="s">
        <v>552</v>
      </c>
      <c r="T122" s="1" t="n">
        <v>2026</v>
      </c>
      <c r="U122" s="1" t="n">
        <v>2026</v>
      </c>
      <c r="V122" s="5" t="n">
        <v>46221.5729166667</v>
      </c>
      <c r="W122" s="6" t="n">
        <v>46387.9999999884</v>
      </c>
    </row>
    <row r="123" customFormat="false" ht="12.75" hidden="false" customHeight="false" outlineLevel="0" collapsed="false">
      <c r="A123" s="1" t="s">
        <v>553</v>
      </c>
      <c r="B123" s="1" t="n">
        <v>18119810</v>
      </c>
      <c r="C123" s="1" t="s">
        <v>474</v>
      </c>
      <c r="D123" s="1" t="s">
        <v>480</v>
      </c>
      <c r="E123" s="1" t="s">
        <v>554</v>
      </c>
      <c r="F123" s="1" t="s">
        <v>555</v>
      </c>
      <c r="G123" s="2" t="s">
        <v>28</v>
      </c>
      <c r="H123" s="1" t="n">
        <v>-1</v>
      </c>
      <c r="I123" s="1" t="n">
        <v>-1</v>
      </c>
      <c r="J123" s="1" t="n">
        <v>-1</v>
      </c>
      <c r="K123" s="1" t="n">
        <v>-1</v>
      </c>
      <c r="L123" s="2" t="n">
        <v>13492</v>
      </c>
      <c r="M123" s="1" t="s">
        <v>70</v>
      </c>
      <c r="N123" s="1" t="s">
        <v>105</v>
      </c>
      <c r="O123" s="5" t="n">
        <v>46199.2083333333</v>
      </c>
      <c r="P123" s="5" t="n">
        <v>46224.5597222222</v>
      </c>
      <c r="Q123" s="1" t="n">
        <v>57.8672</v>
      </c>
      <c r="R123" s="1" t="n">
        <v>-97.0103</v>
      </c>
      <c r="S123" s="1" t="s">
        <v>556</v>
      </c>
      <c r="T123" s="1" t="n">
        <v>2026</v>
      </c>
      <c r="U123" s="1" t="n">
        <v>2026</v>
      </c>
      <c r="V123" s="5" t="n">
        <v>46221.03125</v>
      </c>
      <c r="W123" s="6" t="n">
        <v>46387.9999999884</v>
      </c>
    </row>
    <row r="124" customFormat="false" ht="12.75" hidden="false" customHeight="false" outlineLevel="0" collapsed="false">
      <c r="A124" s="1" t="s">
        <v>557</v>
      </c>
      <c r="B124" s="1" t="n">
        <v>18119901</v>
      </c>
      <c r="C124" s="1" t="s">
        <v>474</v>
      </c>
      <c r="D124" s="1" t="s">
        <v>480</v>
      </c>
      <c r="E124" s="1" t="s">
        <v>558</v>
      </c>
      <c r="F124" s="1" t="s">
        <v>559</v>
      </c>
      <c r="G124" s="2" t="s">
        <v>28</v>
      </c>
      <c r="H124" s="1" t="n">
        <v>-1</v>
      </c>
      <c r="I124" s="1" t="n">
        <v>-1</v>
      </c>
      <c r="J124" s="1" t="n">
        <v>-1</v>
      </c>
      <c r="K124" s="1" t="n">
        <v>-1</v>
      </c>
      <c r="L124" s="2" t="n">
        <v>132</v>
      </c>
      <c r="M124" s="1" t="s">
        <v>65</v>
      </c>
      <c r="N124" s="1" t="s">
        <v>105</v>
      </c>
      <c r="O124" s="5" t="n">
        <v>46213.2083333333</v>
      </c>
      <c r="P124" s="5" t="n">
        <v>46224.5597222222</v>
      </c>
      <c r="Q124" s="1" t="n">
        <v>56.7217</v>
      </c>
      <c r="R124" s="1" t="n">
        <v>-93.1278</v>
      </c>
      <c r="S124" s="1" t="s">
        <v>560</v>
      </c>
      <c r="T124" s="1" t="n">
        <v>2026</v>
      </c>
      <c r="U124" s="1" t="n">
        <v>2026</v>
      </c>
      <c r="V124" s="5" t="n">
        <v>46221.03125</v>
      </c>
      <c r="W124" s="6" t="n">
        <v>46387.9999999884</v>
      </c>
    </row>
    <row r="125" customFormat="false" ht="12.75" hidden="false" customHeight="false" outlineLevel="0" collapsed="false">
      <c r="A125" s="1" t="s">
        <v>561</v>
      </c>
      <c r="B125" s="1" t="n">
        <v>18000591</v>
      </c>
      <c r="C125" s="1" t="s">
        <v>474</v>
      </c>
      <c r="D125" s="1" t="s">
        <v>480</v>
      </c>
      <c r="E125" s="1" t="s">
        <v>562</v>
      </c>
      <c r="F125" s="1" t="s">
        <v>563</v>
      </c>
      <c r="G125" s="2" t="s">
        <v>36</v>
      </c>
      <c r="H125" s="1" t="n">
        <v>-1</v>
      </c>
      <c r="I125" s="1" t="n">
        <v>-1</v>
      </c>
      <c r="J125" s="1" t="n">
        <v>-1</v>
      </c>
      <c r="K125" s="1" t="n">
        <v>-1</v>
      </c>
      <c r="L125" s="2" t="n">
        <v>57.7</v>
      </c>
      <c r="M125" s="1" t="s">
        <v>70</v>
      </c>
      <c r="N125" s="1" t="s">
        <v>37</v>
      </c>
      <c r="O125" s="5" t="n">
        <v>46206.2083333333</v>
      </c>
      <c r="P125" s="5" t="n">
        <v>46224.5597222222</v>
      </c>
      <c r="Q125" s="1" t="n">
        <v>56.6406</v>
      </c>
      <c r="R125" s="1" t="n">
        <v>-101.6081</v>
      </c>
      <c r="S125" s="1" t="s">
        <v>564</v>
      </c>
      <c r="T125" s="1" t="n">
        <v>2026</v>
      </c>
      <c r="U125" s="1" t="n">
        <v>2026</v>
      </c>
      <c r="V125" s="5" t="n">
        <v>46219.65625</v>
      </c>
      <c r="W125" s="6" t="n">
        <v>46387.9999999884</v>
      </c>
    </row>
    <row r="126" customFormat="false" ht="12.75" hidden="false" customHeight="false" outlineLevel="0" collapsed="false">
      <c r="A126" s="1" t="s">
        <v>565</v>
      </c>
      <c r="B126" s="1" t="n">
        <v>18000465</v>
      </c>
      <c r="C126" s="1" t="s">
        <v>474</v>
      </c>
      <c r="D126" s="1" t="s">
        <v>480</v>
      </c>
      <c r="E126" s="1" t="s">
        <v>566</v>
      </c>
      <c r="F126" s="1" t="s">
        <v>567</v>
      </c>
      <c r="G126" s="2" t="s">
        <v>28</v>
      </c>
      <c r="H126" s="1" t="n">
        <v>-1</v>
      </c>
      <c r="I126" s="1" t="n">
        <v>-1</v>
      </c>
      <c r="J126" s="1" t="n">
        <v>-1</v>
      </c>
      <c r="K126" s="1" t="n">
        <v>-1</v>
      </c>
      <c r="L126" s="2" t="n">
        <v>17275.1</v>
      </c>
      <c r="M126" s="1" t="s">
        <v>29</v>
      </c>
      <c r="N126" s="1" t="s">
        <v>30</v>
      </c>
      <c r="O126" s="5" t="n">
        <v>46199.2083333333</v>
      </c>
      <c r="P126" s="5" t="n">
        <v>46224.5597222222</v>
      </c>
      <c r="Q126" s="1" t="n">
        <v>56.6633</v>
      </c>
      <c r="R126" s="1" t="n">
        <v>-99.1486</v>
      </c>
      <c r="S126" s="1" t="s">
        <v>568</v>
      </c>
      <c r="T126" s="1" t="n">
        <v>2026</v>
      </c>
      <c r="U126" s="1" t="n">
        <v>2026</v>
      </c>
      <c r="V126" s="5" t="n">
        <v>46219.65625</v>
      </c>
      <c r="W126" s="6" t="n">
        <v>46387.9999999884</v>
      </c>
    </row>
    <row r="127" customFormat="false" ht="12.75" hidden="false" customHeight="false" outlineLevel="0" collapsed="false">
      <c r="A127" s="1" t="s">
        <v>569</v>
      </c>
      <c r="B127" s="1" t="n">
        <v>18000404</v>
      </c>
      <c r="C127" s="1" t="s">
        <v>474</v>
      </c>
      <c r="D127" s="1" t="s">
        <v>480</v>
      </c>
      <c r="E127" s="1" t="s">
        <v>570</v>
      </c>
      <c r="F127" s="1" t="s">
        <v>571</v>
      </c>
      <c r="G127" s="2" t="s">
        <v>28</v>
      </c>
      <c r="H127" s="1" t="n">
        <v>-1</v>
      </c>
      <c r="I127" s="1" t="n">
        <v>-1</v>
      </c>
      <c r="J127" s="1" t="n">
        <v>-1</v>
      </c>
      <c r="K127" s="1" t="n">
        <v>-1</v>
      </c>
      <c r="L127" s="2" t="n">
        <v>9278.4</v>
      </c>
      <c r="M127" s="1" t="s">
        <v>70</v>
      </c>
      <c r="N127" s="1" t="s">
        <v>30</v>
      </c>
      <c r="O127" s="5" t="n">
        <v>46179.2083333333</v>
      </c>
      <c r="P127" s="5" t="n">
        <v>46224.5590277778</v>
      </c>
      <c r="Q127" s="1" t="n">
        <v>56.3392</v>
      </c>
      <c r="R127" s="1" t="n">
        <v>-99.7133</v>
      </c>
      <c r="S127" s="1" t="s">
        <v>572</v>
      </c>
      <c r="T127" s="1" t="n">
        <v>2026</v>
      </c>
      <c r="U127" s="1" t="n">
        <v>2026</v>
      </c>
      <c r="V127" s="5" t="n">
        <v>46219.65625</v>
      </c>
      <c r="W127" s="6" t="n">
        <v>46387.9999999884</v>
      </c>
    </row>
    <row r="128" customFormat="false" ht="12.75" hidden="false" customHeight="false" outlineLevel="0" collapsed="false">
      <c r="A128" s="1" t="s">
        <v>573</v>
      </c>
      <c r="B128" s="1" t="n">
        <v>17944579</v>
      </c>
      <c r="C128" s="1" t="s">
        <v>474</v>
      </c>
      <c r="D128" s="1" t="s">
        <v>480</v>
      </c>
      <c r="E128" s="1" t="s">
        <v>574</v>
      </c>
      <c r="F128" s="1" t="s">
        <v>575</v>
      </c>
      <c r="G128" s="2" t="s">
        <v>28</v>
      </c>
      <c r="H128" s="1" t="n">
        <v>-1</v>
      </c>
      <c r="I128" s="1" t="n">
        <v>-1</v>
      </c>
      <c r="J128" s="1" t="n">
        <v>-1</v>
      </c>
      <c r="K128" s="1" t="n">
        <v>-1</v>
      </c>
      <c r="L128" s="2" t="n">
        <v>170.6</v>
      </c>
      <c r="M128" s="1" t="s">
        <v>29</v>
      </c>
      <c r="N128" s="1" t="s">
        <v>37</v>
      </c>
      <c r="O128" s="5" t="n">
        <v>46200.2083333333</v>
      </c>
      <c r="P128" s="5" t="n">
        <v>46224.5597222222</v>
      </c>
      <c r="Q128" s="1" t="n">
        <v>56.4158</v>
      </c>
      <c r="R128" s="1" t="n">
        <v>-94.1803</v>
      </c>
      <c r="S128" s="1" t="s">
        <v>576</v>
      </c>
      <c r="T128" s="1" t="n">
        <v>2026</v>
      </c>
      <c r="U128" s="1" t="n">
        <v>2026</v>
      </c>
      <c r="V128" s="5" t="n">
        <v>46218.9895833333</v>
      </c>
      <c r="W128" s="6" t="n">
        <v>46387.9999999884</v>
      </c>
    </row>
    <row r="129" customFormat="false" ht="12.75" hidden="false" customHeight="false" outlineLevel="0" collapsed="false">
      <c r="A129" s="1" t="s">
        <v>577</v>
      </c>
      <c r="B129" s="1" t="n">
        <v>17944586</v>
      </c>
      <c r="C129" s="1" t="s">
        <v>474</v>
      </c>
      <c r="D129" s="1" t="s">
        <v>480</v>
      </c>
      <c r="E129" s="1" t="s">
        <v>578</v>
      </c>
      <c r="F129" s="1" t="s">
        <v>579</v>
      </c>
      <c r="G129" s="2" t="s">
        <v>28</v>
      </c>
      <c r="H129" s="1" t="n">
        <v>-1</v>
      </c>
      <c r="I129" s="1" t="n">
        <v>-1</v>
      </c>
      <c r="J129" s="1" t="n">
        <v>-1</v>
      </c>
      <c r="K129" s="1" t="n">
        <v>-1</v>
      </c>
      <c r="L129" s="2" t="n">
        <v>1057</v>
      </c>
      <c r="M129" s="1" t="s">
        <v>70</v>
      </c>
      <c r="N129" s="1" t="s">
        <v>30</v>
      </c>
      <c r="O129" s="5" t="n">
        <v>46200.2083333333</v>
      </c>
      <c r="P129" s="5" t="n">
        <v>46224.5597222222</v>
      </c>
      <c r="Q129" s="1" t="n">
        <v>56.6436</v>
      </c>
      <c r="R129" s="1" t="n">
        <v>-100.3333</v>
      </c>
      <c r="S129" s="1" t="s">
        <v>580</v>
      </c>
      <c r="T129" s="1" t="n">
        <v>2026</v>
      </c>
      <c r="U129" s="1" t="n">
        <v>2026</v>
      </c>
      <c r="V129" s="5" t="n">
        <v>46218.9895833333</v>
      </c>
      <c r="W129" s="6" t="n">
        <v>46387.9999999884</v>
      </c>
    </row>
    <row r="130" customFormat="false" ht="12.75" hidden="false" customHeight="false" outlineLevel="0" collapsed="false">
      <c r="A130" s="1" t="s">
        <v>581</v>
      </c>
      <c r="B130" s="1" t="n">
        <v>17944593</v>
      </c>
      <c r="C130" s="1" t="s">
        <v>474</v>
      </c>
      <c r="D130" s="1" t="s">
        <v>480</v>
      </c>
      <c r="E130" s="1" t="s">
        <v>582</v>
      </c>
      <c r="F130" s="1" t="s">
        <v>583</v>
      </c>
      <c r="G130" s="2" t="s">
        <v>28</v>
      </c>
      <c r="H130" s="1" t="n">
        <v>-1</v>
      </c>
      <c r="I130" s="1" t="n">
        <v>-1</v>
      </c>
      <c r="J130" s="1" t="n">
        <v>-1</v>
      </c>
      <c r="K130" s="1" t="n">
        <v>-1</v>
      </c>
      <c r="L130" s="2" t="n">
        <v>4733.6</v>
      </c>
      <c r="M130" s="1" t="s">
        <v>70</v>
      </c>
      <c r="N130" s="1" t="s">
        <v>37</v>
      </c>
      <c r="O130" s="5" t="n">
        <v>46201.2083333333</v>
      </c>
      <c r="P130" s="5" t="n">
        <v>46224.5597222222</v>
      </c>
      <c r="Q130" s="1" t="n">
        <v>58.6964</v>
      </c>
      <c r="R130" s="1" t="n">
        <v>-98.6367</v>
      </c>
      <c r="S130" s="1" t="s">
        <v>584</v>
      </c>
      <c r="T130" s="1" t="n">
        <v>2026</v>
      </c>
      <c r="U130" s="1" t="n">
        <v>2026</v>
      </c>
      <c r="V130" s="5" t="n">
        <v>46218.9895833333</v>
      </c>
      <c r="W130" s="6" t="n">
        <v>46387.9999999884</v>
      </c>
    </row>
    <row r="131" customFormat="false" ht="12.75" hidden="false" customHeight="false" outlineLevel="0" collapsed="false">
      <c r="A131" s="1" t="s">
        <v>585</v>
      </c>
      <c r="B131" s="1" t="n">
        <v>17944526</v>
      </c>
      <c r="C131" s="1" t="s">
        <v>474</v>
      </c>
      <c r="D131" s="1" t="s">
        <v>480</v>
      </c>
      <c r="E131" s="1" t="s">
        <v>586</v>
      </c>
      <c r="F131" s="1" t="s">
        <v>587</v>
      </c>
      <c r="G131" s="2" t="s">
        <v>28</v>
      </c>
      <c r="H131" s="1" t="n">
        <v>-1</v>
      </c>
      <c r="I131" s="1" t="n">
        <v>-1</v>
      </c>
      <c r="J131" s="1" t="n">
        <v>-1</v>
      </c>
      <c r="K131" s="1" t="n">
        <v>-1</v>
      </c>
      <c r="L131" s="2" t="n">
        <v>7830</v>
      </c>
      <c r="M131" s="1" t="s">
        <v>29</v>
      </c>
      <c r="N131" s="1" t="s">
        <v>37</v>
      </c>
      <c r="O131" s="5" t="n">
        <v>46198.2083333333</v>
      </c>
      <c r="P131" s="5" t="n">
        <v>46224.5597222222</v>
      </c>
      <c r="Q131" s="1" t="n">
        <v>56.665</v>
      </c>
      <c r="R131" s="1" t="n">
        <v>-100.8722</v>
      </c>
      <c r="S131" s="1" t="s">
        <v>588</v>
      </c>
      <c r="T131" s="1" t="n">
        <v>2026</v>
      </c>
      <c r="U131" s="1" t="n">
        <v>2026</v>
      </c>
      <c r="V131" s="5" t="n">
        <v>46218.9895833333</v>
      </c>
      <c r="W131" s="6" t="n">
        <v>46387.9999999884</v>
      </c>
    </row>
    <row r="132" customFormat="false" ht="12.75" hidden="false" customHeight="false" outlineLevel="0" collapsed="false">
      <c r="A132" s="1" t="s">
        <v>589</v>
      </c>
      <c r="B132" s="1" t="n">
        <v>17944679</v>
      </c>
      <c r="C132" s="1" t="s">
        <v>474</v>
      </c>
      <c r="D132" s="1" t="s">
        <v>480</v>
      </c>
      <c r="E132" s="1" t="s">
        <v>590</v>
      </c>
      <c r="F132" s="1" t="s">
        <v>591</v>
      </c>
      <c r="G132" s="2" t="s">
        <v>28</v>
      </c>
      <c r="H132" s="1" t="n">
        <v>-1</v>
      </c>
      <c r="I132" s="1" t="n">
        <v>-1</v>
      </c>
      <c r="J132" s="1" t="n">
        <v>-1</v>
      </c>
      <c r="K132" s="1" t="n">
        <v>-1</v>
      </c>
      <c r="L132" s="2" t="n">
        <v>1</v>
      </c>
      <c r="M132" s="1" t="s">
        <v>65</v>
      </c>
      <c r="N132" s="1" t="s">
        <v>105</v>
      </c>
      <c r="O132" s="5" t="n">
        <v>46218.2083333333</v>
      </c>
      <c r="P132" s="5" t="n">
        <v>46224.5597222222</v>
      </c>
      <c r="Q132" s="1" t="n">
        <v>56.7875</v>
      </c>
      <c r="R132" s="1" t="n">
        <v>-94.9719</v>
      </c>
      <c r="S132" s="1" t="s">
        <v>592</v>
      </c>
      <c r="T132" s="1" t="n">
        <v>2026</v>
      </c>
      <c r="U132" s="1" t="n">
        <v>2026</v>
      </c>
      <c r="V132" s="5" t="n">
        <v>46218.9895833333</v>
      </c>
      <c r="W132" s="6" t="n">
        <v>46387.9999999884</v>
      </c>
    </row>
    <row r="133" customFormat="false" ht="12.75" hidden="false" customHeight="false" outlineLevel="0" collapsed="false">
      <c r="A133" s="1" t="s">
        <v>593</v>
      </c>
      <c r="B133" s="1" t="n">
        <v>17944581</v>
      </c>
      <c r="C133" s="1" t="s">
        <v>474</v>
      </c>
      <c r="D133" s="1" t="s">
        <v>480</v>
      </c>
      <c r="E133" s="1" t="s">
        <v>594</v>
      </c>
      <c r="F133" s="1" t="s">
        <v>595</v>
      </c>
      <c r="G133" s="2" t="s">
        <v>28</v>
      </c>
      <c r="H133" s="1" t="n">
        <v>-1</v>
      </c>
      <c r="I133" s="1" t="n">
        <v>-1</v>
      </c>
      <c r="J133" s="1" t="n">
        <v>-1</v>
      </c>
      <c r="K133" s="1" t="n">
        <v>-1</v>
      </c>
      <c r="L133" s="2" t="n">
        <v>4</v>
      </c>
      <c r="M133" s="1" t="s">
        <v>29</v>
      </c>
      <c r="N133" s="1" t="s">
        <v>37</v>
      </c>
      <c r="O133" s="5" t="n">
        <v>46200.2083333333</v>
      </c>
      <c r="P133" s="5" t="n">
        <v>46224.5597222222</v>
      </c>
      <c r="Q133" s="1" t="n">
        <v>56.7097</v>
      </c>
      <c r="R133" s="1" t="n">
        <v>-100.1975</v>
      </c>
      <c r="S133" s="1" t="s">
        <v>596</v>
      </c>
      <c r="T133" s="1" t="n">
        <v>2026</v>
      </c>
      <c r="U133" s="1" t="n">
        <v>2026</v>
      </c>
      <c r="V133" s="5" t="n">
        <v>46218.9895833333</v>
      </c>
      <c r="W133" s="6" t="n">
        <v>46387.9999999884</v>
      </c>
    </row>
    <row r="134" customFormat="false" ht="12.75" hidden="false" customHeight="false" outlineLevel="0" collapsed="false">
      <c r="A134" s="1" t="s">
        <v>597</v>
      </c>
      <c r="B134" s="1" t="n">
        <v>17939650</v>
      </c>
      <c r="C134" s="1" t="s">
        <v>474</v>
      </c>
      <c r="D134" s="1" t="s">
        <v>480</v>
      </c>
      <c r="E134" s="1" t="s">
        <v>598</v>
      </c>
      <c r="F134" s="1" t="s">
        <v>599</v>
      </c>
      <c r="G134" s="2" t="s">
        <v>28</v>
      </c>
      <c r="H134" s="1" t="n">
        <v>-1</v>
      </c>
      <c r="I134" s="1" t="n">
        <v>-1</v>
      </c>
      <c r="J134" s="1" t="n">
        <v>-1</v>
      </c>
      <c r="K134" s="1" t="n">
        <v>-1</v>
      </c>
      <c r="L134" s="2" t="n">
        <v>2</v>
      </c>
      <c r="M134" s="1" t="s">
        <v>65</v>
      </c>
      <c r="N134" s="1" t="s">
        <v>105</v>
      </c>
      <c r="O134" s="5" t="n">
        <v>46218.2083333333</v>
      </c>
      <c r="P134" s="5" t="n">
        <v>46224.5597222222</v>
      </c>
      <c r="Q134" s="1" t="n">
        <v>56.3075</v>
      </c>
      <c r="R134" s="1" t="n">
        <v>-95.9697</v>
      </c>
      <c r="S134" s="1" t="s">
        <v>600</v>
      </c>
      <c r="T134" s="1" t="n">
        <v>2026</v>
      </c>
      <c r="U134" s="1" t="n">
        <v>2026</v>
      </c>
      <c r="V134" s="5" t="n">
        <v>46218.90625</v>
      </c>
      <c r="W134" s="6" t="n">
        <v>46387.9999999884</v>
      </c>
    </row>
    <row r="135" customFormat="false" ht="12.75" hidden="false" customHeight="false" outlineLevel="0" collapsed="false">
      <c r="A135" s="1" t="s">
        <v>601</v>
      </c>
      <c r="B135" s="1" t="n">
        <v>17939651</v>
      </c>
      <c r="C135" s="1" t="s">
        <v>474</v>
      </c>
      <c r="D135" s="1" t="s">
        <v>480</v>
      </c>
      <c r="E135" s="1" t="s">
        <v>602</v>
      </c>
      <c r="F135" s="1" t="s">
        <v>603</v>
      </c>
      <c r="G135" s="2" t="s">
        <v>28</v>
      </c>
      <c r="H135" s="1" t="n">
        <v>-1</v>
      </c>
      <c r="I135" s="1" t="n">
        <v>-1</v>
      </c>
      <c r="J135" s="1" t="n">
        <v>-1</v>
      </c>
      <c r="K135" s="1" t="n">
        <v>-1</v>
      </c>
      <c r="L135" s="2" t="n">
        <v>0.5</v>
      </c>
      <c r="M135" s="1" t="s">
        <v>65</v>
      </c>
      <c r="N135" s="1" t="s">
        <v>105</v>
      </c>
      <c r="O135" s="5" t="n">
        <v>46218.2083333333</v>
      </c>
      <c r="P135" s="5" t="n">
        <v>46224.5597222222</v>
      </c>
      <c r="Q135" s="1" t="n">
        <v>56.2808</v>
      </c>
      <c r="R135" s="1" t="n">
        <v>-99.7864</v>
      </c>
      <c r="S135" s="1" t="s">
        <v>604</v>
      </c>
      <c r="T135" s="1" t="n">
        <v>2026</v>
      </c>
      <c r="U135" s="1" t="n">
        <v>2026</v>
      </c>
      <c r="V135" s="5" t="n">
        <v>46218.90625</v>
      </c>
      <c r="W135" s="6" t="n">
        <v>46387.9999999884</v>
      </c>
    </row>
    <row r="136" customFormat="false" ht="12.75" hidden="false" customHeight="false" outlineLevel="0" collapsed="false">
      <c r="A136" s="1" t="s">
        <v>605</v>
      </c>
      <c r="B136" s="1" t="n">
        <v>17937065</v>
      </c>
      <c r="C136" s="1" t="s">
        <v>474</v>
      </c>
      <c r="D136" s="1" t="s">
        <v>480</v>
      </c>
      <c r="E136" s="1" t="s">
        <v>606</v>
      </c>
      <c r="F136" s="1" t="s">
        <v>607</v>
      </c>
      <c r="G136" s="2" t="s">
        <v>28</v>
      </c>
      <c r="H136" s="1" t="n">
        <v>-1</v>
      </c>
      <c r="I136" s="1" t="n">
        <v>-1</v>
      </c>
      <c r="J136" s="1" t="n">
        <v>-1</v>
      </c>
      <c r="K136" s="1" t="n">
        <v>-1</v>
      </c>
      <c r="L136" s="2" t="n">
        <v>10</v>
      </c>
      <c r="M136" s="1" t="s">
        <v>65</v>
      </c>
      <c r="N136" s="1" t="s">
        <v>105</v>
      </c>
      <c r="O136" s="5" t="n">
        <v>46218.2083333333</v>
      </c>
      <c r="P136" s="5" t="n">
        <v>46224.5597222222</v>
      </c>
      <c r="Q136" s="1" t="n">
        <v>55.9317</v>
      </c>
      <c r="R136" s="1" t="n">
        <v>-97.0236</v>
      </c>
      <c r="S136" s="1" t="s">
        <v>608</v>
      </c>
      <c r="T136" s="1" t="n">
        <v>2026</v>
      </c>
      <c r="U136" s="1" t="n">
        <v>2026</v>
      </c>
      <c r="V136" s="5" t="n">
        <v>46218.8645833333</v>
      </c>
      <c r="W136" s="6" t="n">
        <v>46387.9999999884</v>
      </c>
    </row>
    <row r="137" customFormat="false" ht="12.75" hidden="false" customHeight="false" outlineLevel="0" collapsed="false">
      <c r="A137" s="1" t="s">
        <v>609</v>
      </c>
      <c r="B137" s="1" t="n">
        <v>17914094</v>
      </c>
      <c r="C137" s="1" t="s">
        <v>474</v>
      </c>
      <c r="D137" s="1" t="s">
        <v>480</v>
      </c>
      <c r="E137" s="1" t="s">
        <v>610</v>
      </c>
      <c r="F137" s="1" t="s">
        <v>611</v>
      </c>
      <c r="G137" s="2" t="s">
        <v>28</v>
      </c>
      <c r="H137" s="1" t="n">
        <v>-1</v>
      </c>
      <c r="I137" s="1" t="n">
        <v>-1</v>
      </c>
      <c r="J137" s="1" t="n">
        <v>-1</v>
      </c>
      <c r="K137" s="1" t="n">
        <v>-1</v>
      </c>
      <c r="L137" s="2" t="n">
        <v>1.5</v>
      </c>
      <c r="M137" s="1" t="s">
        <v>65</v>
      </c>
      <c r="N137" s="1" t="s">
        <v>105</v>
      </c>
      <c r="O137" s="5" t="n">
        <v>46217.2083333333</v>
      </c>
      <c r="P137" s="5" t="n">
        <v>46224.5597222222</v>
      </c>
      <c r="Q137" s="1" t="n">
        <v>56.0439</v>
      </c>
      <c r="R137" s="1" t="n">
        <v>-99.2272</v>
      </c>
      <c r="S137" s="1" t="s">
        <v>612</v>
      </c>
      <c r="T137" s="1" t="n">
        <v>2026</v>
      </c>
      <c r="U137" s="1" t="n">
        <v>2026</v>
      </c>
      <c r="V137" s="5" t="n">
        <v>46218.6145833333</v>
      </c>
      <c r="W137" s="6" t="n">
        <v>46387.9999999884</v>
      </c>
    </row>
    <row r="138" customFormat="false" ht="12.75" hidden="false" customHeight="false" outlineLevel="0" collapsed="false">
      <c r="A138" s="1" t="s">
        <v>613</v>
      </c>
      <c r="B138" s="1" t="n">
        <v>17914096</v>
      </c>
      <c r="C138" s="1" t="s">
        <v>474</v>
      </c>
      <c r="D138" s="1" t="s">
        <v>480</v>
      </c>
      <c r="E138" s="1" t="s">
        <v>614</v>
      </c>
      <c r="F138" s="1" t="s">
        <v>615</v>
      </c>
      <c r="G138" s="2" t="s">
        <v>28</v>
      </c>
      <c r="H138" s="1" t="n">
        <v>-1</v>
      </c>
      <c r="I138" s="1" t="n">
        <v>-1</v>
      </c>
      <c r="J138" s="1" t="n">
        <v>-1</v>
      </c>
      <c r="K138" s="1" t="n">
        <v>-1</v>
      </c>
      <c r="L138" s="2" t="n">
        <v>40</v>
      </c>
      <c r="M138" s="1" t="s">
        <v>65</v>
      </c>
      <c r="N138" s="1" t="s">
        <v>105</v>
      </c>
      <c r="O138" s="5" t="n">
        <v>46217.2083333333</v>
      </c>
      <c r="P138" s="5" t="n">
        <v>46224.5597222222</v>
      </c>
      <c r="Q138" s="1" t="n">
        <v>53.6475</v>
      </c>
      <c r="R138" s="1" t="n">
        <v>-95.3944</v>
      </c>
      <c r="S138" s="1" t="s">
        <v>616</v>
      </c>
      <c r="T138" s="1" t="n">
        <v>2026</v>
      </c>
      <c r="U138" s="1" t="n">
        <v>2026</v>
      </c>
      <c r="V138" s="5" t="n">
        <v>46218.6145833333</v>
      </c>
      <c r="W138" s="6" t="n">
        <v>46387.9999999884</v>
      </c>
    </row>
    <row r="139" customFormat="false" ht="12.75" hidden="false" customHeight="false" outlineLevel="0" collapsed="false">
      <c r="A139" s="1" t="s">
        <v>617</v>
      </c>
      <c r="B139" s="1" t="n">
        <v>17847181</v>
      </c>
      <c r="C139" s="1" t="s">
        <v>474</v>
      </c>
      <c r="D139" s="1" t="s">
        <v>480</v>
      </c>
      <c r="E139" s="1" t="s">
        <v>618</v>
      </c>
      <c r="F139" s="1" t="s">
        <v>619</v>
      </c>
      <c r="G139" s="2" t="s">
        <v>28</v>
      </c>
      <c r="H139" s="1" t="n">
        <v>-1</v>
      </c>
      <c r="I139" s="1" t="n">
        <v>-1</v>
      </c>
      <c r="J139" s="1" t="n">
        <v>-1</v>
      </c>
      <c r="K139" s="1" t="n">
        <v>-1</v>
      </c>
      <c r="L139" s="2" t="n">
        <v>15</v>
      </c>
      <c r="M139" s="1" t="s">
        <v>65</v>
      </c>
      <c r="N139" s="1" t="s">
        <v>105</v>
      </c>
      <c r="O139" s="5" t="n">
        <v>46217.2083333333</v>
      </c>
      <c r="P139" s="5" t="n">
        <v>46224.5597222222</v>
      </c>
      <c r="Q139" s="1" t="n">
        <v>56.53</v>
      </c>
      <c r="R139" s="1" t="n">
        <v>-93.8036</v>
      </c>
      <c r="S139" s="1" t="s">
        <v>620</v>
      </c>
      <c r="T139" s="1" t="n">
        <v>2026</v>
      </c>
      <c r="U139" s="1" t="n">
        <v>2026</v>
      </c>
      <c r="V139" s="5" t="n">
        <v>46217.78125</v>
      </c>
      <c r="W139" s="6" t="n">
        <v>46387.9999999884</v>
      </c>
    </row>
    <row r="140" customFormat="false" ht="12.75" hidden="false" customHeight="false" outlineLevel="0" collapsed="false">
      <c r="A140" s="1" t="s">
        <v>621</v>
      </c>
      <c r="B140" s="1" t="n">
        <v>17696832</v>
      </c>
      <c r="C140" s="1" t="s">
        <v>474</v>
      </c>
      <c r="D140" s="1" t="s">
        <v>480</v>
      </c>
      <c r="E140" s="1" t="s">
        <v>622</v>
      </c>
      <c r="F140" s="1" t="s">
        <v>623</v>
      </c>
      <c r="G140" s="2" t="s">
        <v>28</v>
      </c>
      <c r="H140" s="1" t="n">
        <v>-1</v>
      </c>
      <c r="I140" s="1" t="n">
        <v>-1</v>
      </c>
      <c r="J140" s="1" t="n">
        <v>-1</v>
      </c>
      <c r="K140" s="1" t="n">
        <v>-1</v>
      </c>
      <c r="L140" s="2" t="n">
        <v>179.6</v>
      </c>
      <c r="M140" s="1" t="s">
        <v>65</v>
      </c>
      <c r="N140" s="1" t="s">
        <v>105</v>
      </c>
      <c r="O140" s="5" t="n">
        <v>46204.2083333333</v>
      </c>
      <c r="P140" s="5" t="n">
        <v>46224.5597222222</v>
      </c>
      <c r="Q140" s="1" t="n">
        <v>57.3439</v>
      </c>
      <c r="R140" s="1" t="n">
        <v>-100.5031</v>
      </c>
      <c r="S140" s="1" t="s">
        <v>624</v>
      </c>
      <c r="T140" s="1" t="n">
        <v>2026</v>
      </c>
      <c r="U140" s="1" t="n">
        <v>2026</v>
      </c>
      <c r="V140" s="5" t="n">
        <v>46215.90625</v>
      </c>
      <c r="W140" s="6" t="n">
        <v>46387.9999999884</v>
      </c>
    </row>
    <row r="141" customFormat="false" ht="12.75" hidden="false" customHeight="false" outlineLevel="0" collapsed="false">
      <c r="A141" s="1" t="s">
        <v>625</v>
      </c>
      <c r="B141" s="1" t="n">
        <v>17696717</v>
      </c>
      <c r="C141" s="1" t="s">
        <v>474</v>
      </c>
      <c r="D141" s="1" t="s">
        <v>480</v>
      </c>
      <c r="E141" s="1" t="s">
        <v>626</v>
      </c>
      <c r="F141" s="1" t="s">
        <v>627</v>
      </c>
      <c r="G141" s="2" t="s">
        <v>28</v>
      </c>
      <c r="H141" s="1" t="n">
        <v>-1</v>
      </c>
      <c r="I141" s="1" t="n">
        <v>-1</v>
      </c>
      <c r="J141" s="1" t="n">
        <v>-1</v>
      </c>
      <c r="K141" s="1" t="n">
        <v>-1</v>
      </c>
      <c r="L141" s="2" t="n">
        <v>59.4</v>
      </c>
      <c r="M141" s="1" t="s">
        <v>65</v>
      </c>
      <c r="N141" s="1" t="s">
        <v>105</v>
      </c>
      <c r="O141" s="5" t="n">
        <v>46198.2083333333</v>
      </c>
      <c r="P141" s="5" t="n">
        <v>46224.5590277778</v>
      </c>
      <c r="Q141" s="1" t="n">
        <v>58.8808</v>
      </c>
      <c r="R141" s="1" t="n">
        <v>-98.7772</v>
      </c>
      <c r="S141" s="1" t="s">
        <v>628</v>
      </c>
      <c r="T141" s="1" t="n">
        <v>2026</v>
      </c>
      <c r="U141" s="1" t="n">
        <v>2026</v>
      </c>
      <c r="V141" s="5" t="n">
        <v>46215.90625</v>
      </c>
      <c r="W141" s="6" t="n">
        <v>46387.9999999884</v>
      </c>
    </row>
    <row r="142" customFormat="false" ht="12.75" hidden="false" customHeight="false" outlineLevel="0" collapsed="false">
      <c r="A142" s="1" t="s">
        <v>629</v>
      </c>
      <c r="B142" s="1" t="n">
        <v>17696746</v>
      </c>
      <c r="C142" s="1" t="s">
        <v>474</v>
      </c>
      <c r="D142" s="1" t="s">
        <v>480</v>
      </c>
      <c r="E142" s="1" t="s">
        <v>630</v>
      </c>
      <c r="F142" s="1" t="s">
        <v>631</v>
      </c>
      <c r="G142" s="2" t="s">
        <v>28</v>
      </c>
      <c r="H142" s="1" t="n">
        <v>-1</v>
      </c>
      <c r="I142" s="1" t="n">
        <v>-1</v>
      </c>
      <c r="J142" s="1" t="n">
        <v>-1</v>
      </c>
      <c r="K142" s="1" t="n">
        <v>-1</v>
      </c>
      <c r="L142" s="2" t="n">
        <v>5848.1</v>
      </c>
      <c r="M142" s="1" t="s">
        <v>65</v>
      </c>
      <c r="N142" s="1" t="s">
        <v>105</v>
      </c>
      <c r="O142" s="5" t="n">
        <v>46198.2083333333</v>
      </c>
      <c r="P142" s="5" t="n">
        <v>46224.5597222222</v>
      </c>
      <c r="Q142" s="1" t="n">
        <v>57.5519</v>
      </c>
      <c r="R142" s="1" t="n">
        <v>-101.4131</v>
      </c>
      <c r="S142" s="1" t="s">
        <v>632</v>
      </c>
      <c r="T142" s="1" t="n">
        <v>2026</v>
      </c>
      <c r="U142" s="1" t="n">
        <v>2026</v>
      </c>
      <c r="V142" s="5" t="n">
        <v>46215.90625</v>
      </c>
      <c r="W142" s="6" t="n">
        <v>46387.9999999884</v>
      </c>
    </row>
    <row r="143" customFormat="false" ht="12.75" hidden="false" customHeight="false" outlineLevel="0" collapsed="false">
      <c r="A143" s="1" t="s">
        <v>633</v>
      </c>
      <c r="B143" s="1" t="n">
        <v>17696763</v>
      </c>
      <c r="C143" s="1" t="s">
        <v>474</v>
      </c>
      <c r="D143" s="1" t="s">
        <v>480</v>
      </c>
      <c r="E143" s="1" t="s">
        <v>634</v>
      </c>
      <c r="F143" s="1" t="s">
        <v>635</v>
      </c>
      <c r="G143" s="2" t="s">
        <v>28</v>
      </c>
      <c r="H143" s="1" t="n">
        <v>-1</v>
      </c>
      <c r="I143" s="1" t="n">
        <v>-1</v>
      </c>
      <c r="J143" s="1" t="n">
        <v>-1</v>
      </c>
      <c r="K143" s="1" t="n">
        <v>-1</v>
      </c>
      <c r="L143" s="2" t="n">
        <v>406.2</v>
      </c>
      <c r="M143" s="1" t="s">
        <v>65</v>
      </c>
      <c r="N143" s="1" t="s">
        <v>105</v>
      </c>
      <c r="O143" s="5" t="n">
        <v>46199.2083333333</v>
      </c>
      <c r="P143" s="5" t="n">
        <v>46224.5597222222</v>
      </c>
      <c r="Q143" s="1" t="n">
        <v>57.56</v>
      </c>
      <c r="R143" s="1" t="n">
        <v>-101.7428</v>
      </c>
      <c r="S143" s="1" t="s">
        <v>636</v>
      </c>
      <c r="T143" s="1" t="n">
        <v>2026</v>
      </c>
      <c r="U143" s="1" t="n">
        <v>2026</v>
      </c>
      <c r="V143" s="5" t="n">
        <v>46215.90625</v>
      </c>
      <c r="W143" s="6" t="n">
        <v>46387.9999999884</v>
      </c>
    </row>
    <row r="144" customFormat="false" ht="12.75" hidden="false" customHeight="false" outlineLevel="0" collapsed="false">
      <c r="A144" s="1" t="s">
        <v>637</v>
      </c>
      <c r="B144" s="1" t="n">
        <v>17696833</v>
      </c>
      <c r="C144" s="1" t="s">
        <v>474</v>
      </c>
      <c r="D144" s="1" t="s">
        <v>480</v>
      </c>
      <c r="E144" s="1" t="s">
        <v>638</v>
      </c>
      <c r="F144" s="1" t="s">
        <v>639</v>
      </c>
      <c r="G144" s="2" t="s">
        <v>28</v>
      </c>
      <c r="H144" s="1" t="n">
        <v>-1</v>
      </c>
      <c r="I144" s="1" t="n">
        <v>-1</v>
      </c>
      <c r="J144" s="1" t="n">
        <v>-1</v>
      </c>
      <c r="K144" s="1" t="n">
        <v>-1</v>
      </c>
      <c r="L144" s="2" t="n">
        <v>527.1</v>
      </c>
      <c r="M144" s="1" t="s">
        <v>65</v>
      </c>
      <c r="N144" s="1" t="s">
        <v>105</v>
      </c>
      <c r="O144" s="5" t="n">
        <v>46204.2083333333</v>
      </c>
      <c r="P144" s="5" t="n">
        <v>46224.5597222222</v>
      </c>
      <c r="Q144" s="1" t="n">
        <v>58.3133</v>
      </c>
      <c r="R144" s="1" t="n">
        <v>-99.0906</v>
      </c>
      <c r="S144" s="1" t="s">
        <v>640</v>
      </c>
      <c r="T144" s="1" t="n">
        <v>2026</v>
      </c>
      <c r="U144" s="1" t="n">
        <v>2026</v>
      </c>
      <c r="V144" s="5" t="n">
        <v>46215.90625</v>
      </c>
      <c r="W144" s="6" t="n">
        <v>46387.9999999884</v>
      </c>
    </row>
    <row r="145" customFormat="false" ht="12.75" hidden="false" customHeight="false" outlineLevel="0" collapsed="false">
      <c r="A145" s="1" t="s">
        <v>641</v>
      </c>
      <c r="B145" s="1" t="n">
        <v>17696714</v>
      </c>
      <c r="C145" s="1" t="s">
        <v>474</v>
      </c>
      <c r="D145" s="1" t="s">
        <v>480</v>
      </c>
      <c r="E145" s="1" t="s">
        <v>642</v>
      </c>
      <c r="F145" s="1" t="s">
        <v>643</v>
      </c>
      <c r="G145" s="2" t="s">
        <v>28</v>
      </c>
      <c r="H145" s="1" t="n">
        <v>-1</v>
      </c>
      <c r="I145" s="1" t="n">
        <v>-1</v>
      </c>
      <c r="J145" s="1" t="n">
        <v>-1</v>
      </c>
      <c r="K145" s="1" t="n">
        <v>-1</v>
      </c>
      <c r="L145" s="2" t="n">
        <v>9411.2</v>
      </c>
      <c r="M145" s="1" t="s">
        <v>65</v>
      </c>
      <c r="N145" s="1" t="s">
        <v>105</v>
      </c>
      <c r="O145" s="5" t="n">
        <v>46198.2083333333</v>
      </c>
      <c r="P145" s="5" t="n">
        <v>46224.5590277778</v>
      </c>
      <c r="Q145" s="1" t="n">
        <v>58.0936</v>
      </c>
      <c r="R145" s="1" t="n">
        <v>-99.1733</v>
      </c>
      <c r="S145" s="1" t="s">
        <v>644</v>
      </c>
      <c r="T145" s="1" t="n">
        <v>2026</v>
      </c>
      <c r="U145" s="1" t="n">
        <v>2026</v>
      </c>
      <c r="V145" s="5" t="n">
        <v>46215.90625</v>
      </c>
      <c r="W145" s="6" t="n">
        <v>46387.9999999884</v>
      </c>
    </row>
    <row r="146" customFormat="false" ht="12.75" hidden="false" customHeight="false" outlineLevel="0" collapsed="false">
      <c r="A146" s="1" t="s">
        <v>645</v>
      </c>
      <c r="B146" s="1" t="n">
        <v>17696794</v>
      </c>
      <c r="C146" s="1" t="s">
        <v>474</v>
      </c>
      <c r="D146" s="1" t="s">
        <v>480</v>
      </c>
      <c r="E146" s="1" t="s">
        <v>646</v>
      </c>
      <c r="F146" s="1" t="s">
        <v>647</v>
      </c>
      <c r="G146" s="2" t="s">
        <v>28</v>
      </c>
      <c r="H146" s="1" t="n">
        <v>-1</v>
      </c>
      <c r="I146" s="1" t="n">
        <v>-1</v>
      </c>
      <c r="J146" s="1" t="n">
        <v>-1</v>
      </c>
      <c r="K146" s="1" t="n">
        <v>-1</v>
      </c>
      <c r="L146" s="2" t="n">
        <v>1818.6</v>
      </c>
      <c r="M146" s="1" t="s">
        <v>65</v>
      </c>
      <c r="N146" s="1" t="s">
        <v>105</v>
      </c>
      <c r="O146" s="5" t="n">
        <v>46201.2083333333</v>
      </c>
      <c r="P146" s="5" t="n">
        <v>46224.5597222222</v>
      </c>
      <c r="Q146" s="1" t="n">
        <v>58.8044</v>
      </c>
      <c r="R146" s="1" t="n">
        <v>-98.9294</v>
      </c>
      <c r="S146" s="1" t="s">
        <v>648</v>
      </c>
      <c r="T146" s="1" t="n">
        <v>2026</v>
      </c>
      <c r="U146" s="1" t="n">
        <v>2026</v>
      </c>
      <c r="V146" s="5" t="n">
        <v>46215.90625</v>
      </c>
      <c r="W146" s="6" t="n">
        <v>46387.9999999884</v>
      </c>
    </row>
    <row r="147" customFormat="false" ht="12.75" hidden="false" customHeight="false" outlineLevel="0" collapsed="false">
      <c r="A147" s="1" t="s">
        <v>649</v>
      </c>
      <c r="B147" s="1" t="n">
        <v>17680702</v>
      </c>
      <c r="C147" s="1" t="s">
        <v>474</v>
      </c>
      <c r="D147" s="1" t="s">
        <v>480</v>
      </c>
      <c r="E147" s="1" t="s">
        <v>650</v>
      </c>
      <c r="F147" s="1" t="s">
        <v>651</v>
      </c>
      <c r="G147" s="2" t="s">
        <v>28</v>
      </c>
      <c r="H147" s="1" t="n">
        <v>-1</v>
      </c>
      <c r="I147" s="1" t="n">
        <v>-1</v>
      </c>
      <c r="J147" s="1" t="n">
        <v>-1</v>
      </c>
      <c r="K147" s="1" t="n">
        <v>-1</v>
      </c>
      <c r="L147" s="2" t="n">
        <v>10</v>
      </c>
      <c r="M147" s="1" t="s">
        <v>65</v>
      </c>
      <c r="N147" s="1" t="s">
        <v>105</v>
      </c>
      <c r="O147" s="5" t="n">
        <v>46215.2083333333</v>
      </c>
      <c r="P147" s="5" t="n">
        <v>46224.5597222222</v>
      </c>
      <c r="Q147" s="1" t="n">
        <v>58.2442</v>
      </c>
      <c r="R147" s="1" t="n">
        <v>-97.5281</v>
      </c>
      <c r="S147" s="1" t="s">
        <v>652</v>
      </c>
      <c r="T147" s="1" t="n">
        <v>2026</v>
      </c>
      <c r="U147" s="1" t="n">
        <v>2026</v>
      </c>
      <c r="V147" s="5" t="n">
        <v>46215.6979166667</v>
      </c>
      <c r="W147" s="6" t="n">
        <v>46387.9999999884</v>
      </c>
    </row>
    <row r="148" customFormat="false" ht="12.75" hidden="false" customHeight="false" outlineLevel="0" collapsed="false">
      <c r="A148" s="1" t="s">
        <v>653</v>
      </c>
      <c r="B148" s="1" t="n">
        <v>17634009</v>
      </c>
      <c r="C148" s="1" t="s">
        <v>474</v>
      </c>
      <c r="D148" s="1" t="s">
        <v>480</v>
      </c>
      <c r="E148" s="1" t="s">
        <v>654</v>
      </c>
      <c r="F148" s="1" t="s">
        <v>655</v>
      </c>
      <c r="G148" s="2" t="s">
        <v>28</v>
      </c>
      <c r="H148" s="1" t="n">
        <v>-1</v>
      </c>
      <c r="I148" s="1" t="n">
        <v>-1</v>
      </c>
      <c r="J148" s="1" t="n">
        <v>-1</v>
      </c>
      <c r="K148" s="1" t="n">
        <v>-1</v>
      </c>
      <c r="L148" s="2" t="n">
        <v>3165.9</v>
      </c>
      <c r="M148" s="1" t="s">
        <v>65</v>
      </c>
      <c r="N148" s="1" t="s">
        <v>105</v>
      </c>
      <c r="O148" s="5" t="n">
        <v>46201.2083333333</v>
      </c>
      <c r="P148" s="5" t="n">
        <v>46224.5597222222</v>
      </c>
      <c r="Q148" s="1" t="n">
        <v>58.2397</v>
      </c>
      <c r="R148" s="1" t="n">
        <v>-97.6286</v>
      </c>
      <c r="S148" s="1" t="s">
        <v>656</v>
      </c>
      <c r="T148" s="1" t="n">
        <v>2026</v>
      </c>
      <c r="U148" s="1" t="n">
        <v>2026</v>
      </c>
      <c r="V148" s="5" t="n">
        <v>46215.03125</v>
      </c>
      <c r="W148" s="6" t="n">
        <v>46387.9999999884</v>
      </c>
    </row>
    <row r="149" customFormat="false" ht="12.75" hidden="false" customHeight="false" outlineLevel="0" collapsed="false">
      <c r="A149" s="1" t="s">
        <v>657</v>
      </c>
      <c r="B149" s="1" t="n">
        <v>17633943</v>
      </c>
      <c r="C149" s="1" t="s">
        <v>474</v>
      </c>
      <c r="D149" s="1" t="s">
        <v>480</v>
      </c>
      <c r="E149" s="1" t="s">
        <v>658</v>
      </c>
      <c r="F149" s="1" t="s">
        <v>659</v>
      </c>
      <c r="G149" s="2" t="s">
        <v>28</v>
      </c>
      <c r="H149" s="1" t="n">
        <v>-1</v>
      </c>
      <c r="I149" s="1" t="n">
        <v>-1</v>
      </c>
      <c r="J149" s="1" t="n">
        <v>-1</v>
      </c>
      <c r="K149" s="1" t="n">
        <v>-1</v>
      </c>
      <c r="L149" s="2" t="n">
        <v>818.1</v>
      </c>
      <c r="M149" s="1" t="s">
        <v>65</v>
      </c>
      <c r="N149" s="1" t="s">
        <v>105</v>
      </c>
      <c r="O149" s="5" t="n">
        <v>46198.2083333333</v>
      </c>
      <c r="P149" s="5" t="n">
        <v>46224.5597222222</v>
      </c>
      <c r="Q149" s="1" t="n">
        <v>56.6764</v>
      </c>
      <c r="R149" s="1" t="n">
        <v>-97.7658</v>
      </c>
      <c r="S149" s="1" t="s">
        <v>660</v>
      </c>
      <c r="T149" s="1" t="n">
        <v>2026</v>
      </c>
      <c r="U149" s="1" t="n">
        <v>2026</v>
      </c>
      <c r="V149" s="5" t="n">
        <v>46215.03125</v>
      </c>
      <c r="W149" s="6" t="n">
        <v>46387.9999999884</v>
      </c>
    </row>
    <row r="150" customFormat="false" ht="12.75" hidden="false" customHeight="false" outlineLevel="0" collapsed="false">
      <c r="A150" s="1" t="s">
        <v>661</v>
      </c>
      <c r="B150" s="1" t="n">
        <v>17633998</v>
      </c>
      <c r="C150" s="1" t="s">
        <v>474</v>
      </c>
      <c r="D150" s="1" t="s">
        <v>480</v>
      </c>
      <c r="E150" s="1" t="s">
        <v>662</v>
      </c>
      <c r="F150" s="1" t="s">
        <v>663</v>
      </c>
      <c r="G150" s="2" t="s">
        <v>28</v>
      </c>
      <c r="H150" s="1" t="n">
        <v>-1</v>
      </c>
      <c r="I150" s="1" t="n">
        <v>-1</v>
      </c>
      <c r="J150" s="1" t="n">
        <v>-1</v>
      </c>
      <c r="K150" s="1" t="n">
        <v>-1</v>
      </c>
      <c r="L150" s="2" t="n">
        <v>14413</v>
      </c>
      <c r="M150" s="1" t="s">
        <v>65</v>
      </c>
      <c r="N150" s="1" t="s">
        <v>105</v>
      </c>
      <c r="O150" s="5" t="n">
        <v>46200.2083333333</v>
      </c>
      <c r="P150" s="5" t="n">
        <v>46224.5597222222</v>
      </c>
      <c r="Q150" s="1" t="n">
        <v>57.2458</v>
      </c>
      <c r="R150" s="1" t="n">
        <v>-97.3333</v>
      </c>
      <c r="S150" s="1" t="s">
        <v>664</v>
      </c>
      <c r="T150" s="1" t="n">
        <v>2026</v>
      </c>
      <c r="U150" s="1" t="n">
        <v>2026</v>
      </c>
      <c r="V150" s="5" t="n">
        <v>46215.03125</v>
      </c>
      <c r="W150" s="6" t="n">
        <v>46387.9999999884</v>
      </c>
    </row>
    <row r="151" customFormat="false" ht="12.75" hidden="false" customHeight="false" outlineLevel="0" collapsed="false">
      <c r="A151" s="1" t="s">
        <v>665</v>
      </c>
      <c r="B151" s="1" t="n">
        <v>17633989</v>
      </c>
      <c r="C151" s="1" t="s">
        <v>474</v>
      </c>
      <c r="D151" s="1" t="s">
        <v>480</v>
      </c>
      <c r="E151" s="1" t="s">
        <v>666</v>
      </c>
      <c r="F151" s="1" t="s">
        <v>667</v>
      </c>
      <c r="G151" s="2" t="s">
        <v>28</v>
      </c>
      <c r="H151" s="1" t="n">
        <v>-1</v>
      </c>
      <c r="I151" s="1" t="n">
        <v>-1</v>
      </c>
      <c r="J151" s="1" t="n">
        <v>-1</v>
      </c>
      <c r="K151" s="1" t="n">
        <v>-1</v>
      </c>
      <c r="L151" s="2" t="n">
        <v>3535.3</v>
      </c>
      <c r="M151" s="1" t="s">
        <v>65</v>
      </c>
      <c r="N151" s="1" t="s">
        <v>105</v>
      </c>
      <c r="O151" s="5" t="n">
        <v>46200.2083333333</v>
      </c>
      <c r="P151" s="5" t="n">
        <v>46224.5597222222</v>
      </c>
      <c r="Q151" s="1" t="n">
        <v>56.7881</v>
      </c>
      <c r="R151" s="1" t="n">
        <v>-97.3411</v>
      </c>
      <c r="S151" s="1" t="s">
        <v>668</v>
      </c>
      <c r="T151" s="1" t="n">
        <v>2026</v>
      </c>
      <c r="U151" s="1" t="n">
        <v>2026</v>
      </c>
      <c r="V151" s="5" t="n">
        <v>46215.03125</v>
      </c>
      <c r="W151" s="6" t="n">
        <v>46387.9999999884</v>
      </c>
    </row>
    <row r="152" customFormat="false" ht="12.75" hidden="false" customHeight="false" outlineLevel="0" collapsed="false">
      <c r="A152" s="1" t="s">
        <v>669</v>
      </c>
      <c r="B152" s="1" t="n">
        <v>17633921</v>
      </c>
      <c r="C152" s="1" t="s">
        <v>474</v>
      </c>
      <c r="D152" s="1" t="s">
        <v>480</v>
      </c>
      <c r="E152" s="1" t="s">
        <v>670</v>
      </c>
      <c r="F152" s="1" t="s">
        <v>671</v>
      </c>
      <c r="G152" s="2" t="s">
        <v>28</v>
      </c>
      <c r="H152" s="1" t="n">
        <v>-1</v>
      </c>
      <c r="I152" s="1" t="n">
        <v>-1</v>
      </c>
      <c r="J152" s="1" t="n">
        <v>-1</v>
      </c>
      <c r="K152" s="1" t="n">
        <v>-1</v>
      </c>
      <c r="L152" s="2" t="n">
        <v>5393</v>
      </c>
      <c r="M152" s="1" t="s">
        <v>65</v>
      </c>
      <c r="N152" s="1" t="s">
        <v>105</v>
      </c>
      <c r="O152" s="5" t="n">
        <v>46197.2083333333</v>
      </c>
      <c r="P152" s="5" t="n">
        <v>46224.5590277778</v>
      </c>
      <c r="Q152" s="1" t="n">
        <v>57.3153</v>
      </c>
      <c r="R152" s="1" t="n">
        <v>-97.885</v>
      </c>
      <c r="S152" s="1" t="s">
        <v>672</v>
      </c>
      <c r="T152" s="1" t="n">
        <v>2026</v>
      </c>
      <c r="U152" s="1" t="n">
        <v>2026</v>
      </c>
      <c r="V152" s="5" t="n">
        <v>46215.03125</v>
      </c>
      <c r="W152" s="6" t="n">
        <v>46387.9999999884</v>
      </c>
    </row>
    <row r="153" customFormat="false" ht="12.75" hidden="false" customHeight="false" outlineLevel="0" collapsed="false">
      <c r="A153" s="1" t="s">
        <v>673</v>
      </c>
      <c r="B153" s="1" t="n">
        <v>17634039</v>
      </c>
      <c r="C153" s="1" t="s">
        <v>474</v>
      </c>
      <c r="D153" s="1" t="s">
        <v>480</v>
      </c>
      <c r="E153" s="1" t="s">
        <v>674</v>
      </c>
      <c r="F153" s="1" t="s">
        <v>675</v>
      </c>
      <c r="G153" s="2" t="s">
        <v>28</v>
      </c>
      <c r="H153" s="1" t="n">
        <v>-1</v>
      </c>
      <c r="I153" s="1" t="n">
        <v>-1</v>
      </c>
      <c r="J153" s="1" t="n">
        <v>-1</v>
      </c>
      <c r="K153" s="1" t="n">
        <v>-1</v>
      </c>
      <c r="L153" s="2" t="n">
        <v>3165.9</v>
      </c>
      <c r="M153" s="1" t="s">
        <v>65</v>
      </c>
      <c r="N153" s="1" t="s">
        <v>105</v>
      </c>
      <c r="O153" s="5" t="n">
        <v>46203.2083333333</v>
      </c>
      <c r="P153" s="5" t="n">
        <v>46224.5597222222</v>
      </c>
      <c r="Q153" s="1" t="n">
        <v>56.6078</v>
      </c>
      <c r="R153" s="1" t="n">
        <v>-97.8586</v>
      </c>
      <c r="S153" s="1" t="s">
        <v>676</v>
      </c>
      <c r="T153" s="1" t="n">
        <v>2026</v>
      </c>
      <c r="U153" s="1" t="n">
        <v>2026</v>
      </c>
      <c r="V153" s="5" t="n">
        <v>46215.03125</v>
      </c>
      <c r="W153" s="6" t="n">
        <v>46387.9999999884</v>
      </c>
    </row>
    <row r="154" customFormat="false" ht="12.75" hidden="false" customHeight="false" outlineLevel="0" collapsed="false">
      <c r="A154" s="1" t="s">
        <v>677</v>
      </c>
      <c r="B154" s="1" t="n">
        <v>17625457</v>
      </c>
      <c r="C154" s="1" t="s">
        <v>474</v>
      </c>
      <c r="D154" s="1" t="s">
        <v>480</v>
      </c>
      <c r="E154" s="1" t="s">
        <v>678</v>
      </c>
      <c r="F154" s="1" t="s">
        <v>679</v>
      </c>
      <c r="G154" s="2" t="s">
        <v>28</v>
      </c>
      <c r="H154" s="1" t="n">
        <v>-1</v>
      </c>
      <c r="I154" s="1" t="n">
        <v>-1</v>
      </c>
      <c r="J154" s="1" t="n">
        <v>-1</v>
      </c>
      <c r="K154" s="1" t="n">
        <v>-1</v>
      </c>
      <c r="L154" s="2" t="n">
        <v>11</v>
      </c>
      <c r="M154" s="1" t="s">
        <v>65</v>
      </c>
      <c r="N154" s="1" t="s">
        <v>105</v>
      </c>
      <c r="O154" s="5" t="n">
        <v>46199.2083333333</v>
      </c>
      <c r="P154" s="5" t="n">
        <v>46224.5597222222</v>
      </c>
      <c r="Q154" s="1" t="n">
        <v>57.205</v>
      </c>
      <c r="R154" s="1" t="n">
        <v>-100.8422</v>
      </c>
      <c r="S154" s="1" t="s">
        <v>680</v>
      </c>
      <c r="T154" s="1" t="n">
        <v>2026</v>
      </c>
      <c r="U154" s="1" t="n">
        <v>2026</v>
      </c>
      <c r="V154" s="5" t="n">
        <v>46214.9479166667</v>
      </c>
      <c r="W154" s="6" t="n">
        <v>46387.9999999884</v>
      </c>
    </row>
    <row r="155" customFormat="false" ht="12.75" hidden="false" customHeight="false" outlineLevel="0" collapsed="false">
      <c r="A155" s="1" t="s">
        <v>681</v>
      </c>
      <c r="B155" s="1" t="n">
        <v>17625420</v>
      </c>
      <c r="C155" s="1" t="s">
        <v>474</v>
      </c>
      <c r="D155" s="1" t="s">
        <v>480</v>
      </c>
      <c r="E155" s="1" t="s">
        <v>682</v>
      </c>
      <c r="F155" s="1" t="s">
        <v>683</v>
      </c>
      <c r="G155" s="2" t="s">
        <v>28</v>
      </c>
      <c r="H155" s="1" t="n">
        <v>-1</v>
      </c>
      <c r="I155" s="1" t="n">
        <v>-1</v>
      </c>
      <c r="J155" s="1" t="n">
        <v>-1</v>
      </c>
      <c r="K155" s="1" t="n">
        <v>-1</v>
      </c>
      <c r="L155" s="2" t="n">
        <v>1030</v>
      </c>
      <c r="M155" s="1" t="s">
        <v>65</v>
      </c>
      <c r="N155" s="1" t="s">
        <v>105</v>
      </c>
      <c r="O155" s="5" t="n">
        <v>46198.2083333333</v>
      </c>
      <c r="P155" s="5" t="n">
        <v>46224.5590277778</v>
      </c>
      <c r="Q155" s="1" t="n">
        <v>57.0961</v>
      </c>
      <c r="R155" s="1" t="n">
        <v>-101.5508</v>
      </c>
      <c r="S155" s="1" t="s">
        <v>684</v>
      </c>
      <c r="T155" s="1" t="n">
        <v>2026</v>
      </c>
      <c r="U155" s="1" t="n">
        <v>2026</v>
      </c>
      <c r="V155" s="5" t="n">
        <v>46214.9479166667</v>
      </c>
      <c r="W155" s="6" t="n">
        <v>46387.9999999884</v>
      </c>
    </row>
    <row r="156" customFormat="false" ht="12.75" hidden="false" customHeight="false" outlineLevel="0" collapsed="false">
      <c r="A156" s="1" t="s">
        <v>685</v>
      </c>
      <c r="B156" s="1" t="n">
        <v>17625520</v>
      </c>
      <c r="C156" s="1" t="s">
        <v>474</v>
      </c>
      <c r="D156" s="1" t="s">
        <v>480</v>
      </c>
      <c r="E156" s="1" t="s">
        <v>686</v>
      </c>
      <c r="F156" s="1" t="s">
        <v>687</v>
      </c>
      <c r="G156" s="2" t="s">
        <v>28</v>
      </c>
      <c r="H156" s="1" t="n">
        <v>-1</v>
      </c>
      <c r="I156" s="1" t="n">
        <v>-1</v>
      </c>
      <c r="J156" s="1" t="n">
        <v>-1</v>
      </c>
      <c r="K156" s="1" t="n">
        <v>-1</v>
      </c>
      <c r="L156" s="2" t="n">
        <v>803</v>
      </c>
      <c r="M156" s="1" t="s">
        <v>65</v>
      </c>
      <c r="N156" s="1" t="s">
        <v>105</v>
      </c>
      <c r="O156" s="5" t="n">
        <v>46202.2083333333</v>
      </c>
      <c r="P156" s="5" t="n">
        <v>46224.5597222222</v>
      </c>
      <c r="Q156" s="1" t="n">
        <v>57.7475</v>
      </c>
      <c r="R156" s="1" t="n">
        <v>-101.3756</v>
      </c>
      <c r="S156" s="1" t="s">
        <v>688</v>
      </c>
      <c r="T156" s="1" t="n">
        <v>2026</v>
      </c>
      <c r="U156" s="1" t="n">
        <v>2026</v>
      </c>
      <c r="V156" s="5" t="n">
        <v>46214.9479166667</v>
      </c>
      <c r="W156" s="6" t="n">
        <v>46387.9999999884</v>
      </c>
    </row>
    <row r="157" customFormat="false" ht="12.75" hidden="false" customHeight="false" outlineLevel="0" collapsed="false">
      <c r="A157" s="1" t="s">
        <v>689</v>
      </c>
      <c r="B157" s="1" t="n">
        <v>17625470</v>
      </c>
      <c r="C157" s="1" t="s">
        <v>474</v>
      </c>
      <c r="D157" s="1" t="s">
        <v>480</v>
      </c>
      <c r="E157" s="1" t="s">
        <v>690</v>
      </c>
      <c r="F157" s="1" t="s">
        <v>691</v>
      </c>
      <c r="G157" s="2" t="s">
        <v>28</v>
      </c>
      <c r="H157" s="1" t="n">
        <v>-1</v>
      </c>
      <c r="I157" s="1" t="n">
        <v>-1</v>
      </c>
      <c r="J157" s="1" t="n">
        <v>-1</v>
      </c>
      <c r="K157" s="1" t="n">
        <v>-1</v>
      </c>
      <c r="L157" s="2" t="n">
        <v>7044</v>
      </c>
      <c r="M157" s="1" t="s">
        <v>70</v>
      </c>
      <c r="N157" s="1" t="s">
        <v>105</v>
      </c>
      <c r="O157" s="5" t="n">
        <v>46199.2083333333</v>
      </c>
      <c r="P157" s="5" t="n">
        <v>46224.5597222222</v>
      </c>
      <c r="Q157" s="1" t="n">
        <v>56.8464</v>
      </c>
      <c r="R157" s="1" t="n">
        <v>-101.5064</v>
      </c>
      <c r="S157" s="1" t="s">
        <v>692</v>
      </c>
      <c r="T157" s="1" t="n">
        <v>2026</v>
      </c>
      <c r="U157" s="1" t="n">
        <v>2026</v>
      </c>
      <c r="V157" s="5" t="n">
        <v>46214.9479166667</v>
      </c>
      <c r="W157" s="6" t="n">
        <v>46387.9999999884</v>
      </c>
    </row>
    <row r="158" customFormat="false" ht="12.75" hidden="false" customHeight="false" outlineLevel="0" collapsed="false">
      <c r="A158" s="1" t="s">
        <v>693</v>
      </c>
      <c r="B158" s="1" t="n">
        <v>17625493</v>
      </c>
      <c r="C158" s="1" t="s">
        <v>474</v>
      </c>
      <c r="D158" s="1" t="s">
        <v>480</v>
      </c>
      <c r="E158" s="1" t="s">
        <v>694</v>
      </c>
      <c r="F158" s="1" t="s">
        <v>695</v>
      </c>
      <c r="G158" s="2" t="s">
        <v>28</v>
      </c>
      <c r="H158" s="1" t="n">
        <v>-1</v>
      </c>
      <c r="I158" s="1" t="n">
        <v>-1</v>
      </c>
      <c r="J158" s="1" t="n">
        <v>-1</v>
      </c>
      <c r="K158" s="1" t="n">
        <v>-1</v>
      </c>
      <c r="L158" s="2" t="n">
        <v>739</v>
      </c>
      <c r="M158" s="1" t="s">
        <v>65</v>
      </c>
      <c r="N158" s="1" t="s">
        <v>105</v>
      </c>
      <c r="O158" s="5" t="n">
        <v>46201.2083333333</v>
      </c>
      <c r="P158" s="5" t="n">
        <v>46224.5597222222</v>
      </c>
      <c r="Q158" s="1" t="n">
        <v>57.4158</v>
      </c>
      <c r="R158" s="1" t="n">
        <v>-101.425</v>
      </c>
      <c r="S158" s="1" t="s">
        <v>696</v>
      </c>
      <c r="T158" s="1" t="n">
        <v>2026</v>
      </c>
      <c r="U158" s="1" t="n">
        <v>2026</v>
      </c>
      <c r="V158" s="5" t="n">
        <v>46214.9479166667</v>
      </c>
      <c r="W158" s="6" t="n">
        <v>46387.9999999884</v>
      </c>
    </row>
    <row r="159" customFormat="false" ht="12.75" hidden="false" customHeight="false" outlineLevel="0" collapsed="false">
      <c r="A159" s="1" t="s">
        <v>697</v>
      </c>
      <c r="B159" s="1" t="n">
        <v>17625458</v>
      </c>
      <c r="C159" s="1" t="s">
        <v>474</v>
      </c>
      <c r="D159" s="1" t="s">
        <v>480</v>
      </c>
      <c r="E159" s="1" t="s">
        <v>698</v>
      </c>
      <c r="F159" s="1" t="s">
        <v>699</v>
      </c>
      <c r="G159" s="2" t="s">
        <v>28</v>
      </c>
      <c r="H159" s="1" t="n">
        <v>-1</v>
      </c>
      <c r="I159" s="1" t="n">
        <v>-1</v>
      </c>
      <c r="J159" s="1" t="n">
        <v>-1</v>
      </c>
      <c r="K159" s="1" t="n">
        <v>-1</v>
      </c>
      <c r="L159" s="2" t="n">
        <v>2972</v>
      </c>
      <c r="M159" s="1" t="s">
        <v>65</v>
      </c>
      <c r="N159" s="1" t="s">
        <v>105</v>
      </c>
      <c r="O159" s="5" t="n">
        <v>46199.2083333333</v>
      </c>
      <c r="P159" s="5" t="n">
        <v>46224.5597222222</v>
      </c>
      <c r="Q159" s="1" t="n">
        <v>57.2911</v>
      </c>
      <c r="R159" s="1" t="n">
        <v>-100.6442</v>
      </c>
      <c r="S159" s="1" t="s">
        <v>700</v>
      </c>
      <c r="T159" s="1" t="n">
        <v>2026</v>
      </c>
      <c r="U159" s="1" t="n">
        <v>2026</v>
      </c>
      <c r="V159" s="5" t="n">
        <v>46214.9479166667</v>
      </c>
      <c r="W159" s="6" t="n">
        <v>46387.9999999884</v>
      </c>
    </row>
    <row r="160" customFormat="false" ht="12.75" hidden="false" customHeight="false" outlineLevel="0" collapsed="false">
      <c r="A160" s="1" t="s">
        <v>701</v>
      </c>
      <c r="B160" s="1" t="n">
        <v>17625456</v>
      </c>
      <c r="C160" s="1" t="s">
        <v>474</v>
      </c>
      <c r="D160" s="1" t="s">
        <v>480</v>
      </c>
      <c r="E160" s="1" t="s">
        <v>702</v>
      </c>
      <c r="F160" s="1" t="s">
        <v>703</v>
      </c>
      <c r="G160" s="2" t="s">
        <v>28</v>
      </c>
      <c r="H160" s="1" t="n">
        <v>-1</v>
      </c>
      <c r="I160" s="1" t="n">
        <v>-1</v>
      </c>
      <c r="J160" s="1" t="n">
        <v>-1</v>
      </c>
      <c r="K160" s="1" t="n">
        <v>-1</v>
      </c>
      <c r="L160" s="2" t="n">
        <v>2455</v>
      </c>
      <c r="M160" s="1" t="s">
        <v>65</v>
      </c>
      <c r="N160" s="1" t="s">
        <v>105</v>
      </c>
      <c r="O160" s="5" t="n">
        <v>46199.2083333333</v>
      </c>
      <c r="P160" s="5" t="n">
        <v>46224.5597222222</v>
      </c>
      <c r="Q160" s="1" t="n">
        <v>56.7619</v>
      </c>
      <c r="R160" s="1" t="n">
        <v>-101.9297</v>
      </c>
      <c r="S160" s="1" t="s">
        <v>704</v>
      </c>
      <c r="T160" s="1" t="n">
        <v>2026</v>
      </c>
      <c r="U160" s="1" t="n">
        <v>2026</v>
      </c>
      <c r="V160" s="5" t="n">
        <v>46214.9479166667</v>
      </c>
      <c r="W160" s="6" t="n">
        <v>46387.9999999884</v>
      </c>
    </row>
    <row r="161" customFormat="false" ht="12.75" hidden="false" customHeight="false" outlineLevel="0" collapsed="false">
      <c r="A161" s="1" t="s">
        <v>705</v>
      </c>
      <c r="B161" s="1" t="n">
        <v>17625553</v>
      </c>
      <c r="C161" s="1" t="s">
        <v>474</v>
      </c>
      <c r="D161" s="1" t="s">
        <v>480</v>
      </c>
      <c r="E161" s="1" t="s">
        <v>706</v>
      </c>
      <c r="F161" s="1" t="s">
        <v>707</v>
      </c>
      <c r="G161" s="2" t="s">
        <v>28</v>
      </c>
      <c r="H161" s="1" t="n">
        <v>-1</v>
      </c>
      <c r="I161" s="1" t="n">
        <v>-1</v>
      </c>
      <c r="J161" s="1" t="n">
        <v>-1</v>
      </c>
      <c r="K161" s="1" t="n">
        <v>-1</v>
      </c>
      <c r="L161" s="2" t="n">
        <v>100</v>
      </c>
      <c r="M161" s="1" t="s">
        <v>65</v>
      </c>
      <c r="N161" s="1" t="s">
        <v>105</v>
      </c>
      <c r="O161" s="5" t="n">
        <v>46207.2083333333</v>
      </c>
      <c r="P161" s="5" t="n">
        <v>46224.5597222222</v>
      </c>
      <c r="Q161" s="1" t="n">
        <v>57.2547</v>
      </c>
      <c r="R161" s="1" t="n">
        <v>-100.9667</v>
      </c>
      <c r="S161" s="1" t="s">
        <v>708</v>
      </c>
      <c r="T161" s="1" t="n">
        <v>2026</v>
      </c>
      <c r="U161" s="1" t="n">
        <v>2026</v>
      </c>
      <c r="V161" s="5" t="n">
        <v>46214.9479166667</v>
      </c>
      <c r="W161" s="6" t="n">
        <v>46387.9999999884</v>
      </c>
    </row>
    <row r="162" customFormat="false" ht="12.75" hidden="false" customHeight="false" outlineLevel="0" collapsed="false">
      <c r="A162" s="1" t="s">
        <v>709</v>
      </c>
      <c r="B162" s="1" t="n">
        <v>17606889</v>
      </c>
      <c r="C162" s="1" t="s">
        <v>474</v>
      </c>
      <c r="D162" s="1" t="s">
        <v>480</v>
      </c>
      <c r="E162" s="1" t="s">
        <v>710</v>
      </c>
      <c r="F162" s="1" t="s">
        <v>711</v>
      </c>
      <c r="G162" s="2" t="s">
        <v>28</v>
      </c>
      <c r="H162" s="1" t="n">
        <v>-1</v>
      </c>
      <c r="I162" s="1" t="n">
        <v>-1</v>
      </c>
      <c r="J162" s="1" t="n">
        <v>-1</v>
      </c>
      <c r="K162" s="1" t="n">
        <v>-1</v>
      </c>
      <c r="L162" s="2" t="n">
        <v>1</v>
      </c>
      <c r="M162" s="1" t="s">
        <v>65</v>
      </c>
      <c r="N162" s="1" t="s">
        <v>105</v>
      </c>
      <c r="O162" s="5" t="n">
        <v>46213.2083333333</v>
      </c>
      <c r="P162" s="5" t="n">
        <v>46224.5597222222</v>
      </c>
      <c r="Q162" s="1" t="n">
        <v>57.9828</v>
      </c>
      <c r="R162" s="1" t="n">
        <v>-95.3511</v>
      </c>
      <c r="S162" s="1" t="s">
        <v>712</v>
      </c>
      <c r="T162" s="1" t="n">
        <v>2026</v>
      </c>
      <c r="U162" s="1" t="n">
        <v>2026</v>
      </c>
      <c r="V162" s="5" t="n">
        <v>46214.6979166667</v>
      </c>
      <c r="W162" s="6" t="n">
        <v>46387.9999999884</v>
      </c>
    </row>
    <row r="163" customFormat="false" ht="12.75" hidden="false" customHeight="false" outlineLevel="0" collapsed="false">
      <c r="A163" s="1" t="s">
        <v>713</v>
      </c>
      <c r="B163" s="1" t="n">
        <v>17606888</v>
      </c>
      <c r="C163" s="1" t="s">
        <v>474</v>
      </c>
      <c r="D163" s="1" t="s">
        <v>480</v>
      </c>
      <c r="E163" s="1" t="s">
        <v>714</v>
      </c>
      <c r="F163" s="1" t="s">
        <v>715</v>
      </c>
      <c r="G163" s="2" t="s">
        <v>28</v>
      </c>
      <c r="H163" s="1" t="n">
        <v>-1</v>
      </c>
      <c r="I163" s="1" t="n">
        <v>-1</v>
      </c>
      <c r="J163" s="1" t="n">
        <v>-1</v>
      </c>
      <c r="K163" s="1" t="n">
        <v>-1</v>
      </c>
      <c r="L163" s="2" t="n">
        <v>378</v>
      </c>
      <c r="M163" s="1" t="s">
        <v>65</v>
      </c>
      <c r="N163" s="1" t="s">
        <v>105</v>
      </c>
      <c r="O163" s="5" t="n">
        <v>46213.2083333333</v>
      </c>
      <c r="P163" s="5" t="n">
        <v>46224.5597222222</v>
      </c>
      <c r="Q163" s="1" t="n">
        <v>57.8975</v>
      </c>
      <c r="R163" s="1" t="n">
        <v>-94.3703</v>
      </c>
      <c r="S163" s="1" t="s">
        <v>716</v>
      </c>
      <c r="T163" s="1" t="n">
        <v>2026</v>
      </c>
      <c r="U163" s="1" t="n">
        <v>2026</v>
      </c>
      <c r="V163" s="5" t="n">
        <v>46214.6979166667</v>
      </c>
      <c r="W163" s="6" t="n">
        <v>46387.9999999884</v>
      </c>
    </row>
    <row r="164" customFormat="false" ht="12.75" hidden="false" customHeight="false" outlineLevel="0" collapsed="false">
      <c r="A164" s="1" t="s">
        <v>717</v>
      </c>
      <c r="B164" s="1" t="n">
        <v>17603733</v>
      </c>
      <c r="C164" s="1" t="s">
        <v>474</v>
      </c>
      <c r="D164" s="1" t="s">
        <v>480</v>
      </c>
      <c r="E164" s="1" t="s">
        <v>718</v>
      </c>
      <c r="F164" s="1" t="s">
        <v>719</v>
      </c>
      <c r="G164" s="2" t="s">
        <v>28</v>
      </c>
      <c r="H164" s="1" t="n">
        <v>-1</v>
      </c>
      <c r="I164" s="1" t="n">
        <v>-1</v>
      </c>
      <c r="J164" s="1" t="n">
        <v>-1</v>
      </c>
      <c r="K164" s="1" t="n">
        <v>-1</v>
      </c>
      <c r="L164" s="2" t="n">
        <v>16</v>
      </c>
      <c r="M164" s="1" t="s">
        <v>65</v>
      </c>
      <c r="N164" s="1" t="s">
        <v>105</v>
      </c>
      <c r="O164" s="5" t="n">
        <v>46213.2083333333</v>
      </c>
      <c r="P164" s="5" t="n">
        <v>46224.5597222222</v>
      </c>
      <c r="Q164" s="1" t="n">
        <v>58.4236</v>
      </c>
      <c r="R164" s="1" t="n">
        <v>-98.9256</v>
      </c>
      <c r="S164" s="1" t="s">
        <v>720</v>
      </c>
      <c r="T164" s="1" t="n">
        <v>2026</v>
      </c>
      <c r="U164" s="1" t="n">
        <v>2026</v>
      </c>
      <c r="V164" s="5" t="n">
        <v>46214.65625</v>
      </c>
      <c r="W164" s="6" t="n">
        <v>46387.9999999884</v>
      </c>
    </row>
    <row r="165" customFormat="false" ht="12.75" hidden="false" customHeight="false" outlineLevel="0" collapsed="false">
      <c r="A165" s="1" t="s">
        <v>721</v>
      </c>
      <c r="B165" s="1" t="n">
        <v>17603732</v>
      </c>
      <c r="C165" s="1" t="s">
        <v>474</v>
      </c>
      <c r="D165" s="1" t="s">
        <v>480</v>
      </c>
      <c r="E165" s="1" t="s">
        <v>722</v>
      </c>
      <c r="F165" s="1" t="s">
        <v>723</v>
      </c>
      <c r="G165" s="2" t="s">
        <v>28</v>
      </c>
      <c r="H165" s="1" t="n">
        <v>-1</v>
      </c>
      <c r="I165" s="1" t="n">
        <v>-1</v>
      </c>
      <c r="J165" s="1" t="n">
        <v>-1</v>
      </c>
      <c r="K165" s="1" t="n">
        <v>-1</v>
      </c>
      <c r="L165" s="2" t="n">
        <v>229</v>
      </c>
      <c r="M165" s="1" t="s">
        <v>65</v>
      </c>
      <c r="N165" s="1" t="s">
        <v>105</v>
      </c>
      <c r="O165" s="5" t="n">
        <v>46213.2083333333</v>
      </c>
      <c r="P165" s="5" t="n">
        <v>46224.5597222222</v>
      </c>
      <c r="Q165" s="1" t="n">
        <v>58.4025</v>
      </c>
      <c r="R165" s="1" t="n">
        <v>-98.9528</v>
      </c>
      <c r="S165" s="1" t="s">
        <v>724</v>
      </c>
      <c r="T165" s="1" t="n">
        <v>2026</v>
      </c>
      <c r="U165" s="1" t="n">
        <v>2026</v>
      </c>
      <c r="V165" s="5" t="n">
        <v>46214.65625</v>
      </c>
      <c r="W165" s="6" t="n">
        <v>46387.9999999884</v>
      </c>
    </row>
    <row r="166" customFormat="false" ht="12.75" hidden="false" customHeight="false" outlineLevel="0" collapsed="false">
      <c r="A166" s="1" t="s">
        <v>725</v>
      </c>
      <c r="B166" s="1" t="n">
        <v>17555661</v>
      </c>
      <c r="C166" s="1" t="s">
        <v>474</v>
      </c>
      <c r="D166" s="1" t="s">
        <v>480</v>
      </c>
      <c r="E166" s="1" t="s">
        <v>726</v>
      </c>
      <c r="F166" s="1" t="s">
        <v>727</v>
      </c>
      <c r="G166" s="2" t="s">
        <v>28</v>
      </c>
      <c r="H166" s="1" t="n">
        <v>-1</v>
      </c>
      <c r="I166" s="1" t="n">
        <v>-1</v>
      </c>
      <c r="J166" s="1" t="n">
        <v>-1</v>
      </c>
      <c r="K166" s="1" t="n">
        <v>-1</v>
      </c>
      <c r="L166" s="2" t="n">
        <v>3</v>
      </c>
      <c r="M166" s="1" t="s">
        <v>65</v>
      </c>
      <c r="N166" s="1" t="s">
        <v>105</v>
      </c>
      <c r="O166" s="5" t="n">
        <v>46213.2083333333</v>
      </c>
      <c r="P166" s="5" t="n">
        <v>46224.5597222222</v>
      </c>
      <c r="Q166" s="1" t="n">
        <v>56.5625</v>
      </c>
      <c r="R166" s="1" t="n">
        <v>-93.4906</v>
      </c>
      <c r="S166" s="1" t="s">
        <v>728</v>
      </c>
      <c r="T166" s="1" t="n">
        <v>2026</v>
      </c>
      <c r="U166" s="1" t="n">
        <v>2026</v>
      </c>
      <c r="V166" s="5" t="n">
        <v>46214.03125</v>
      </c>
      <c r="W166" s="6" t="n">
        <v>46387.9999999884</v>
      </c>
    </row>
    <row r="167" customFormat="false" ht="12.75" hidden="false" customHeight="false" outlineLevel="0" collapsed="false">
      <c r="A167" s="1" t="s">
        <v>729</v>
      </c>
      <c r="B167" s="1" t="n">
        <v>17546907</v>
      </c>
      <c r="C167" s="1" t="s">
        <v>474</v>
      </c>
      <c r="D167" s="1" t="s">
        <v>480</v>
      </c>
      <c r="E167" s="1" t="s">
        <v>730</v>
      </c>
      <c r="F167" s="1" t="s">
        <v>731</v>
      </c>
      <c r="G167" s="2" t="s">
        <v>28</v>
      </c>
      <c r="H167" s="1" t="n">
        <v>-1</v>
      </c>
      <c r="I167" s="1" t="n">
        <v>-1</v>
      </c>
      <c r="J167" s="1" t="n">
        <v>-1</v>
      </c>
      <c r="K167" s="1" t="n">
        <v>-1</v>
      </c>
      <c r="L167" s="2" t="n">
        <v>768.8</v>
      </c>
      <c r="M167" s="1" t="s">
        <v>65</v>
      </c>
      <c r="N167" s="1" t="s">
        <v>105</v>
      </c>
      <c r="O167" s="5" t="n">
        <v>46200.2083333333</v>
      </c>
      <c r="P167" s="5" t="n">
        <v>46224.5597222222</v>
      </c>
      <c r="Q167" s="1" t="n">
        <v>56.6183</v>
      </c>
      <c r="R167" s="1" t="n">
        <v>-98.7581</v>
      </c>
      <c r="S167" s="1" t="s">
        <v>732</v>
      </c>
      <c r="T167" s="1" t="n">
        <v>2026</v>
      </c>
      <c r="U167" s="1" t="n">
        <v>2026</v>
      </c>
      <c r="V167" s="5" t="n">
        <v>46213.90625</v>
      </c>
      <c r="W167" s="6" t="n">
        <v>46387.9999999884</v>
      </c>
    </row>
    <row r="168" customFormat="false" ht="12.75" hidden="false" customHeight="false" outlineLevel="0" collapsed="false">
      <c r="A168" s="1" t="s">
        <v>733</v>
      </c>
      <c r="B168" s="1" t="n">
        <v>17546915</v>
      </c>
      <c r="C168" s="1" t="s">
        <v>474</v>
      </c>
      <c r="D168" s="1" t="s">
        <v>480</v>
      </c>
      <c r="E168" s="1" t="s">
        <v>734</v>
      </c>
      <c r="F168" s="1" t="s">
        <v>735</v>
      </c>
      <c r="G168" s="2" t="s">
        <v>28</v>
      </c>
      <c r="H168" s="1" t="n">
        <v>-1</v>
      </c>
      <c r="I168" s="1" t="n">
        <v>-1</v>
      </c>
      <c r="J168" s="1" t="n">
        <v>-1</v>
      </c>
      <c r="K168" s="1" t="n">
        <v>-1</v>
      </c>
      <c r="L168" s="2" t="n">
        <v>4310.3</v>
      </c>
      <c r="M168" s="1" t="s">
        <v>65</v>
      </c>
      <c r="N168" s="1" t="s">
        <v>105</v>
      </c>
      <c r="O168" s="5" t="n">
        <v>46200.2083333333</v>
      </c>
      <c r="P168" s="5" t="n">
        <v>46224.5597222222</v>
      </c>
      <c r="Q168" s="1" t="n">
        <v>57.1858</v>
      </c>
      <c r="R168" s="1" t="n">
        <v>-97.5425</v>
      </c>
      <c r="S168" s="1" t="s">
        <v>736</v>
      </c>
      <c r="T168" s="1" t="n">
        <v>2026</v>
      </c>
      <c r="U168" s="1" t="n">
        <v>2026</v>
      </c>
      <c r="V168" s="5" t="n">
        <v>46213.90625</v>
      </c>
      <c r="W168" s="6" t="n">
        <v>46387.9999999884</v>
      </c>
    </row>
    <row r="169" customFormat="false" ht="12.75" hidden="false" customHeight="false" outlineLevel="0" collapsed="false">
      <c r="A169" s="1" t="s">
        <v>737</v>
      </c>
      <c r="B169" s="1" t="n">
        <v>17530646</v>
      </c>
      <c r="C169" s="1" t="s">
        <v>474</v>
      </c>
      <c r="D169" s="1" t="s">
        <v>480</v>
      </c>
      <c r="E169" s="1" t="s">
        <v>738</v>
      </c>
      <c r="F169" s="1" t="s">
        <v>739</v>
      </c>
      <c r="G169" s="2" t="s">
        <v>28</v>
      </c>
      <c r="H169" s="1" t="n">
        <v>-1</v>
      </c>
      <c r="I169" s="1" t="n">
        <v>-1</v>
      </c>
      <c r="J169" s="1" t="n">
        <v>-1</v>
      </c>
      <c r="K169" s="1" t="n">
        <v>-1</v>
      </c>
      <c r="L169" s="2" t="n">
        <v>7300</v>
      </c>
      <c r="M169" s="1" t="s">
        <v>29</v>
      </c>
      <c r="N169" s="1" t="s">
        <v>37</v>
      </c>
      <c r="O169" s="5" t="n">
        <v>46197.2083333333</v>
      </c>
      <c r="P169" s="5" t="n">
        <v>46224.5590277778</v>
      </c>
      <c r="Q169" s="1" t="n">
        <v>55.6353</v>
      </c>
      <c r="R169" s="1" t="n">
        <v>-99.0464</v>
      </c>
      <c r="S169" s="1" t="s">
        <v>740</v>
      </c>
      <c r="T169" s="1" t="n">
        <v>2026</v>
      </c>
      <c r="U169" s="1" t="n">
        <v>2026</v>
      </c>
      <c r="V169" s="5" t="n">
        <v>46213.6979166667</v>
      </c>
      <c r="W169" s="6" t="n">
        <v>46387.9999999884</v>
      </c>
    </row>
    <row r="170" customFormat="false" ht="12.75" hidden="false" customHeight="false" outlineLevel="0" collapsed="false">
      <c r="A170" s="1" t="s">
        <v>741</v>
      </c>
      <c r="B170" s="1" t="n">
        <v>17524026</v>
      </c>
      <c r="C170" s="1" t="s">
        <v>474</v>
      </c>
      <c r="D170" s="1" t="s">
        <v>480</v>
      </c>
      <c r="E170" s="1" t="s">
        <v>742</v>
      </c>
      <c r="F170" s="1" t="s">
        <v>743</v>
      </c>
      <c r="G170" s="2" t="s">
        <v>28</v>
      </c>
      <c r="H170" s="1" t="n">
        <v>-1</v>
      </c>
      <c r="I170" s="1" t="n">
        <v>-1</v>
      </c>
      <c r="J170" s="1" t="n">
        <v>-1</v>
      </c>
      <c r="K170" s="1" t="n">
        <v>-1</v>
      </c>
      <c r="L170" s="2" t="n">
        <v>500</v>
      </c>
      <c r="M170" s="1" t="s">
        <v>29</v>
      </c>
      <c r="N170" s="1" t="s">
        <v>37</v>
      </c>
      <c r="O170" s="5" t="n">
        <v>46198.2083333333</v>
      </c>
      <c r="P170" s="5" t="n">
        <v>46224.5597222222</v>
      </c>
      <c r="Q170" s="1" t="n">
        <v>55.7425</v>
      </c>
      <c r="R170" s="1" t="n">
        <v>-99.1142</v>
      </c>
      <c r="S170" s="1" t="s">
        <v>744</v>
      </c>
      <c r="T170" s="1" t="n">
        <v>2026</v>
      </c>
      <c r="U170" s="1" t="n">
        <v>2026</v>
      </c>
      <c r="V170" s="5" t="n">
        <v>46213.6145833333</v>
      </c>
      <c r="W170" s="6" t="n">
        <v>46387.9999999884</v>
      </c>
    </row>
    <row r="171" customFormat="false" ht="12.75" hidden="false" customHeight="false" outlineLevel="0" collapsed="false">
      <c r="A171" s="1" t="s">
        <v>745</v>
      </c>
      <c r="B171" s="1" t="n">
        <v>17314225</v>
      </c>
      <c r="C171" s="1" t="s">
        <v>474</v>
      </c>
      <c r="D171" s="1" t="s">
        <v>480</v>
      </c>
      <c r="E171" s="1" t="s">
        <v>746</v>
      </c>
      <c r="F171" s="1" t="s">
        <v>747</v>
      </c>
      <c r="G171" s="2" t="s">
        <v>28</v>
      </c>
      <c r="H171" s="1" t="n">
        <v>-1</v>
      </c>
      <c r="I171" s="1" t="n">
        <v>-1</v>
      </c>
      <c r="J171" s="1" t="n">
        <v>-1</v>
      </c>
      <c r="K171" s="1" t="n">
        <v>-1</v>
      </c>
      <c r="L171" s="2" t="n">
        <v>710.3</v>
      </c>
      <c r="M171" s="1" t="s">
        <v>70</v>
      </c>
      <c r="N171" s="1" t="s">
        <v>105</v>
      </c>
      <c r="O171" s="5" t="n">
        <v>46198.2083333333</v>
      </c>
      <c r="P171" s="5" t="n">
        <v>46224.5597222222</v>
      </c>
      <c r="Q171" s="1" t="n">
        <v>57.0656</v>
      </c>
      <c r="R171" s="1" t="n">
        <v>-100.7153</v>
      </c>
      <c r="S171" s="1" t="s">
        <v>748</v>
      </c>
      <c r="T171" s="1" t="n">
        <v>2026</v>
      </c>
      <c r="U171" s="1" t="n">
        <v>2026</v>
      </c>
      <c r="V171" s="5" t="n">
        <v>46210.6979166667</v>
      </c>
      <c r="W171" s="6" t="n">
        <v>46387.9999999884</v>
      </c>
    </row>
    <row r="172" customFormat="false" ht="12.75" hidden="false" customHeight="false" outlineLevel="0" collapsed="false">
      <c r="A172" s="1" t="s">
        <v>749</v>
      </c>
      <c r="B172" s="1" t="n">
        <v>17307536</v>
      </c>
      <c r="C172" s="1" t="s">
        <v>474</v>
      </c>
      <c r="D172" s="1" t="s">
        <v>480</v>
      </c>
      <c r="E172" s="1" t="s">
        <v>750</v>
      </c>
      <c r="F172" s="1" t="s">
        <v>751</v>
      </c>
      <c r="G172" s="2" t="s">
        <v>28</v>
      </c>
      <c r="H172" s="1" t="n">
        <v>-1</v>
      </c>
      <c r="I172" s="1" t="n">
        <v>-1</v>
      </c>
      <c r="J172" s="1" t="n">
        <v>-1</v>
      </c>
      <c r="K172" s="1" t="n">
        <v>-1</v>
      </c>
      <c r="L172" s="2" t="n">
        <v>4732.2</v>
      </c>
      <c r="M172" s="1" t="s">
        <v>65</v>
      </c>
      <c r="N172" s="1" t="s">
        <v>105</v>
      </c>
      <c r="O172" s="5" t="n">
        <v>46203.2083333333</v>
      </c>
      <c r="P172" s="5" t="n">
        <v>46224.5597222222</v>
      </c>
      <c r="Q172" s="1" t="n">
        <v>56.9306</v>
      </c>
      <c r="R172" s="1" t="n">
        <v>-95.2094</v>
      </c>
      <c r="S172" s="1" t="s">
        <v>752</v>
      </c>
      <c r="T172" s="1" t="n">
        <v>2026</v>
      </c>
      <c r="U172" s="1" t="n">
        <v>2026</v>
      </c>
      <c r="V172" s="5" t="n">
        <v>46210.6145833333</v>
      </c>
      <c r="W172" s="6" t="n">
        <v>46387.9999999884</v>
      </c>
    </row>
    <row r="173" customFormat="false" ht="12.75" hidden="false" customHeight="false" outlineLevel="0" collapsed="false">
      <c r="A173" s="1" t="s">
        <v>753</v>
      </c>
      <c r="B173" s="1" t="n">
        <v>17307434</v>
      </c>
      <c r="C173" s="1" t="s">
        <v>474</v>
      </c>
      <c r="D173" s="1" t="s">
        <v>480</v>
      </c>
      <c r="E173" s="1" t="s">
        <v>754</v>
      </c>
      <c r="F173" s="1" t="s">
        <v>755</v>
      </c>
      <c r="G173" s="2" t="s">
        <v>28</v>
      </c>
      <c r="H173" s="1" t="n">
        <v>-1</v>
      </c>
      <c r="I173" s="1" t="n">
        <v>-1</v>
      </c>
      <c r="J173" s="1" t="n">
        <v>-1</v>
      </c>
      <c r="K173" s="1" t="n">
        <v>-1</v>
      </c>
      <c r="L173" s="2" t="n">
        <v>327.1</v>
      </c>
      <c r="M173" s="1" t="s">
        <v>29</v>
      </c>
      <c r="N173" s="1" t="s">
        <v>37</v>
      </c>
      <c r="O173" s="5" t="n">
        <v>46200.2083333333</v>
      </c>
      <c r="P173" s="5" t="n">
        <v>46224.5597222222</v>
      </c>
      <c r="Q173" s="1" t="n">
        <v>56.4003</v>
      </c>
      <c r="R173" s="1" t="n">
        <v>-94.3119</v>
      </c>
      <c r="S173" s="1" t="s">
        <v>756</v>
      </c>
      <c r="T173" s="1" t="n">
        <v>2026</v>
      </c>
      <c r="U173" s="1" t="n">
        <v>2026</v>
      </c>
      <c r="V173" s="5" t="n">
        <v>46210.6145833333</v>
      </c>
      <c r="W173" s="6" t="n">
        <v>46387.9999999884</v>
      </c>
    </row>
    <row r="174" customFormat="false" ht="12.75" hidden="false" customHeight="false" outlineLevel="0" collapsed="false">
      <c r="A174" s="1" t="s">
        <v>757</v>
      </c>
      <c r="B174" s="1" t="n">
        <v>17256293</v>
      </c>
      <c r="C174" s="1" t="s">
        <v>474</v>
      </c>
      <c r="D174" s="1" t="s">
        <v>480</v>
      </c>
      <c r="E174" s="1" t="s">
        <v>758</v>
      </c>
      <c r="F174" s="1" t="s">
        <v>759</v>
      </c>
      <c r="G174" s="2" t="s">
        <v>28</v>
      </c>
      <c r="H174" s="1" t="n">
        <v>-1</v>
      </c>
      <c r="I174" s="1" t="n">
        <v>-1</v>
      </c>
      <c r="J174" s="1" t="n">
        <v>-1</v>
      </c>
      <c r="K174" s="1" t="n">
        <v>-1</v>
      </c>
      <c r="L174" s="2" t="n">
        <v>3</v>
      </c>
      <c r="M174" s="1" t="s">
        <v>65</v>
      </c>
      <c r="N174" s="1" t="s">
        <v>105</v>
      </c>
      <c r="O174" s="5" t="n">
        <v>46209.2083333333</v>
      </c>
      <c r="P174" s="5" t="n">
        <v>46224.5597222222</v>
      </c>
      <c r="Q174" s="1" t="n">
        <v>57.8358</v>
      </c>
      <c r="R174" s="1" t="n">
        <v>-94.1881</v>
      </c>
      <c r="S174" s="1" t="s">
        <v>760</v>
      </c>
      <c r="T174" s="1" t="n">
        <v>2026</v>
      </c>
      <c r="U174" s="1" t="n">
        <v>2026</v>
      </c>
      <c r="V174" s="5" t="n">
        <v>46209.90625</v>
      </c>
      <c r="W174" s="6" t="n">
        <v>46387.9999999884</v>
      </c>
    </row>
    <row r="175" customFormat="false" ht="12.75" hidden="false" customHeight="false" outlineLevel="0" collapsed="false">
      <c r="A175" s="1" t="s">
        <v>761</v>
      </c>
      <c r="B175" s="1" t="n">
        <v>17252791</v>
      </c>
      <c r="C175" s="1" t="s">
        <v>474</v>
      </c>
      <c r="D175" s="1" t="s">
        <v>480</v>
      </c>
      <c r="E175" s="1" t="s">
        <v>762</v>
      </c>
      <c r="F175" s="1" t="s">
        <v>763</v>
      </c>
      <c r="G175" s="2" t="s">
        <v>28</v>
      </c>
      <c r="H175" s="1" t="n">
        <v>-1</v>
      </c>
      <c r="I175" s="1" t="n">
        <v>-1</v>
      </c>
      <c r="J175" s="1" t="n">
        <v>-1</v>
      </c>
      <c r="K175" s="1" t="n">
        <v>-1</v>
      </c>
      <c r="L175" s="2" t="n">
        <v>27.7</v>
      </c>
      <c r="M175" s="1" t="s">
        <v>65</v>
      </c>
      <c r="N175" s="1" t="s">
        <v>105</v>
      </c>
      <c r="O175" s="5" t="n">
        <v>46209.2083333333</v>
      </c>
      <c r="P175" s="5" t="n">
        <v>46224.5597222222</v>
      </c>
      <c r="Q175" s="1" t="n">
        <v>57.0628</v>
      </c>
      <c r="R175" s="1" t="n">
        <v>-93.6097</v>
      </c>
      <c r="S175" s="1" t="s">
        <v>764</v>
      </c>
      <c r="T175" s="1" t="n">
        <v>2026</v>
      </c>
      <c r="U175" s="1" t="n">
        <v>2026</v>
      </c>
      <c r="V175" s="5" t="n">
        <v>46209.8645833333</v>
      </c>
      <c r="W175" s="6" t="n">
        <v>46387.9999999884</v>
      </c>
    </row>
    <row r="176" customFormat="false" ht="12.75" hidden="false" customHeight="false" outlineLevel="0" collapsed="false">
      <c r="A176" s="1" t="s">
        <v>765</v>
      </c>
      <c r="B176" s="1" t="n">
        <v>17192103</v>
      </c>
      <c r="C176" s="1" t="s">
        <v>474</v>
      </c>
      <c r="D176" s="1" t="s">
        <v>480</v>
      </c>
      <c r="E176" s="1" t="s">
        <v>766</v>
      </c>
      <c r="F176" s="1" t="s">
        <v>767</v>
      </c>
      <c r="G176" s="2" t="s">
        <v>28</v>
      </c>
      <c r="H176" s="1" t="n">
        <v>-1</v>
      </c>
      <c r="I176" s="1" t="n">
        <v>-1</v>
      </c>
      <c r="J176" s="1" t="n">
        <v>-1</v>
      </c>
      <c r="K176" s="1" t="n">
        <v>-1</v>
      </c>
      <c r="L176" s="2" t="n">
        <v>57</v>
      </c>
      <c r="M176" s="1" t="s">
        <v>65</v>
      </c>
      <c r="N176" s="1" t="s">
        <v>105</v>
      </c>
      <c r="O176" s="5" t="n">
        <v>46208.2083333333</v>
      </c>
      <c r="P176" s="5" t="n">
        <v>46224.5597222222</v>
      </c>
      <c r="Q176" s="1" t="n">
        <v>56.1669</v>
      </c>
      <c r="R176" s="1" t="n">
        <v>-91.5472</v>
      </c>
      <c r="S176" s="1" t="s">
        <v>768</v>
      </c>
      <c r="T176" s="1" t="n">
        <v>2026</v>
      </c>
      <c r="U176" s="1" t="n">
        <v>2026</v>
      </c>
      <c r="V176" s="5" t="n">
        <v>46208.9895833333</v>
      </c>
      <c r="W176" s="6" t="n">
        <v>46387.9999999884</v>
      </c>
    </row>
    <row r="177" customFormat="false" ht="12.75" hidden="false" customHeight="false" outlineLevel="0" collapsed="false">
      <c r="A177" s="1" t="s">
        <v>769</v>
      </c>
      <c r="B177" s="1" t="n">
        <v>17173440</v>
      </c>
      <c r="C177" s="1" t="s">
        <v>474</v>
      </c>
      <c r="D177" s="1" t="s">
        <v>480</v>
      </c>
      <c r="E177" s="1" t="s">
        <v>770</v>
      </c>
      <c r="F177" s="1" t="s">
        <v>771</v>
      </c>
      <c r="G177" s="2" t="s">
        <v>28</v>
      </c>
      <c r="H177" s="1" t="n">
        <v>-1</v>
      </c>
      <c r="I177" s="1" t="n">
        <v>-1</v>
      </c>
      <c r="J177" s="1" t="n">
        <v>-1</v>
      </c>
      <c r="K177" s="1" t="n">
        <v>-1</v>
      </c>
      <c r="L177" s="2" t="n">
        <v>5035.4</v>
      </c>
      <c r="M177" s="1" t="s">
        <v>65</v>
      </c>
      <c r="N177" s="1" t="s">
        <v>105</v>
      </c>
      <c r="O177" s="5" t="n">
        <v>46200.2083333333</v>
      </c>
      <c r="P177" s="5" t="n">
        <v>46224.5597222222</v>
      </c>
      <c r="Q177" s="1" t="n">
        <v>57.0203</v>
      </c>
      <c r="R177" s="1" t="n">
        <v>-93.7519</v>
      </c>
      <c r="S177" s="1" t="s">
        <v>772</v>
      </c>
      <c r="T177" s="1" t="n">
        <v>2026</v>
      </c>
      <c r="U177" s="1" t="n">
        <v>2026</v>
      </c>
      <c r="V177" s="5" t="n">
        <v>46208.7395833333</v>
      </c>
      <c r="W177" s="6" t="n">
        <v>46387.9999999884</v>
      </c>
    </row>
    <row r="178" customFormat="false" ht="12.75" hidden="false" customHeight="false" outlineLevel="0" collapsed="false">
      <c r="A178" s="1" t="s">
        <v>773</v>
      </c>
      <c r="B178" s="1" t="n">
        <v>17164384</v>
      </c>
      <c r="C178" s="1" t="s">
        <v>474</v>
      </c>
      <c r="D178" s="1" t="s">
        <v>480</v>
      </c>
      <c r="E178" s="1" t="s">
        <v>774</v>
      </c>
      <c r="F178" s="1" t="s">
        <v>775</v>
      </c>
      <c r="G178" s="2" t="s">
        <v>28</v>
      </c>
      <c r="H178" s="1" t="n">
        <v>-1</v>
      </c>
      <c r="I178" s="1" t="n">
        <v>-1</v>
      </c>
      <c r="J178" s="1" t="n">
        <v>-1</v>
      </c>
      <c r="K178" s="1" t="n">
        <v>-1</v>
      </c>
      <c r="L178" s="2" t="n">
        <v>4</v>
      </c>
      <c r="M178" s="1" t="s">
        <v>65</v>
      </c>
      <c r="N178" s="1" t="s">
        <v>105</v>
      </c>
      <c r="O178" s="5" t="n">
        <v>46207.2083333333</v>
      </c>
      <c r="P178" s="5" t="n">
        <v>46224.5597222222</v>
      </c>
      <c r="Q178" s="1" t="n">
        <v>56.3589</v>
      </c>
      <c r="R178" s="1" t="n">
        <v>-91.8189</v>
      </c>
      <c r="S178" s="1" t="s">
        <v>776</v>
      </c>
      <c r="T178" s="1" t="n">
        <v>2026</v>
      </c>
      <c r="U178" s="1" t="n">
        <v>2026</v>
      </c>
      <c r="V178" s="5" t="n">
        <v>46208.6145833333</v>
      </c>
      <c r="W178" s="6" t="n">
        <v>46387.9999999884</v>
      </c>
    </row>
    <row r="179" customFormat="false" ht="12.75" hidden="false" customHeight="false" outlineLevel="0" collapsed="false">
      <c r="A179" s="1" t="s">
        <v>777</v>
      </c>
      <c r="B179" s="1" t="n">
        <v>17164383</v>
      </c>
      <c r="C179" s="1" t="s">
        <v>474</v>
      </c>
      <c r="D179" s="1" t="s">
        <v>480</v>
      </c>
      <c r="E179" s="1" t="s">
        <v>778</v>
      </c>
      <c r="F179" s="1" t="s">
        <v>779</v>
      </c>
      <c r="G179" s="2" t="s">
        <v>28</v>
      </c>
      <c r="H179" s="1" t="n">
        <v>-1</v>
      </c>
      <c r="I179" s="1" t="n">
        <v>-1</v>
      </c>
      <c r="J179" s="1" t="n">
        <v>-1</v>
      </c>
      <c r="K179" s="1" t="n">
        <v>-1</v>
      </c>
      <c r="L179" s="2" t="n">
        <v>200</v>
      </c>
      <c r="M179" s="1" t="s">
        <v>65</v>
      </c>
      <c r="N179" s="1" t="s">
        <v>105</v>
      </c>
      <c r="O179" s="5" t="n">
        <v>46207.2083333333</v>
      </c>
      <c r="P179" s="5" t="n">
        <v>46224.5597222222</v>
      </c>
      <c r="Q179" s="1" t="n">
        <v>56.6392</v>
      </c>
      <c r="R179" s="1" t="n">
        <v>-92.8519</v>
      </c>
      <c r="S179" s="1" t="s">
        <v>780</v>
      </c>
      <c r="T179" s="1" t="n">
        <v>2026</v>
      </c>
      <c r="U179" s="1" t="n">
        <v>2026</v>
      </c>
      <c r="V179" s="5" t="n">
        <v>46208.6145833333</v>
      </c>
      <c r="W179" s="6" t="n">
        <v>46387.9999999884</v>
      </c>
    </row>
    <row r="180" customFormat="false" ht="12.75" hidden="false" customHeight="false" outlineLevel="0" collapsed="false">
      <c r="A180" s="1" t="s">
        <v>781</v>
      </c>
      <c r="B180" s="1" t="n">
        <v>17157828</v>
      </c>
      <c r="C180" s="1" t="s">
        <v>474</v>
      </c>
      <c r="D180" s="1" t="s">
        <v>480</v>
      </c>
      <c r="E180" s="1" t="s">
        <v>782</v>
      </c>
      <c r="F180" s="1" t="s">
        <v>783</v>
      </c>
      <c r="G180" s="2" t="s">
        <v>28</v>
      </c>
      <c r="H180" s="1" t="n">
        <v>-1</v>
      </c>
      <c r="I180" s="1" t="n">
        <v>-1</v>
      </c>
      <c r="J180" s="1" t="n">
        <v>-1</v>
      </c>
      <c r="K180" s="1" t="n">
        <v>-1</v>
      </c>
      <c r="L180" s="2" t="n">
        <v>2000</v>
      </c>
      <c r="M180" s="1" t="s">
        <v>65</v>
      </c>
      <c r="N180" s="1" t="s">
        <v>105</v>
      </c>
      <c r="O180" s="5" t="n">
        <v>46207.2083333333</v>
      </c>
      <c r="P180" s="5" t="n">
        <v>46224.5597222222</v>
      </c>
      <c r="Q180" s="1" t="n">
        <v>59.7639</v>
      </c>
      <c r="R180" s="1" t="n">
        <v>-101.9656</v>
      </c>
      <c r="S180" s="1" t="s">
        <v>784</v>
      </c>
      <c r="T180" s="1" t="n">
        <v>2026</v>
      </c>
      <c r="U180" s="1" t="n">
        <v>2026</v>
      </c>
      <c r="V180" s="5" t="n">
        <v>46208.53125</v>
      </c>
      <c r="W180" s="6" t="n">
        <v>46387.9999999884</v>
      </c>
    </row>
    <row r="181" customFormat="false" ht="12.75" hidden="false" customHeight="false" outlineLevel="0" collapsed="false">
      <c r="A181" s="1" t="s">
        <v>785</v>
      </c>
      <c r="B181" s="1" t="n">
        <v>17116555</v>
      </c>
      <c r="C181" s="1" t="s">
        <v>474</v>
      </c>
      <c r="D181" s="1" t="s">
        <v>480</v>
      </c>
      <c r="E181" s="1" t="s">
        <v>786</v>
      </c>
      <c r="F181" s="1" t="s">
        <v>787</v>
      </c>
      <c r="G181" s="2" t="s">
        <v>28</v>
      </c>
      <c r="H181" s="1" t="n">
        <v>-1</v>
      </c>
      <c r="I181" s="1" t="n">
        <v>-1</v>
      </c>
      <c r="J181" s="1" t="n">
        <v>-1</v>
      </c>
      <c r="K181" s="1" t="n">
        <v>-1</v>
      </c>
      <c r="L181" s="2" t="n">
        <v>3500</v>
      </c>
      <c r="M181" s="1" t="s">
        <v>65</v>
      </c>
      <c r="N181" s="1" t="s">
        <v>105</v>
      </c>
      <c r="O181" s="5" t="n">
        <v>46207.2083333333</v>
      </c>
      <c r="P181" s="5" t="n">
        <v>46224.5597222222</v>
      </c>
      <c r="Q181" s="1" t="n">
        <v>58.1719</v>
      </c>
      <c r="R181" s="1" t="n">
        <v>-101.9439</v>
      </c>
      <c r="S181" s="1" t="s">
        <v>788</v>
      </c>
      <c r="T181" s="1" t="n">
        <v>2026</v>
      </c>
      <c r="U181" s="1" t="n">
        <v>2026</v>
      </c>
      <c r="V181" s="5" t="n">
        <v>46207.9479166667</v>
      </c>
      <c r="W181" s="6" t="n">
        <v>46387.9999999884</v>
      </c>
    </row>
    <row r="182" customFormat="false" ht="12.75" hidden="false" customHeight="false" outlineLevel="0" collapsed="false">
      <c r="A182" s="1" t="s">
        <v>789</v>
      </c>
      <c r="B182" s="1" t="n">
        <v>17089017</v>
      </c>
      <c r="C182" s="1" t="s">
        <v>474</v>
      </c>
      <c r="D182" s="1" t="s">
        <v>480</v>
      </c>
      <c r="E182" s="1" t="s">
        <v>790</v>
      </c>
      <c r="F182" s="1" t="s">
        <v>791</v>
      </c>
      <c r="G182" s="2" t="s">
        <v>28</v>
      </c>
      <c r="H182" s="1" t="n">
        <v>-1</v>
      </c>
      <c r="I182" s="1" t="n">
        <v>-1</v>
      </c>
      <c r="J182" s="1" t="n">
        <v>-1</v>
      </c>
      <c r="K182" s="1" t="n">
        <v>-1</v>
      </c>
      <c r="L182" s="2" t="n">
        <v>850</v>
      </c>
      <c r="M182" s="1" t="s">
        <v>65</v>
      </c>
      <c r="N182" s="1" t="s">
        <v>105</v>
      </c>
      <c r="O182" s="5" t="n">
        <v>46206.2083333333</v>
      </c>
      <c r="P182" s="5" t="n">
        <v>46224.5597222222</v>
      </c>
      <c r="Q182" s="1" t="n">
        <v>59.6464</v>
      </c>
      <c r="R182" s="1" t="n">
        <v>-99.0414</v>
      </c>
      <c r="S182" s="1" t="s">
        <v>792</v>
      </c>
      <c r="T182" s="1" t="n">
        <v>2026</v>
      </c>
      <c r="U182" s="1" t="n">
        <v>2026</v>
      </c>
      <c r="V182" s="5" t="n">
        <v>46207.53125</v>
      </c>
      <c r="W182" s="6" t="n">
        <v>46387.9999999884</v>
      </c>
    </row>
    <row r="183" customFormat="false" ht="12.75" hidden="false" customHeight="false" outlineLevel="0" collapsed="false">
      <c r="A183" s="1" t="s">
        <v>793</v>
      </c>
      <c r="B183" s="1" t="n">
        <v>17088968</v>
      </c>
      <c r="C183" s="1" t="s">
        <v>474</v>
      </c>
      <c r="D183" s="1" t="s">
        <v>480</v>
      </c>
      <c r="E183" s="1" t="s">
        <v>794</v>
      </c>
      <c r="F183" s="1" t="s">
        <v>795</v>
      </c>
      <c r="G183" s="2" t="s">
        <v>28</v>
      </c>
      <c r="H183" s="1" t="n">
        <v>-1</v>
      </c>
      <c r="I183" s="1" t="n">
        <v>-1</v>
      </c>
      <c r="J183" s="1" t="n">
        <v>-1</v>
      </c>
      <c r="K183" s="1" t="n">
        <v>-1</v>
      </c>
      <c r="L183" s="2" t="n">
        <v>360</v>
      </c>
      <c r="M183" s="1" t="s">
        <v>65</v>
      </c>
      <c r="N183" s="1" t="s">
        <v>105</v>
      </c>
      <c r="O183" s="5" t="n">
        <v>46201.2083333333</v>
      </c>
      <c r="P183" s="5" t="n">
        <v>46224.5597222222</v>
      </c>
      <c r="Q183" s="1" t="n">
        <v>58.4294</v>
      </c>
      <c r="R183" s="1" t="n">
        <v>-97.2956</v>
      </c>
      <c r="S183" s="1" t="s">
        <v>796</v>
      </c>
      <c r="T183" s="1" t="n">
        <v>2026</v>
      </c>
      <c r="U183" s="1" t="n">
        <v>2026</v>
      </c>
      <c r="V183" s="5" t="n">
        <v>46207.53125</v>
      </c>
      <c r="W183" s="6" t="n">
        <v>46387.9999999884</v>
      </c>
    </row>
    <row r="184" customFormat="false" ht="12.75" hidden="false" customHeight="false" outlineLevel="0" collapsed="false">
      <c r="A184" s="1" t="s">
        <v>797</v>
      </c>
      <c r="B184" s="1" t="n">
        <v>17088902</v>
      </c>
      <c r="C184" s="1" t="s">
        <v>474</v>
      </c>
      <c r="D184" s="1" t="s">
        <v>480</v>
      </c>
      <c r="E184" s="1" t="s">
        <v>798</v>
      </c>
      <c r="F184" s="1" t="s">
        <v>799</v>
      </c>
      <c r="G184" s="2" t="s">
        <v>28</v>
      </c>
      <c r="H184" s="1" t="n">
        <v>-1</v>
      </c>
      <c r="I184" s="1" t="n">
        <v>-1</v>
      </c>
      <c r="J184" s="1" t="n">
        <v>-1</v>
      </c>
      <c r="K184" s="1" t="n">
        <v>-1</v>
      </c>
      <c r="L184" s="2" t="n">
        <v>212.5</v>
      </c>
      <c r="M184" s="1" t="s">
        <v>29</v>
      </c>
      <c r="N184" s="1" t="s">
        <v>30</v>
      </c>
      <c r="O184" s="5" t="n">
        <v>46198.2083333333</v>
      </c>
      <c r="P184" s="5" t="n">
        <v>46224.5597222222</v>
      </c>
      <c r="Q184" s="1" t="n">
        <v>58.9758</v>
      </c>
      <c r="R184" s="1" t="n">
        <v>-99.9819</v>
      </c>
      <c r="S184" s="1" t="s">
        <v>800</v>
      </c>
      <c r="T184" s="1" t="n">
        <v>2026</v>
      </c>
      <c r="U184" s="1" t="n">
        <v>2026</v>
      </c>
      <c r="V184" s="5" t="n">
        <v>46207.53125</v>
      </c>
      <c r="W184" s="6" t="n">
        <v>46387.9999999884</v>
      </c>
    </row>
    <row r="185" customFormat="false" ht="12.75" hidden="false" customHeight="false" outlineLevel="0" collapsed="false">
      <c r="A185" s="1" t="s">
        <v>801</v>
      </c>
      <c r="B185" s="1" t="n">
        <v>17089002</v>
      </c>
      <c r="C185" s="1" t="s">
        <v>474</v>
      </c>
      <c r="D185" s="1" t="s">
        <v>480</v>
      </c>
      <c r="E185" s="1" t="s">
        <v>802</v>
      </c>
      <c r="F185" s="1" t="s">
        <v>803</v>
      </c>
      <c r="G185" s="2" t="s">
        <v>28</v>
      </c>
      <c r="H185" s="1" t="n">
        <v>-1</v>
      </c>
      <c r="I185" s="1" t="n">
        <v>-1</v>
      </c>
      <c r="J185" s="1" t="n">
        <v>-1</v>
      </c>
      <c r="K185" s="1" t="n">
        <v>-1</v>
      </c>
      <c r="L185" s="2" t="n">
        <v>1124</v>
      </c>
      <c r="M185" s="1" t="s">
        <v>65</v>
      </c>
      <c r="N185" s="1" t="s">
        <v>105</v>
      </c>
      <c r="O185" s="5" t="n">
        <v>46204.2083333333</v>
      </c>
      <c r="P185" s="5" t="n">
        <v>46224.5597222222</v>
      </c>
      <c r="Q185" s="1" t="n">
        <v>57.8792</v>
      </c>
      <c r="R185" s="1" t="n">
        <v>-100.2264</v>
      </c>
      <c r="S185" s="1" t="s">
        <v>804</v>
      </c>
      <c r="T185" s="1" t="n">
        <v>2026</v>
      </c>
      <c r="U185" s="1" t="n">
        <v>2026</v>
      </c>
      <c r="V185" s="5" t="n">
        <v>46207.53125</v>
      </c>
      <c r="W185" s="6" t="n">
        <v>46387.9999999884</v>
      </c>
    </row>
    <row r="186" customFormat="false" ht="12.75" hidden="false" customHeight="false" outlineLevel="0" collapsed="false">
      <c r="A186" s="1" t="s">
        <v>805</v>
      </c>
      <c r="B186" s="1" t="n">
        <v>17089013</v>
      </c>
      <c r="C186" s="1" t="s">
        <v>474</v>
      </c>
      <c r="D186" s="1" t="s">
        <v>480</v>
      </c>
      <c r="E186" s="1" t="s">
        <v>806</v>
      </c>
      <c r="F186" s="1" t="s">
        <v>807</v>
      </c>
      <c r="G186" s="2" t="s">
        <v>28</v>
      </c>
      <c r="H186" s="1" t="n">
        <v>-1</v>
      </c>
      <c r="I186" s="1" t="n">
        <v>-1</v>
      </c>
      <c r="J186" s="1" t="n">
        <v>-1</v>
      </c>
      <c r="K186" s="1" t="n">
        <v>-1</v>
      </c>
      <c r="L186" s="2" t="n">
        <v>22</v>
      </c>
      <c r="M186" s="1" t="s">
        <v>65</v>
      </c>
      <c r="N186" s="1" t="s">
        <v>105</v>
      </c>
      <c r="O186" s="5" t="n">
        <v>46206.2083333333</v>
      </c>
      <c r="P186" s="5" t="n">
        <v>46224.5597222222</v>
      </c>
      <c r="Q186" s="1" t="n">
        <v>58.2581</v>
      </c>
      <c r="R186" s="1" t="n">
        <v>-96.2861</v>
      </c>
      <c r="S186" s="1" t="s">
        <v>808</v>
      </c>
      <c r="T186" s="1" t="n">
        <v>2026</v>
      </c>
      <c r="U186" s="1" t="n">
        <v>2026</v>
      </c>
      <c r="V186" s="5" t="n">
        <v>46207.53125</v>
      </c>
      <c r="W186" s="6" t="n">
        <v>46387.9999999884</v>
      </c>
    </row>
    <row r="187" customFormat="false" ht="12.75" hidden="false" customHeight="false" outlineLevel="0" collapsed="false">
      <c r="A187" s="1" t="s">
        <v>809</v>
      </c>
      <c r="B187" s="1" t="n">
        <v>17089016</v>
      </c>
      <c r="C187" s="1" t="s">
        <v>474</v>
      </c>
      <c r="D187" s="1" t="s">
        <v>480</v>
      </c>
      <c r="E187" s="1" t="s">
        <v>810</v>
      </c>
      <c r="F187" s="1" t="s">
        <v>811</v>
      </c>
      <c r="G187" s="2" t="s">
        <v>28</v>
      </c>
      <c r="H187" s="1" t="n">
        <v>-1</v>
      </c>
      <c r="I187" s="1" t="n">
        <v>-1</v>
      </c>
      <c r="J187" s="1" t="n">
        <v>-1</v>
      </c>
      <c r="K187" s="1" t="n">
        <v>-1</v>
      </c>
      <c r="L187" s="2" t="n">
        <v>50</v>
      </c>
      <c r="M187" s="1" t="s">
        <v>65</v>
      </c>
      <c r="N187" s="1" t="s">
        <v>105</v>
      </c>
      <c r="O187" s="5" t="n">
        <v>46206.2083333333</v>
      </c>
      <c r="P187" s="5" t="n">
        <v>46224.5597222222</v>
      </c>
      <c r="Q187" s="1" t="n">
        <v>57.4083</v>
      </c>
      <c r="R187" s="1" t="n">
        <v>-97.2681</v>
      </c>
      <c r="S187" s="1" t="s">
        <v>812</v>
      </c>
      <c r="T187" s="1" t="n">
        <v>2026</v>
      </c>
      <c r="U187" s="1" t="n">
        <v>2026</v>
      </c>
      <c r="V187" s="5" t="n">
        <v>46207.53125</v>
      </c>
      <c r="W187" s="6" t="n">
        <v>46387.9999999884</v>
      </c>
    </row>
    <row r="188" customFormat="false" ht="12.75" hidden="false" customHeight="false" outlineLevel="0" collapsed="false">
      <c r="A188" s="1" t="s">
        <v>813</v>
      </c>
      <c r="B188" s="1" t="n">
        <v>17089011</v>
      </c>
      <c r="C188" s="1" t="s">
        <v>474</v>
      </c>
      <c r="D188" s="1" t="s">
        <v>480</v>
      </c>
      <c r="E188" s="1" t="s">
        <v>814</v>
      </c>
      <c r="F188" s="1" t="s">
        <v>815</v>
      </c>
      <c r="G188" s="2" t="s">
        <v>28</v>
      </c>
      <c r="H188" s="1" t="n">
        <v>-1</v>
      </c>
      <c r="I188" s="1" t="n">
        <v>-1</v>
      </c>
      <c r="J188" s="1" t="n">
        <v>-1</v>
      </c>
      <c r="K188" s="1" t="n">
        <v>-1</v>
      </c>
      <c r="L188" s="2" t="n">
        <v>57.7</v>
      </c>
      <c r="M188" s="1" t="s">
        <v>65</v>
      </c>
      <c r="N188" s="1" t="s">
        <v>105</v>
      </c>
      <c r="O188" s="5" t="n">
        <v>46205.2083333333</v>
      </c>
      <c r="P188" s="5" t="n">
        <v>46224.5597222222</v>
      </c>
      <c r="Q188" s="1" t="n">
        <v>57.6369</v>
      </c>
      <c r="R188" s="1" t="n">
        <v>-100.5331</v>
      </c>
      <c r="S188" s="1" t="s">
        <v>816</v>
      </c>
      <c r="T188" s="1" t="n">
        <v>2026</v>
      </c>
      <c r="U188" s="1" t="n">
        <v>2026</v>
      </c>
      <c r="V188" s="5" t="n">
        <v>46207.53125</v>
      </c>
      <c r="W188" s="6" t="n">
        <v>46387.9999999884</v>
      </c>
    </row>
    <row r="189" customFormat="false" ht="12.75" hidden="false" customHeight="false" outlineLevel="0" collapsed="false">
      <c r="A189" s="1" t="s">
        <v>817</v>
      </c>
      <c r="B189" s="1" t="n">
        <v>17088969</v>
      </c>
      <c r="C189" s="1" t="s">
        <v>474</v>
      </c>
      <c r="D189" s="1" t="s">
        <v>480</v>
      </c>
      <c r="E189" s="1" t="s">
        <v>818</v>
      </c>
      <c r="F189" s="1" t="s">
        <v>819</v>
      </c>
      <c r="G189" s="2" t="s">
        <v>28</v>
      </c>
      <c r="H189" s="1" t="n">
        <v>-1</v>
      </c>
      <c r="I189" s="1" t="n">
        <v>-1</v>
      </c>
      <c r="J189" s="1" t="n">
        <v>-1</v>
      </c>
      <c r="K189" s="1" t="n">
        <v>-1</v>
      </c>
      <c r="L189" s="2" t="n">
        <v>475</v>
      </c>
      <c r="M189" s="1" t="s">
        <v>65</v>
      </c>
      <c r="N189" s="1" t="s">
        <v>105</v>
      </c>
      <c r="O189" s="5" t="n">
        <v>46201.2083333333</v>
      </c>
      <c r="P189" s="5" t="n">
        <v>46224.5597222222</v>
      </c>
      <c r="Q189" s="1" t="n">
        <v>57.7869</v>
      </c>
      <c r="R189" s="1" t="n">
        <v>-100.1108</v>
      </c>
      <c r="S189" s="1" t="s">
        <v>820</v>
      </c>
      <c r="T189" s="1" t="n">
        <v>2026</v>
      </c>
      <c r="U189" s="1" t="n">
        <v>2026</v>
      </c>
      <c r="V189" s="5" t="n">
        <v>46207.53125</v>
      </c>
      <c r="W189" s="6" t="n">
        <v>46387.9999999884</v>
      </c>
    </row>
    <row r="190" customFormat="false" ht="12.75" hidden="false" customHeight="false" outlineLevel="0" collapsed="false">
      <c r="A190" s="1" t="s">
        <v>821</v>
      </c>
      <c r="B190" s="1" t="n">
        <v>17022827</v>
      </c>
      <c r="C190" s="1" t="s">
        <v>474</v>
      </c>
      <c r="D190" s="1" t="s">
        <v>480</v>
      </c>
      <c r="E190" s="1" t="s">
        <v>822</v>
      </c>
      <c r="F190" s="1" t="s">
        <v>823</v>
      </c>
      <c r="G190" s="2" t="s">
        <v>28</v>
      </c>
      <c r="H190" s="1" t="n">
        <v>-1</v>
      </c>
      <c r="I190" s="1" t="n">
        <v>-1</v>
      </c>
      <c r="J190" s="1" t="n">
        <v>-1</v>
      </c>
      <c r="K190" s="1" t="n">
        <v>-1</v>
      </c>
      <c r="L190" s="2" t="n">
        <v>18</v>
      </c>
      <c r="M190" s="1" t="s">
        <v>65</v>
      </c>
      <c r="N190" s="1" t="s">
        <v>105</v>
      </c>
      <c r="O190" s="5" t="n">
        <v>46206.2083333333</v>
      </c>
      <c r="P190" s="5" t="n">
        <v>46224.5597222222</v>
      </c>
      <c r="Q190" s="1" t="n">
        <v>57.3253</v>
      </c>
      <c r="R190" s="1" t="n">
        <v>-95.7256</v>
      </c>
      <c r="S190" s="1" t="s">
        <v>824</v>
      </c>
      <c r="T190" s="1" t="n">
        <v>2026</v>
      </c>
      <c r="U190" s="1" t="n">
        <v>2026</v>
      </c>
      <c r="V190" s="5" t="n">
        <v>46206.6145833333</v>
      </c>
      <c r="W190" s="6" t="n">
        <v>46387.9999999884</v>
      </c>
    </row>
    <row r="191" customFormat="false" ht="12.75" hidden="false" customHeight="false" outlineLevel="0" collapsed="false">
      <c r="A191" s="1" t="s">
        <v>825</v>
      </c>
      <c r="B191" s="1" t="n">
        <v>17022828</v>
      </c>
      <c r="C191" s="1" t="s">
        <v>474</v>
      </c>
      <c r="D191" s="1" t="s">
        <v>480</v>
      </c>
      <c r="E191" s="1" t="s">
        <v>826</v>
      </c>
      <c r="F191" s="1" t="s">
        <v>827</v>
      </c>
      <c r="G191" s="2" t="s">
        <v>28</v>
      </c>
      <c r="H191" s="1" t="n">
        <v>-1</v>
      </c>
      <c r="I191" s="1" t="n">
        <v>-1</v>
      </c>
      <c r="J191" s="1" t="n">
        <v>-1</v>
      </c>
      <c r="K191" s="1" t="n">
        <v>-1</v>
      </c>
      <c r="L191" s="2" t="n">
        <v>10</v>
      </c>
      <c r="M191" s="1" t="s">
        <v>65</v>
      </c>
      <c r="N191" s="1" t="s">
        <v>105</v>
      </c>
      <c r="O191" s="5" t="n">
        <v>46206.2083333333</v>
      </c>
      <c r="P191" s="5" t="n">
        <v>46224.5597222222</v>
      </c>
      <c r="Q191" s="1" t="n">
        <v>56.5672</v>
      </c>
      <c r="R191" s="1" t="n">
        <v>-91.8433</v>
      </c>
      <c r="S191" s="1" t="s">
        <v>828</v>
      </c>
      <c r="T191" s="1" t="n">
        <v>2026</v>
      </c>
      <c r="U191" s="1" t="n">
        <v>2026</v>
      </c>
      <c r="V191" s="5" t="n">
        <v>46206.6145833333</v>
      </c>
      <c r="W191" s="6" t="n">
        <v>46387.9999999884</v>
      </c>
    </row>
    <row r="192" customFormat="false" ht="12.75" hidden="false" customHeight="false" outlineLevel="0" collapsed="false">
      <c r="A192" s="1" t="s">
        <v>829</v>
      </c>
      <c r="B192" s="1" t="n">
        <v>16984100</v>
      </c>
      <c r="C192" s="1" t="s">
        <v>474</v>
      </c>
      <c r="D192" s="1" t="s">
        <v>480</v>
      </c>
      <c r="E192" s="1" t="s">
        <v>830</v>
      </c>
      <c r="F192" s="1" t="s">
        <v>831</v>
      </c>
      <c r="G192" s="2" t="s">
        <v>28</v>
      </c>
      <c r="H192" s="1" t="n">
        <v>-1</v>
      </c>
      <c r="I192" s="1" t="n">
        <v>-1</v>
      </c>
      <c r="J192" s="1" t="n">
        <v>-1</v>
      </c>
      <c r="K192" s="1" t="n">
        <v>-1</v>
      </c>
      <c r="L192" s="2" t="n">
        <v>26</v>
      </c>
      <c r="M192" s="1" t="s">
        <v>65</v>
      </c>
      <c r="N192" s="1" t="s">
        <v>105</v>
      </c>
      <c r="O192" s="5" t="n">
        <v>46205.2083333333</v>
      </c>
      <c r="P192" s="5" t="n">
        <v>46224.5597222222</v>
      </c>
      <c r="Q192" s="1" t="n">
        <v>57.3278</v>
      </c>
      <c r="R192" s="1" t="n">
        <v>-99.4956</v>
      </c>
      <c r="S192" s="1" t="s">
        <v>832</v>
      </c>
      <c r="T192" s="1" t="n">
        <v>2026</v>
      </c>
      <c r="U192" s="1" t="n">
        <v>2026</v>
      </c>
      <c r="V192" s="5" t="n">
        <v>46206.03125</v>
      </c>
      <c r="W192" s="6" t="n">
        <v>46387.9999999884</v>
      </c>
    </row>
    <row r="193" customFormat="false" ht="12.75" hidden="false" customHeight="false" outlineLevel="0" collapsed="false">
      <c r="A193" s="1" t="s">
        <v>833</v>
      </c>
      <c r="B193" s="1" t="n">
        <v>16984012</v>
      </c>
      <c r="C193" s="1" t="s">
        <v>474</v>
      </c>
      <c r="D193" s="1" t="s">
        <v>480</v>
      </c>
      <c r="E193" s="1" t="s">
        <v>834</v>
      </c>
      <c r="F193" s="1" t="s">
        <v>835</v>
      </c>
      <c r="G193" s="2" t="s">
        <v>28</v>
      </c>
      <c r="H193" s="1" t="n">
        <v>-1</v>
      </c>
      <c r="I193" s="1" t="n">
        <v>-1</v>
      </c>
      <c r="J193" s="1" t="n">
        <v>-1</v>
      </c>
      <c r="K193" s="1" t="n">
        <v>-1</v>
      </c>
      <c r="L193" s="2" t="n">
        <v>3461.4</v>
      </c>
      <c r="M193" s="1" t="s">
        <v>65</v>
      </c>
      <c r="N193" s="1" t="s">
        <v>105</v>
      </c>
      <c r="O193" s="5" t="n">
        <v>46199.2083333333</v>
      </c>
      <c r="P193" s="5" t="n">
        <v>46224.5597222222</v>
      </c>
      <c r="Q193" s="1" t="n">
        <v>58.6919</v>
      </c>
      <c r="R193" s="1" t="n">
        <v>-100.9928</v>
      </c>
      <c r="S193" s="1" t="s">
        <v>836</v>
      </c>
      <c r="T193" s="1" t="n">
        <v>2026</v>
      </c>
      <c r="U193" s="1" t="n">
        <v>2026</v>
      </c>
      <c r="V193" s="5" t="n">
        <v>46206.03125</v>
      </c>
      <c r="W193" s="6" t="n">
        <v>46387.9999999884</v>
      </c>
    </row>
    <row r="194" customFormat="false" ht="12.75" hidden="false" customHeight="false" outlineLevel="0" collapsed="false">
      <c r="A194" s="1" t="s">
        <v>837</v>
      </c>
      <c r="B194" s="1" t="n">
        <v>16984011</v>
      </c>
      <c r="C194" s="1" t="s">
        <v>474</v>
      </c>
      <c r="D194" s="1" t="s">
        <v>480</v>
      </c>
      <c r="E194" s="1" t="s">
        <v>838</v>
      </c>
      <c r="F194" s="1" t="s">
        <v>839</v>
      </c>
      <c r="G194" s="2" t="s">
        <v>28</v>
      </c>
      <c r="H194" s="1" t="n">
        <v>-1</v>
      </c>
      <c r="I194" s="1" t="n">
        <v>-1</v>
      </c>
      <c r="J194" s="1" t="n">
        <v>-1</v>
      </c>
      <c r="K194" s="1" t="n">
        <v>-1</v>
      </c>
      <c r="L194" s="2" t="n">
        <v>1907.8</v>
      </c>
      <c r="M194" s="1" t="s">
        <v>70</v>
      </c>
      <c r="N194" s="1" t="s">
        <v>105</v>
      </c>
      <c r="O194" s="5" t="n">
        <v>46199.2083333333</v>
      </c>
      <c r="P194" s="5" t="n">
        <v>46224.5597222222</v>
      </c>
      <c r="Q194" s="1" t="n">
        <v>58.7597</v>
      </c>
      <c r="R194" s="1" t="n">
        <v>-101.4506</v>
      </c>
      <c r="S194" s="1" t="s">
        <v>840</v>
      </c>
      <c r="T194" s="1" t="n">
        <v>2026</v>
      </c>
      <c r="U194" s="1" t="n">
        <v>2026</v>
      </c>
      <c r="V194" s="5" t="n">
        <v>46206.03125</v>
      </c>
      <c r="W194" s="6" t="n">
        <v>46387.9999999884</v>
      </c>
    </row>
    <row r="195" customFormat="false" ht="12.75" hidden="false" customHeight="false" outlineLevel="0" collapsed="false">
      <c r="A195" s="1" t="s">
        <v>841</v>
      </c>
      <c r="B195" s="1" t="n">
        <v>16984028</v>
      </c>
      <c r="C195" s="1" t="s">
        <v>474</v>
      </c>
      <c r="D195" s="1" t="s">
        <v>480</v>
      </c>
      <c r="E195" s="1" t="s">
        <v>842</v>
      </c>
      <c r="F195" s="1" t="s">
        <v>843</v>
      </c>
      <c r="G195" s="2" t="s">
        <v>28</v>
      </c>
      <c r="H195" s="1" t="n">
        <v>-1</v>
      </c>
      <c r="I195" s="1" t="n">
        <v>-1</v>
      </c>
      <c r="J195" s="1" t="n">
        <v>-1</v>
      </c>
      <c r="K195" s="1" t="n">
        <v>-1</v>
      </c>
      <c r="L195" s="2" t="n">
        <v>11207.9</v>
      </c>
      <c r="M195" s="1" t="s">
        <v>65</v>
      </c>
      <c r="N195" s="1" t="s">
        <v>105</v>
      </c>
      <c r="O195" s="5" t="n">
        <v>46199.2083333333</v>
      </c>
      <c r="P195" s="5" t="n">
        <v>46224.5597222222</v>
      </c>
      <c r="Q195" s="1" t="n">
        <v>58.9736</v>
      </c>
      <c r="R195" s="1" t="n">
        <v>-101.5453</v>
      </c>
      <c r="S195" s="1" t="s">
        <v>844</v>
      </c>
      <c r="T195" s="1" t="n">
        <v>2026</v>
      </c>
      <c r="U195" s="1" t="n">
        <v>2026</v>
      </c>
      <c r="V195" s="5" t="n">
        <v>46206.03125</v>
      </c>
      <c r="W195" s="6" t="n">
        <v>46387.9999999884</v>
      </c>
    </row>
    <row r="196" customFormat="false" ht="12.75" hidden="false" customHeight="false" outlineLevel="0" collapsed="false">
      <c r="A196" s="1" t="s">
        <v>845</v>
      </c>
      <c r="B196" s="1" t="n">
        <v>16984101</v>
      </c>
      <c r="C196" s="1" t="s">
        <v>474</v>
      </c>
      <c r="D196" s="1" t="s">
        <v>480</v>
      </c>
      <c r="E196" s="1" t="s">
        <v>846</v>
      </c>
      <c r="F196" s="1" t="s">
        <v>847</v>
      </c>
      <c r="G196" s="2" t="s">
        <v>28</v>
      </c>
      <c r="H196" s="1" t="n">
        <v>-1</v>
      </c>
      <c r="I196" s="1" t="n">
        <v>-1</v>
      </c>
      <c r="J196" s="1" t="n">
        <v>-1</v>
      </c>
      <c r="K196" s="1" t="n">
        <v>-1</v>
      </c>
      <c r="L196" s="2" t="n">
        <v>5</v>
      </c>
      <c r="M196" s="1" t="s">
        <v>65</v>
      </c>
      <c r="N196" s="1" t="s">
        <v>105</v>
      </c>
      <c r="O196" s="5" t="n">
        <v>46205.2083333333</v>
      </c>
      <c r="P196" s="5" t="n">
        <v>46224.5597222222</v>
      </c>
      <c r="Q196" s="1" t="n">
        <v>57.5172</v>
      </c>
      <c r="R196" s="1" t="n">
        <v>-99.4953</v>
      </c>
      <c r="S196" s="1" t="s">
        <v>848</v>
      </c>
      <c r="T196" s="1" t="n">
        <v>2026</v>
      </c>
      <c r="U196" s="1" t="n">
        <v>2026</v>
      </c>
      <c r="V196" s="5" t="n">
        <v>46206.03125</v>
      </c>
      <c r="W196" s="6" t="n">
        <v>46387.9999999884</v>
      </c>
    </row>
    <row r="197" customFormat="false" ht="12.75" hidden="false" customHeight="false" outlineLevel="0" collapsed="false">
      <c r="A197" s="1" t="s">
        <v>849</v>
      </c>
      <c r="B197" s="1" t="n">
        <v>16966480</v>
      </c>
      <c r="C197" s="1" t="s">
        <v>474</v>
      </c>
      <c r="D197" s="1" t="s">
        <v>480</v>
      </c>
      <c r="E197" s="1" t="s">
        <v>850</v>
      </c>
      <c r="F197" s="1" t="s">
        <v>851</v>
      </c>
      <c r="G197" s="2" t="s">
        <v>28</v>
      </c>
      <c r="H197" s="1" t="n">
        <v>-1</v>
      </c>
      <c r="I197" s="1" t="n">
        <v>-1</v>
      </c>
      <c r="J197" s="1" t="n">
        <v>-1</v>
      </c>
      <c r="K197" s="1" t="n">
        <v>-1</v>
      </c>
      <c r="L197" s="2" t="n">
        <v>25</v>
      </c>
      <c r="M197" s="1" t="s">
        <v>65</v>
      </c>
      <c r="N197" s="1" t="s">
        <v>105</v>
      </c>
      <c r="O197" s="5" t="n">
        <v>46205.2083333333</v>
      </c>
      <c r="P197" s="5" t="n">
        <v>46224.5597222222</v>
      </c>
      <c r="Q197" s="1" t="n">
        <v>58.4578</v>
      </c>
      <c r="R197" s="1" t="n">
        <v>-93.69</v>
      </c>
      <c r="S197" s="1" t="s">
        <v>852</v>
      </c>
      <c r="T197" s="1" t="n">
        <v>2026</v>
      </c>
      <c r="U197" s="1" t="n">
        <v>2026</v>
      </c>
      <c r="V197" s="5" t="n">
        <v>46205.78125</v>
      </c>
      <c r="W197" s="6" t="n">
        <v>46387.9999999884</v>
      </c>
    </row>
    <row r="198" customFormat="false" ht="12.75" hidden="false" customHeight="false" outlineLevel="0" collapsed="false">
      <c r="A198" s="1" t="s">
        <v>853</v>
      </c>
      <c r="B198" s="1" t="n">
        <v>16909429</v>
      </c>
      <c r="C198" s="1" t="s">
        <v>474</v>
      </c>
      <c r="D198" s="1" t="s">
        <v>480</v>
      </c>
      <c r="E198" s="1" t="s">
        <v>854</v>
      </c>
      <c r="F198" s="1" t="s">
        <v>855</v>
      </c>
      <c r="G198" s="2" t="s">
        <v>28</v>
      </c>
      <c r="H198" s="1" t="n">
        <v>-1</v>
      </c>
      <c r="I198" s="1" t="n">
        <v>-1</v>
      </c>
      <c r="J198" s="1" t="n">
        <v>-1</v>
      </c>
      <c r="K198" s="1" t="n">
        <v>-1</v>
      </c>
      <c r="L198" s="2" t="n">
        <v>140</v>
      </c>
      <c r="M198" s="1" t="s">
        <v>65</v>
      </c>
      <c r="N198" s="1" t="s">
        <v>105</v>
      </c>
      <c r="O198" s="5" t="n">
        <v>46204.2083333333</v>
      </c>
      <c r="P198" s="5" t="n">
        <v>46224.5597222222</v>
      </c>
      <c r="Q198" s="1" t="n">
        <v>58.7042</v>
      </c>
      <c r="R198" s="1" t="n">
        <v>-96.9983</v>
      </c>
      <c r="S198" s="1" t="s">
        <v>856</v>
      </c>
      <c r="T198" s="1" t="n">
        <v>2026</v>
      </c>
      <c r="U198" s="1" t="n">
        <v>2026</v>
      </c>
      <c r="V198" s="5" t="n">
        <v>46204.9895833333</v>
      </c>
      <c r="W198" s="6" t="n">
        <v>46387.9999999884</v>
      </c>
    </row>
    <row r="199" customFormat="false" ht="12.75" hidden="false" customHeight="false" outlineLevel="0" collapsed="false">
      <c r="A199" s="1" t="s">
        <v>857</v>
      </c>
      <c r="B199" s="1" t="n">
        <v>16898307</v>
      </c>
      <c r="C199" s="1" t="s">
        <v>474</v>
      </c>
      <c r="D199" s="1" t="s">
        <v>480</v>
      </c>
      <c r="E199" s="1" t="s">
        <v>858</v>
      </c>
      <c r="F199" s="1" t="s">
        <v>859</v>
      </c>
      <c r="G199" s="2" t="s">
        <v>28</v>
      </c>
      <c r="H199" s="1" t="n">
        <v>-1</v>
      </c>
      <c r="I199" s="1" t="n">
        <v>-1</v>
      </c>
      <c r="J199" s="1" t="n">
        <v>-1</v>
      </c>
      <c r="K199" s="1" t="n">
        <v>-1</v>
      </c>
      <c r="L199" s="2" t="n">
        <v>88</v>
      </c>
      <c r="M199" s="1" t="s">
        <v>65</v>
      </c>
      <c r="N199" s="1" t="s">
        <v>105</v>
      </c>
      <c r="O199" s="5" t="n">
        <v>46204.2083333333</v>
      </c>
      <c r="P199" s="5" t="n">
        <v>46224.5597222222</v>
      </c>
      <c r="Q199" s="1" t="n">
        <v>59.4486</v>
      </c>
      <c r="R199" s="1" t="n">
        <v>-98.1053</v>
      </c>
      <c r="S199" s="1" t="s">
        <v>860</v>
      </c>
      <c r="T199" s="1" t="n">
        <v>2026</v>
      </c>
      <c r="U199" s="1" t="n">
        <v>2026</v>
      </c>
      <c r="V199" s="5" t="n">
        <v>46204.8229166667</v>
      </c>
      <c r="W199" s="6" t="n">
        <v>46387.9999999884</v>
      </c>
    </row>
    <row r="200" customFormat="false" ht="12.75" hidden="false" customHeight="false" outlineLevel="0" collapsed="false">
      <c r="A200" s="1" t="s">
        <v>861</v>
      </c>
      <c r="B200" s="1" t="n">
        <v>16892234</v>
      </c>
      <c r="C200" s="1" t="s">
        <v>474</v>
      </c>
      <c r="D200" s="1" t="s">
        <v>480</v>
      </c>
      <c r="E200" s="1" t="s">
        <v>862</v>
      </c>
      <c r="F200" s="1" t="s">
        <v>863</v>
      </c>
      <c r="G200" s="2" t="s">
        <v>28</v>
      </c>
      <c r="H200" s="1" t="n">
        <v>-1</v>
      </c>
      <c r="I200" s="1" t="n">
        <v>-1</v>
      </c>
      <c r="J200" s="1" t="n">
        <v>-1</v>
      </c>
      <c r="K200" s="1" t="n">
        <v>-1</v>
      </c>
      <c r="L200" s="2" t="n">
        <v>75</v>
      </c>
      <c r="M200" s="1" t="s">
        <v>65</v>
      </c>
      <c r="N200" s="1" t="s">
        <v>105</v>
      </c>
      <c r="O200" s="5" t="n">
        <v>46204.2083333333</v>
      </c>
      <c r="P200" s="5" t="n">
        <v>46224.5597222222</v>
      </c>
      <c r="Q200" s="1" t="n">
        <v>56.4044</v>
      </c>
      <c r="R200" s="1" t="n">
        <v>-91.2383</v>
      </c>
      <c r="S200" s="1" t="s">
        <v>864</v>
      </c>
      <c r="T200" s="1" t="n">
        <v>2026</v>
      </c>
      <c r="U200" s="1" t="n">
        <v>2026</v>
      </c>
      <c r="V200" s="5" t="n">
        <v>46204.7395833333</v>
      </c>
      <c r="W200" s="6" t="n">
        <v>46387.9999999884</v>
      </c>
    </row>
    <row r="201" customFormat="false" ht="12.75" hidden="false" customHeight="false" outlineLevel="0" collapsed="false">
      <c r="A201" s="1" t="s">
        <v>865</v>
      </c>
      <c r="B201" s="1" t="n">
        <v>16878422</v>
      </c>
      <c r="C201" s="1" t="s">
        <v>474</v>
      </c>
      <c r="D201" s="1" t="s">
        <v>480</v>
      </c>
      <c r="E201" s="1" t="s">
        <v>866</v>
      </c>
      <c r="F201" s="1" t="s">
        <v>867</v>
      </c>
      <c r="G201" s="2" t="s">
        <v>28</v>
      </c>
      <c r="H201" s="1" t="n">
        <v>-1</v>
      </c>
      <c r="I201" s="1" t="n">
        <v>-1</v>
      </c>
      <c r="J201" s="1" t="n">
        <v>-1</v>
      </c>
      <c r="K201" s="1" t="n">
        <v>-1</v>
      </c>
      <c r="L201" s="2" t="n">
        <v>1500</v>
      </c>
      <c r="M201" s="1" t="s">
        <v>65</v>
      </c>
      <c r="N201" s="1" t="s">
        <v>105</v>
      </c>
      <c r="O201" s="5" t="n">
        <v>46203.2083333333</v>
      </c>
      <c r="P201" s="5" t="n">
        <v>46224.5597222222</v>
      </c>
      <c r="Q201" s="1" t="n">
        <v>59.9358</v>
      </c>
      <c r="R201" s="1" t="n">
        <v>-99.6858</v>
      </c>
      <c r="S201" s="1" t="s">
        <v>868</v>
      </c>
      <c r="T201" s="1" t="n">
        <v>2026</v>
      </c>
      <c r="U201" s="1" t="n">
        <v>2026</v>
      </c>
      <c r="V201" s="5" t="n">
        <v>46204.53125</v>
      </c>
      <c r="W201" s="6" t="n">
        <v>46387.9999999884</v>
      </c>
    </row>
    <row r="202" customFormat="false" ht="12.75" hidden="false" customHeight="false" outlineLevel="0" collapsed="false">
      <c r="A202" s="1" t="s">
        <v>869</v>
      </c>
      <c r="B202" s="1" t="n">
        <v>16878421</v>
      </c>
      <c r="C202" s="1" t="s">
        <v>474</v>
      </c>
      <c r="D202" s="1" t="s">
        <v>480</v>
      </c>
      <c r="E202" s="1" t="s">
        <v>870</v>
      </c>
      <c r="F202" s="1" t="s">
        <v>871</v>
      </c>
      <c r="G202" s="2" t="s">
        <v>28</v>
      </c>
      <c r="H202" s="1" t="n">
        <v>-1</v>
      </c>
      <c r="I202" s="1" t="n">
        <v>-1</v>
      </c>
      <c r="J202" s="1" t="n">
        <v>-1</v>
      </c>
      <c r="K202" s="1" t="n">
        <v>-1</v>
      </c>
      <c r="L202" s="2" t="n">
        <v>938</v>
      </c>
      <c r="M202" s="1" t="s">
        <v>65</v>
      </c>
      <c r="N202" s="1" t="s">
        <v>105</v>
      </c>
      <c r="O202" s="5" t="n">
        <v>46203.2083333333</v>
      </c>
      <c r="P202" s="5" t="n">
        <v>46224.5597222222</v>
      </c>
      <c r="Q202" s="1" t="n">
        <v>58.0242</v>
      </c>
      <c r="R202" s="1" t="n">
        <v>-98.0069</v>
      </c>
      <c r="S202" s="1" t="s">
        <v>872</v>
      </c>
      <c r="T202" s="1" t="n">
        <v>2026</v>
      </c>
      <c r="U202" s="1" t="n">
        <v>2026</v>
      </c>
      <c r="V202" s="5" t="n">
        <v>46204.53125</v>
      </c>
      <c r="W202" s="6" t="n">
        <v>46387.9999999884</v>
      </c>
    </row>
    <row r="203" customFormat="false" ht="12.75" hidden="false" customHeight="false" outlineLevel="0" collapsed="false">
      <c r="A203" s="1" t="s">
        <v>873</v>
      </c>
      <c r="B203" s="1" t="n">
        <v>16813487</v>
      </c>
      <c r="C203" s="1" t="s">
        <v>474</v>
      </c>
      <c r="D203" s="1" t="s">
        <v>480</v>
      </c>
      <c r="E203" s="1" t="s">
        <v>874</v>
      </c>
      <c r="F203" s="1" t="s">
        <v>875</v>
      </c>
      <c r="G203" s="2" t="s">
        <v>28</v>
      </c>
      <c r="H203" s="1" t="n">
        <v>-1</v>
      </c>
      <c r="I203" s="1" t="n">
        <v>-1</v>
      </c>
      <c r="J203" s="1" t="n">
        <v>-1</v>
      </c>
      <c r="K203" s="1" t="n">
        <v>-1</v>
      </c>
      <c r="L203" s="2" t="n">
        <v>120</v>
      </c>
      <c r="M203" s="1" t="s">
        <v>65</v>
      </c>
      <c r="N203" s="1" t="s">
        <v>105</v>
      </c>
      <c r="O203" s="5" t="n">
        <v>46202.2083333333</v>
      </c>
      <c r="P203" s="5" t="n">
        <v>46224.5597222222</v>
      </c>
      <c r="Q203" s="1" t="n">
        <v>59.1581</v>
      </c>
      <c r="R203" s="1" t="n">
        <v>-98.4028</v>
      </c>
      <c r="S203" s="1" t="s">
        <v>876</v>
      </c>
      <c r="T203" s="1" t="n">
        <v>2026</v>
      </c>
      <c r="U203" s="1" t="n">
        <v>2026</v>
      </c>
      <c r="V203" s="5" t="n">
        <v>46203.53125</v>
      </c>
      <c r="W203" s="6" t="n">
        <v>46387.9999999884</v>
      </c>
    </row>
    <row r="204" customFormat="false" ht="12.75" hidden="false" customHeight="false" outlineLevel="0" collapsed="false">
      <c r="A204" s="1" t="s">
        <v>877</v>
      </c>
      <c r="B204" s="1" t="n">
        <v>16813488</v>
      </c>
      <c r="C204" s="1" t="s">
        <v>474</v>
      </c>
      <c r="D204" s="1" t="s">
        <v>480</v>
      </c>
      <c r="E204" s="1" t="s">
        <v>878</v>
      </c>
      <c r="F204" s="1" t="s">
        <v>879</v>
      </c>
      <c r="G204" s="2" t="s">
        <v>28</v>
      </c>
      <c r="H204" s="1" t="n">
        <v>-1</v>
      </c>
      <c r="I204" s="1" t="n">
        <v>-1</v>
      </c>
      <c r="J204" s="1" t="n">
        <v>-1</v>
      </c>
      <c r="K204" s="1" t="n">
        <v>-1</v>
      </c>
      <c r="L204" s="2" t="n">
        <v>1000</v>
      </c>
      <c r="M204" s="1" t="s">
        <v>65</v>
      </c>
      <c r="N204" s="1" t="s">
        <v>105</v>
      </c>
      <c r="O204" s="5" t="n">
        <v>46202.2083333333</v>
      </c>
      <c r="P204" s="5" t="n">
        <v>46224.5597222222</v>
      </c>
      <c r="Q204" s="1" t="n">
        <v>59.7264</v>
      </c>
      <c r="R204" s="1" t="n">
        <v>-99.2869</v>
      </c>
      <c r="S204" s="1" t="s">
        <v>880</v>
      </c>
      <c r="T204" s="1" t="n">
        <v>2026</v>
      </c>
      <c r="U204" s="1" t="n">
        <v>2026</v>
      </c>
      <c r="V204" s="5" t="n">
        <v>46203.53125</v>
      </c>
      <c r="W204" s="6" t="n">
        <v>46387.9999999884</v>
      </c>
    </row>
    <row r="205" customFormat="false" ht="12.75" hidden="false" customHeight="false" outlineLevel="0" collapsed="false">
      <c r="A205" s="1" t="s">
        <v>881</v>
      </c>
      <c r="B205" s="1" t="n">
        <v>16813489</v>
      </c>
      <c r="C205" s="1" t="s">
        <v>474</v>
      </c>
      <c r="D205" s="1" t="s">
        <v>480</v>
      </c>
      <c r="E205" s="1" t="s">
        <v>882</v>
      </c>
      <c r="F205" s="1" t="s">
        <v>883</v>
      </c>
      <c r="G205" s="2" t="s">
        <v>28</v>
      </c>
      <c r="H205" s="1" t="n">
        <v>-1</v>
      </c>
      <c r="I205" s="1" t="n">
        <v>-1</v>
      </c>
      <c r="J205" s="1" t="n">
        <v>-1</v>
      </c>
      <c r="K205" s="1" t="n">
        <v>-1</v>
      </c>
      <c r="L205" s="2" t="n">
        <v>1700</v>
      </c>
      <c r="M205" s="1" t="s">
        <v>65</v>
      </c>
      <c r="N205" s="1" t="s">
        <v>105</v>
      </c>
      <c r="O205" s="5" t="n">
        <v>46202.2083333333</v>
      </c>
      <c r="P205" s="5" t="n">
        <v>46224.5597222222</v>
      </c>
      <c r="Q205" s="1" t="n">
        <v>59.7725</v>
      </c>
      <c r="R205" s="1" t="n">
        <v>-100.1117</v>
      </c>
      <c r="S205" s="1" t="s">
        <v>884</v>
      </c>
      <c r="T205" s="1" t="n">
        <v>2026</v>
      </c>
      <c r="U205" s="1" t="n">
        <v>2026</v>
      </c>
      <c r="V205" s="5" t="n">
        <v>46203.53125</v>
      </c>
      <c r="W205" s="6" t="n">
        <v>46387.9999999884</v>
      </c>
    </row>
    <row r="206" customFormat="false" ht="12.75" hidden="false" customHeight="false" outlineLevel="0" collapsed="false">
      <c r="A206" s="1" t="s">
        <v>885</v>
      </c>
      <c r="B206" s="1" t="n">
        <v>16761244</v>
      </c>
      <c r="C206" s="1" t="s">
        <v>474</v>
      </c>
      <c r="D206" s="1" t="s">
        <v>480</v>
      </c>
      <c r="E206" s="1" t="s">
        <v>886</v>
      </c>
      <c r="F206" s="1" t="s">
        <v>887</v>
      </c>
      <c r="G206" s="2" t="s">
        <v>28</v>
      </c>
      <c r="H206" s="1" t="n">
        <v>-1</v>
      </c>
      <c r="I206" s="1" t="n">
        <v>-1</v>
      </c>
      <c r="J206" s="1" t="n">
        <v>-1</v>
      </c>
      <c r="K206" s="1" t="n">
        <v>-1</v>
      </c>
      <c r="L206" s="2" t="n">
        <v>180</v>
      </c>
      <c r="M206" s="1" t="s">
        <v>65</v>
      </c>
      <c r="N206" s="1" t="s">
        <v>105</v>
      </c>
      <c r="O206" s="5" t="n">
        <v>46202.2083333333</v>
      </c>
      <c r="P206" s="5" t="n">
        <v>46224.5597222222</v>
      </c>
      <c r="Q206" s="1" t="n">
        <v>55.9372</v>
      </c>
      <c r="R206" s="1" t="n">
        <v>-90.6692</v>
      </c>
      <c r="S206" s="1" t="s">
        <v>888</v>
      </c>
      <c r="T206" s="1" t="n">
        <v>2026</v>
      </c>
      <c r="U206" s="1" t="n">
        <v>2026</v>
      </c>
      <c r="V206" s="5" t="n">
        <v>46202.7395833333</v>
      </c>
      <c r="W206" s="6" t="n">
        <v>46387.9999999884</v>
      </c>
    </row>
    <row r="207" customFormat="false" ht="12.75" hidden="false" customHeight="false" outlineLevel="0" collapsed="false">
      <c r="A207" s="1" t="s">
        <v>889</v>
      </c>
      <c r="B207" s="1" t="n">
        <v>16761235</v>
      </c>
      <c r="C207" s="1" t="s">
        <v>474</v>
      </c>
      <c r="D207" s="1" t="s">
        <v>480</v>
      </c>
      <c r="E207" s="1" t="s">
        <v>890</v>
      </c>
      <c r="F207" s="1" t="s">
        <v>891</v>
      </c>
      <c r="G207" s="2" t="s">
        <v>28</v>
      </c>
      <c r="H207" s="1" t="n">
        <v>-1</v>
      </c>
      <c r="I207" s="1" t="n">
        <v>-1</v>
      </c>
      <c r="J207" s="1" t="n">
        <v>-1</v>
      </c>
      <c r="K207" s="1" t="n">
        <v>-1</v>
      </c>
      <c r="L207" s="2" t="n">
        <v>1738</v>
      </c>
      <c r="M207" s="1" t="s">
        <v>65</v>
      </c>
      <c r="N207" s="1" t="s">
        <v>105</v>
      </c>
      <c r="O207" s="5" t="n">
        <v>46202.2083333333</v>
      </c>
      <c r="P207" s="5" t="n">
        <v>46224.5597222222</v>
      </c>
      <c r="Q207" s="1" t="n">
        <v>56.2331</v>
      </c>
      <c r="R207" s="1" t="n">
        <v>-91.2911</v>
      </c>
      <c r="S207" s="1" t="s">
        <v>892</v>
      </c>
      <c r="T207" s="1" t="n">
        <v>2026</v>
      </c>
      <c r="U207" s="1" t="n">
        <v>2026</v>
      </c>
      <c r="V207" s="5" t="n">
        <v>46202.7395833333</v>
      </c>
      <c r="W207" s="6" t="n">
        <v>46387.9999999884</v>
      </c>
    </row>
    <row r="208" customFormat="false" ht="12.75" hidden="false" customHeight="false" outlineLevel="0" collapsed="false">
      <c r="A208" s="1" t="s">
        <v>893</v>
      </c>
      <c r="B208" s="1" t="n">
        <v>16761237</v>
      </c>
      <c r="C208" s="1" t="s">
        <v>474</v>
      </c>
      <c r="D208" s="1" t="s">
        <v>480</v>
      </c>
      <c r="E208" s="1" t="s">
        <v>894</v>
      </c>
      <c r="F208" s="1" t="s">
        <v>895</v>
      </c>
      <c r="G208" s="2" t="s">
        <v>28</v>
      </c>
      <c r="H208" s="1" t="n">
        <v>-1</v>
      </c>
      <c r="I208" s="1" t="n">
        <v>-1</v>
      </c>
      <c r="J208" s="1" t="n">
        <v>-1</v>
      </c>
      <c r="K208" s="1" t="n">
        <v>-1</v>
      </c>
      <c r="L208" s="2" t="n">
        <v>1075</v>
      </c>
      <c r="M208" s="1" t="s">
        <v>65</v>
      </c>
      <c r="N208" s="1" t="s">
        <v>105</v>
      </c>
      <c r="O208" s="5" t="n">
        <v>46202.2083333333</v>
      </c>
      <c r="P208" s="5" t="n">
        <v>46224.5597222222</v>
      </c>
      <c r="Q208" s="1" t="n">
        <v>56.0406</v>
      </c>
      <c r="R208" s="1" t="n">
        <v>-91.3383</v>
      </c>
      <c r="S208" s="1" t="s">
        <v>896</v>
      </c>
      <c r="T208" s="1" t="n">
        <v>2026</v>
      </c>
      <c r="U208" s="1" t="n">
        <v>2026</v>
      </c>
      <c r="V208" s="5" t="n">
        <v>46202.7395833333</v>
      </c>
      <c r="W208" s="6" t="n">
        <v>46387.9999999884</v>
      </c>
    </row>
    <row r="209" customFormat="false" ht="12.75" hidden="false" customHeight="false" outlineLevel="0" collapsed="false">
      <c r="A209" s="1" t="s">
        <v>897</v>
      </c>
      <c r="B209" s="1" t="n">
        <v>16761240</v>
      </c>
      <c r="C209" s="1" t="s">
        <v>474</v>
      </c>
      <c r="D209" s="1" t="s">
        <v>480</v>
      </c>
      <c r="E209" s="1" t="s">
        <v>898</v>
      </c>
      <c r="F209" s="1" t="s">
        <v>899</v>
      </c>
      <c r="G209" s="2" t="s">
        <v>28</v>
      </c>
      <c r="H209" s="1" t="n">
        <v>-1</v>
      </c>
      <c r="I209" s="1" t="n">
        <v>-1</v>
      </c>
      <c r="J209" s="1" t="n">
        <v>-1</v>
      </c>
      <c r="K209" s="1" t="n">
        <v>-1</v>
      </c>
      <c r="L209" s="2" t="n">
        <v>550</v>
      </c>
      <c r="M209" s="1" t="s">
        <v>65</v>
      </c>
      <c r="N209" s="1" t="s">
        <v>105</v>
      </c>
      <c r="O209" s="5" t="n">
        <v>46202.2083333333</v>
      </c>
      <c r="P209" s="5" t="n">
        <v>46224.5597222222</v>
      </c>
      <c r="Q209" s="1" t="n">
        <v>56.3628</v>
      </c>
      <c r="R209" s="1" t="n">
        <v>-93.1542</v>
      </c>
      <c r="S209" s="1" t="s">
        <v>900</v>
      </c>
      <c r="T209" s="1" t="n">
        <v>2026</v>
      </c>
      <c r="U209" s="1" t="n">
        <v>2026</v>
      </c>
      <c r="V209" s="5" t="n">
        <v>46202.7395833333</v>
      </c>
      <c r="W209" s="6" t="n">
        <v>46387.9999999884</v>
      </c>
    </row>
    <row r="210" customFormat="false" ht="12.75" hidden="false" customHeight="false" outlineLevel="0" collapsed="false">
      <c r="A210" s="1" t="s">
        <v>901</v>
      </c>
      <c r="B210" s="1" t="n">
        <v>16761241</v>
      </c>
      <c r="C210" s="1" t="s">
        <v>474</v>
      </c>
      <c r="D210" s="1" t="s">
        <v>480</v>
      </c>
      <c r="E210" s="1" t="s">
        <v>902</v>
      </c>
      <c r="F210" s="1" t="s">
        <v>903</v>
      </c>
      <c r="G210" s="2" t="s">
        <v>28</v>
      </c>
      <c r="H210" s="1" t="n">
        <v>-1</v>
      </c>
      <c r="I210" s="1" t="n">
        <v>-1</v>
      </c>
      <c r="J210" s="1" t="n">
        <v>-1</v>
      </c>
      <c r="K210" s="1" t="n">
        <v>-1</v>
      </c>
      <c r="L210" s="2" t="n">
        <v>500</v>
      </c>
      <c r="M210" s="1" t="s">
        <v>65</v>
      </c>
      <c r="N210" s="1" t="s">
        <v>105</v>
      </c>
      <c r="O210" s="5" t="n">
        <v>46202.2083333333</v>
      </c>
      <c r="P210" s="5" t="n">
        <v>46224.5597222222</v>
      </c>
      <c r="Q210" s="1" t="n">
        <v>55.9022</v>
      </c>
      <c r="R210" s="1" t="n">
        <v>-92.6478</v>
      </c>
      <c r="S210" s="1" t="s">
        <v>904</v>
      </c>
      <c r="T210" s="1" t="n">
        <v>2026</v>
      </c>
      <c r="U210" s="1" t="n">
        <v>2026</v>
      </c>
      <c r="V210" s="5" t="n">
        <v>46202.7395833333</v>
      </c>
      <c r="W210" s="6" t="n">
        <v>46387.9999999884</v>
      </c>
    </row>
    <row r="211" customFormat="false" ht="12.75" hidden="false" customHeight="false" outlineLevel="0" collapsed="false">
      <c r="A211" s="1" t="s">
        <v>905</v>
      </c>
      <c r="B211" s="1" t="n">
        <v>16761242</v>
      </c>
      <c r="C211" s="1" t="s">
        <v>474</v>
      </c>
      <c r="D211" s="1" t="s">
        <v>480</v>
      </c>
      <c r="E211" s="1" t="s">
        <v>906</v>
      </c>
      <c r="F211" s="1" t="s">
        <v>907</v>
      </c>
      <c r="G211" s="2" t="s">
        <v>28</v>
      </c>
      <c r="H211" s="1" t="n">
        <v>-1</v>
      </c>
      <c r="I211" s="1" t="n">
        <v>-1</v>
      </c>
      <c r="J211" s="1" t="n">
        <v>-1</v>
      </c>
      <c r="K211" s="1" t="n">
        <v>-1</v>
      </c>
      <c r="L211" s="2" t="n">
        <v>340</v>
      </c>
      <c r="M211" s="1" t="s">
        <v>65</v>
      </c>
      <c r="N211" s="1" t="s">
        <v>105</v>
      </c>
      <c r="O211" s="5" t="n">
        <v>46202.2083333333</v>
      </c>
      <c r="P211" s="5" t="n">
        <v>46224.5597222222</v>
      </c>
      <c r="Q211" s="1" t="n">
        <v>56.4011</v>
      </c>
      <c r="R211" s="1" t="n">
        <v>-92.3933</v>
      </c>
      <c r="S211" s="1" t="s">
        <v>908</v>
      </c>
      <c r="T211" s="1" t="n">
        <v>2026</v>
      </c>
      <c r="U211" s="1" t="n">
        <v>2026</v>
      </c>
      <c r="V211" s="5" t="n">
        <v>46202.7395833333</v>
      </c>
      <c r="W211" s="6" t="n">
        <v>46387.9999999884</v>
      </c>
    </row>
    <row r="212" customFormat="false" ht="12.75" hidden="false" customHeight="false" outlineLevel="0" collapsed="false">
      <c r="A212" s="1" t="s">
        <v>909</v>
      </c>
      <c r="B212" s="1" t="n">
        <v>16761243</v>
      </c>
      <c r="C212" s="1" t="s">
        <v>474</v>
      </c>
      <c r="D212" s="1" t="s">
        <v>480</v>
      </c>
      <c r="E212" s="1" t="s">
        <v>910</v>
      </c>
      <c r="F212" s="1" t="s">
        <v>911</v>
      </c>
      <c r="G212" s="2" t="s">
        <v>28</v>
      </c>
      <c r="H212" s="1" t="n">
        <v>-1</v>
      </c>
      <c r="I212" s="1" t="n">
        <v>-1</v>
      </c>
      <c r="J212" s="1" t="n">
        <v>-1</v>
      </c>
      <c r="K212" s="1" t="n">
        <v>-1</v>
      </c>
      <c r="L212" s="2" t="n">
        <v>310</v>
      </c>
      <c r="M212" s="1" t="s">
        <v>65</v>
      </c>
      <c r="N212" s="1" t="s">
        <v>105</v>
      </c>
      <c r="O212" s="5" t="n">
        <v>46202.2083333333</v>
      </c>
      <c r="P212" s="5" t="n">
        <v>46224.5597222222</v>
      </c>
      <c r="Q212" s="1" t="n">
        <v>56.7567</v>
      </c>
      <c r="R212" s="1" t="n">
        <v>-92.2603</v>
      </c>
      <c r="S212" s="1" t="s">
        <v>912</v>
      </c>
      <c r="T212" s="1" t="n">
        <v>2026</v>
      </c>
      <c r="U212" s="1" t="n">
        <v>2026</v>
      </c>
      <c r="V212" s="5" t="n">
        <v>46202.7395833333</v>
      </c>
      <c r="W212" s="6" t="n">
        <v>46387.9999999884</v>
      </c>
    </row>
    <row r="213" customFormat="false" ht="12.75" hidden="false" customHeight="false" outlineLevel="0" collapsed="false">
      <c r="A213" s="1" t="s">
        <v>913</v>
      </c>
      <c r="B213" s="1" t="n">
        <v>16761236</v>
      </c>
      <c r="C213" s="1" t="s">
        <v>474</v>
      </c>
      <c r="D213" s="1" t="s">
        <v>480</v>
      </c>
      <c r="E213" s="1" t="s">
        <v>914</v>
      </c>
      <c r="F213" s="1" t="s">
        <v>915</v>
      </c>
      <c r="G213" s="2" t="s">
        <v>28</v>
      </c>
      <c r="H213" s="1" t="n">
        <v>-1</v>
      </c>
      <c r="I213" s="1" t="n">
        <v>-1</v>
      </c>
      <c r="J213" s="1" t="n">
        <v>-1</v>
      </c>
      <c r="K213" s="1" t="n">
        <v>-1</v>
      </c>
      <c r="L213" s="2" t="n">
        <v>2195</v>
      </c>
      <c r="M213" s="1" t="s">
        <v>65</v>
      </c>
      <c r="N213" s="1" t="s">
        <v>105</v>
      </c>
      <c r="O213" s="5" t="n">
        <v>46202.2083333333</v>
      </c>
      <c r="P213" s="5" t="n">
        <v>46224.5597222222</v>
      </c>
      <c r="Q213" s="1" t="n">
        <v>55.9897</v>
      </c>
      <c r="R213" s="1" t="n">
        <v>-91.2525</v>
      </c>
      <c r="S213" s="1" t="s">
        <v>916</v>
      </c>
      <c r="T213" s="1" t="n">
        <v>2026</v>
      </c>
      <c r="U213" s="1" t="n">
        <v>2026</v>
      </c>
      <c r="V213" s="5" t="n">
        <v>46202.7395833333</v>
      </c>
      <c r="W213" s="6" t="n">
        <v>46387.9999999884</v>
      </c>
    </row>
    <row r="214" customFormat="false" ht="12.75" hidden="false" customHeight="false" outlineLevel="0" collapsed="false">
      <c r="A214" s="1" t="s">
        <v>917</v>
      </c>
      <c r="B214" s="1" t="n">
        <v>16753472</v>
      </c>
      <c r="C214" s="1" t="s">
        <v>474</v>
      </c>
      <c r="D214" s="1" t="s">
        <v>480</v>
      </c>
      <c r="E214" s="1" t="s">
        <v>918</v>
      </c>
      <c r="F214" s="1" t="s">
        <v>919</v>
      </c>
      <c r="G214" s="2" t="s">
        <v>28</v>
      </c>
      <c r="H214" s="1" t="n">
        <v>-1</v>
      </c>
      <c r="I214" s="1" t="n">
        <v>-1</v>
      </c>
      <c r="J214" s="1" t="n">
        <v>-1</v>
      </c>
      <c r="K214" s="1" t="n">
        <v>-1</v>
      </c>
      <c r="L214" s="2" t="n">
        <v>425</v>
      </c>
      <c r="M214" s="1" t="s">
        <v>65</v>
      </c>
      <c r="N214" s="1" t="s">
        <v>105</v>
      </c>
      <c r="O214" s="5" t="n">
        <v>46201.2083333333</v>
      </c>
      <c r="P214" s="5" t="n">
        <v>46224.5597222222</v>
      </c>
      <c r="Q214" s="1" t="n">
        <v>57.985</v>
      </c>
      <c r="R214" s="1" t="n">
        <v>-101.1644</v>
      </c>
      <c r="S214" s="1" t="s">
        <v>920</v>
      </c>
      <c r="T214" s="1" t="n">
        <v>2026</v>
      </c>
      <c r="U214" s="1" t="n">
        <v>2026</v>
      </c>
      <c r="V214" s="5" t="n">
        <v>46202.6145833333</v>
      </c>
      <c r="W214" s="6" t="n">
        <v>46387.9999999884</v>
      </c>
    </row>
    <row r="215" customFormat="false" ht="12.75" hidden="false" customHeight="false" outlineLevel="0" collapsed="false">
      <c r="A215" s="1" t="s">
        <v>921</v>
      </c>
      <c r="B215" s="1" t="n">
        <v>16753470</v>
      </c>
      <c r="C215" s="1" t="s">
        <v>474</v>
      </c>
      <c r="D215" s="1" t="s">
        <v>480</v>
      </c>
      <c r="E215" s="1" t="s">
        <v>922</v>
      </c>
      <c r="F215" s="1" t="s">
        <v>923</v>
      </c>
      <c r="G215" s="2" t="s">
        <v>28</v>
      </c>
      <c r="H215" s="1" t="n">
        <v>-1</v>
      </c>
      <c r="I215" s="1" t="n">
        <v>-1</v>
      </c>
      <c r="J215" s="1" t="n">
        <v>-1</v>
      </c>
      <c r="K215" s="1" t="n">
        <v>-1</v>
      </c>
      <c r="L215" s="2" t="n">
        <v>930</v>
      </c>
      <c r="M215" s="1" t="s">
        <v>65</v>
      </c>
      <c r="N215" s="1" t="s">
        <v>105</v>
      </c>
      <c r="O215" s="5" t="n">
        <v>46201.2083333333</v>
      </c>
      <c r="P215" s="5" t="n">
        <v>46224.5597222222</v>
      </c>
      <c r="Q215" s="1" t="n">
        <v>58.0467</v>
      </c>
      <c r="R215" s="1" t="n">
        <v>-99.6</v>
      </c>
      <c r="S215" s="1" t="s">
        <v>924</v>
      </c>
      <c r="T215" s="1" t="n">
        <v>2026</v>
      </c>
      <c r="U215" s="1" t="n">
        <v>2026</v>
      </c>
      <c r="V215" s="5" t="n">
        <v>46202.6145833333</v>
      </c>
      <c r="W215" s="6" t="n">
        <v>46387.9999999884</v>
      </c>
    </row>
    <row r="216" customFormat="false" ht="12.75" hidden="false" customHeight="false" outlineLevel="0" collapsed="false">
      <c r="A216" s="1" t="s">
        <v>925</v>
      </c>
      <c r="B216" s="1" t="n">
        <v>16753469</v>
      </c>
      <c r="C216" s="1" t="s">
        <v>474</v>
      </c>
      <c r="D216" s="1" t="s">
        <v>480</v>
      </c>
      <c r="E216" s="1" t="s">
        <v>926</v>
      </c>
      <c r="F216" s="1" t="s">
        <v>927</v>
      </c>
      <c r="G216" s="2" t="s">
        <v>28</v>
      </c>
      <c r="H216" s="1" t="n">
        <v>-1</v>
      </c>
      <c r="I216" s="1" t="n">
        <v>-1</v>
      </c>
      <c r="J216" s="1" t="n">
        <v>-1</v>
      </c>
      <c r="K216" s="1" t="n">
        <v>-1</v>
      </c>
      <c r="L216" s="2" t="n">
        <v>1200</v>
      </c>
      <c r="M216" s="1" t="s">
        <v>65</v>
      </c>
      <c r="N216" s="1" t="s">
        <v>105</v>
      </c>
      <c r="O216" s="5" t="n">
        <v>46201.2083333333</v>
      </c>
      <c r="P216" s="5" t="n">
        <v>46224.5597222222</v>
      </c>
      <c r="Q216" s="1" t="n">
        <v>57.5525</v>
      </c>
      <c r="R216" s="1" t="n">
        <v>-97.9469</v>
      </c>
      <c r="S216" s="1" t="s">
        <v>928</v>
      </c>
      <c r="T216" s="1" t="n">
        <v>2026</v>
      </c>
      <c r="U216" s="1" t="n">
        <v>2026</v>
      </c>
      <c r="V216" s="5" t="n">
        <v>46202.6145833333</v>
      </c>
      <c r="W216" s="6" t="n">
        <v>46387.9999999884</v>
      </c>
    </row>
    <row r="217" customFormat="false" ht="12.75" hidden="false" customHeight="false" outlineLevel="0" collapsed="false">
      <c r="A217" s="1" t="s">
        <v>929</v>
      </c>
      <c r="B217" s="1" t="n">
        <v>16753471</v>
      </c>
      <c r="C217" s="1" t="s">
        <v>474</v>
      </c>
      <c r="D217" s="1" t="s">
        <v>480</v>
      </c>
      <c r="E217" s="1" t="s">
        <v>930</v>
      </c>
      <c r="F217" s="1" t="s">
        <v>931</v>
      </c>
      <c r="G217" s="2" t="s">
        <v>28</v>
      </c>
      <c r="H217" s="1" t="n">
        <v>-1</v>
      </c>
      <c r="I217" s="1" t="n">
        <v>-1</v>
      </c>
      <c r="J217" s="1" t="n">
        <v>-1</v>
      </c>
      <c r="K217" s="1" t="n">
        <v>-1</v>
      </c>
      <c r="L217" s="2" t="n">
        <v>320</v>
      </c>
      <c r="M217" s="1" t="s">
        <v>65</v>
      </c>
      <c r="N217" s="1" t="s">
        <v>105</v>
      </c>
      <c r="O217" s="5" t="n">
        <v>46201.2083333333</v>
      </c>
      <c r="P217" s="5" t="n">
        <v>46224.5597222222</v>
      </c>
      <c r="Q217" s="1" t="n">
        <v>57.7364</v>
      </c>
      <c r="R217" s="1" t="n">
        <v>-100.455</v>
      </c>
      <c r="S217" s="1" t="s">
        <v>932</v>
      </c>
      <c r="T217" s="1" t="n">
        <v>2026</v>
      </c>
      <c r="U217" s="1" t="n">
        <v>2026</v>
      </c>
      <c r="V217" s="5" t="n">
        <v>46202.6145833333</v>
      </c>
      <c r="W217" s="6" t="n">
        <v>46387.9999999884</v>
      </c>
    </row>
    <row r="218" customFormat="false" ht="12.75" hidden="false" customHeight="false" outlineLevel="0" collapsed="false">
      <c r="A218" s="1" t="s">
        <v>933</v>
      </c>
      <c r="B218" s="1" t="n">
        <v>16693014</v>
      </c>
      <c r="C218" s="1" t="s">
        <v>474</v>
      </c>
      <c r="D218" s="1" t="s">
        <v>480</v>
      </c>
      <c r="E218" s="1" t="s">
        <v>934</v>
      </c>
      <c r="F218" s="1" t="s">
        <v>935</v>
      </c>
      <c r="G218" s="2" t="s">
        <v>28</v>
      </c>
      <c r="H218" s="1" t="n">
        <v>-1</v>
      </c>
      <c r="I218" s="1" t="n">
        <v>-1</v>
      </c>
      <c r="J218" s="1" t="n">
        <v>-1</v>
      </c>
      <c r="K218" s="1" t="n">
        <v>-1</v>
      </c>
      <c r="L218" s="2" t="n">
        <v>250</v>
      </c>
      <c r="M218" s="1" t="s">
        <v>65</v>
      </c>
      <c r="N218" s="1" t="s">
        <v>105</v>
      </c>
      <c r="O218" s="5" t="n">
        <v>46200.2083333333</v>
      </c>
      <c r="P218" s="5" t="n">
        <v>46224.5597222222</v>
      </c>
      <c r="Q218" s="1" t="n">
        <v>57.1331</v>
      </c>
      <c r="R218" s="1" t="n">
        <v>-93.4972</v>
      </c>
      <c r="S218" s="1" t="s">
        <v>936</v>
      </c>
      <c r="T218" s="1" t="n">
        <v>2026</v>
      </c>
      <c r="U218" s="1" t="n">
        <v>2026</v>
      </c>
      <c r="V218" s="5" t="n">
        <v>46201.6145833333</v>
      </c>
      <c r="W218" s="6" t="n">
        <v>46387.9999999884</v>
      </c>
    </row>
    <row r="219" customFormat="false" ht="12.75" hidden="false" customHeight="false" outlineLevel="0" collapsed="false">
      <c r="A219" s="1" t="s">
        <v>937</v>
      </c>
      <c r="B219" s="1" t="n">
        <v>16689513</v>
      </c>
      <c r="C219" s="1" t="s">
        <v>474</v>
      </c>
      <c r="D219" s="1" t="s">
        <v>480</v>
      </c>
      <c r="E219" s="1" t="s">
        <v>938</v>
      </c>
      <c r="F219" s="1" t="s">
        <v>939</v>
      </c>
      <c r="G219" s="2" t="s">
        <v>28</v>
      </c>
      <c r="H219" s="1" t="n">
        <v>-1</v>
      </c>
      <c r="I219" s="1" t="n">
        <v>-1</v>
      </c>
      <c r="J219" s="1" t="n">
        <v>-1</v>
      </c>
      <c r="K219" s="1" t="n">
        <v>-1</v>
      </c>
      <c r="L219" s="2" t="n">
        <v>700</v>
      </c>
      <c r="M219" s="1" t="s">
        <v>65</v>
      </c>
      <c r="N219" s="1" t="s">
        <v>105</v>
      </c>
      <c r="O219" s="5" t="n">
        <v>46200.2083333333</v>
      </c>
      <c r="P219" s="5" t="n">
        <v>46224.5597222222</v>
      </c>
      <c r="Q219" s="1" t="n">
        <v>58.0531</v>
      </c>
      <c r="R219" s="1" t="n">
        <v>-97.8481</v>
      </c>
      <c r="S219" s="1" t="s">
        <v>940</v>
      </c>
      <c r="T219" s="1" t="n">
        <v>2026</v>
      </c>
      <c r="U219" s="1" t="n">
        <v>2026</v>
      </c>
      <c r="V219" s="5" t="n">
        <v>46201.53125</v>
      </c>
      <c r="W219" s="6" t="n">
        <v>46387.9999999884</v>
      </c>
    </row>
    <row r="220" customFormat="false" ht="12.75" hidden="false" customHeight="false" outlineLevel="0" collapsed="false">
      <c r="A220" s="1" t="s">
        <v>941</v>
      </c>
      <c r="B220" s="1" t="n">
        <v>16689512</v>
      </c>
      <c r="C220" s="1" t="s">
        <v>474</v>
      </c>
      <c r="D220" s="1" t="s">
        <v>480</v>
      </c>
      <c r="E220" s="1" t="s">
        <v>942</v>
      </c>
      <c r="F220" s="1" t="s">
        <v>943</v>
      </c>
      <c r="G220" s="2" t="s">
        <v>28</v>
      </c>
      <c r="H220" s="1" t="n">
        <v>-1</v>
      </c>
      <c r="I220" s="1" t="n">
        <v>-1</v>
      </c>
      <c r="J220" s="1" t="n">
        <v>-1</v>
      </c>
      <c r="K220" s="1" t="n">
        <v>-1</v>
      </c>
      <c r="L220" s="2" t="n">
        <v>908</v>
      </c>
      <c r="M220" s="1" t="s">
        <v>65</v>
      </c>
      <c r="N220" s="1" t="s">
        <v>105</v>
      </c>
      <c r="O220" s="5" t="n">
        <v>46200.2083333333</v>
      </c>
      <c r="P220" s="5" t="n">
        <v>46224.5597222222</v>
      </c>
      <c r="Q220" s="1" t="n">
        <v>57.6842</v>
      </c>
      <c r="R220" s="1" t="n">
        <v>-100.1633</v>
      </c>
      <c r="S220" s="1" t="s">
        <v>944</v>
      </c>
      <c r="T220" s="1" t="n">
        <v>2026</v>
      </c>
      <c r="U220" s="1" t="n">
        <v>2026</v>
      </c>
      <c r="V220" s="5" t="n">
        <v>46201.53125</v>
      </c>
      <c r="W220" s="6" t="n">
        <v>46387.9999999884</v>
      </c>
    </row>
    <row r="221" customFormat="false" ht="12.75" hidden="false" customHeight="false" outlineLevel="0" collapsed="false">
      <c r="A221" s="1" t="s">
        <v>945</v>
      </c>
      <c r="B221" s="1" t="n">
        <v>16640747</v>
      </c>
      <c r="C221" s="1" t="s">
        <v>474</v>
      </c>
      <c r="D221" s="1" t="s">
        <v>480</v>
      </c>
      <c r="E221" s="1" t="s">
        <v>946</v>
      </c>
      <c r="F221" s="1" t="s">
        <v>947</v>
      </c>
      <c r="G221" s="2" t="s">
        <v>28</v>
      </c>
      <c r="H221" s="1" t="n">
        <v>-1</v>
      </c>
      <c r="I221" s="1" t="n">
        <v>-1</v>
      </c>
      <c r="J221" s="1" t="n">
        <v>-1</v>
      </c>
      <c r="K221" s="1" t="n">
        <v>-1</v>
      </c>
      <c r="L221" s="2" t="n">
        <v>400</v>
      </c>
      <c r="M221" s="1" t="s">
        <v>65</v>
      </c>
      <c r="N221" s="1" t="s">
        <v>105</v>
      </c>
      <c r="O221" s="5" t="n">
        <v>46199.2083333333</v>
      </c>
      <c r="P221" s="5" t="n">
        <v>46224.5597222222</v>
      </c>
      <c r="Q221" s="1" t="n">
        <v>57.9833</v>
      </c>
      <c r="R221" s="1" t="n">
        <v>-94.6472</v>
      </c>
      <c r="S221" s="1" t="s">
        <v>948</v>
      </c>
      <c r="T221" s="1" t="n">
        <v>2026</v>
      </c>
      <c r="U221" s="1" t="n">
        <v>2026</v>
      </c>
      <c r="V221" s="5" t="n">
        <v>46200.6979166667</v>
      </c>
      <c r="W221" s="6" t="n">
        <v>46387.9999999884</v>
      </c>
    </row>
    <row r="222" customFormat="false" ht="12.75" hidden="false" customHeight="false" outlineLevel="0" collapsed="false">
      <c r="A222" s="1" t="s">
        <v>949</v>
      </c>
      <c r="B222" s="1" t="n">
        <v>16638229</v>
      </c>
      <c r="C222" s="1" t="s">
        <v>474</v>
      </c>
      <c r="D222" s="1" t="s">
        <v>480</v>
      </c>
      <c r="E222" s="1" t="s">
        <v>950</v>
      </c>
      <c r="F222" s="1" t="s">
        <v>951</v>
      </c>
      <c r="G222" s="2" t="s">
        <v>28</v>
      </c>
      <c r="H222" s="1" t="n">
        <v>-1</v>
      </c>
      <c r="I222" s="1" t="n">
        <v>-1</v>
      </c>
      <c r="J222" s="1" t="n">
        <v>-1</v>
      </c>
      <c r="K222" s="1" t="n">
        <v>-1</v>
      </c>
      <c r="L222" s="2" t="n">
        <v>2030</v>
      </c>
      <c r="M222" s="1" t="s">
        <v>65</v>
      </c>
      <c r="N222" s="1" t="s">
        <v>105</v>
      </c>
      <c r="O222" s="5" t="n">
        <v>46199.2083333333</v>
      </c>
      <c r="P222" s="5" t="n">
        <v>46224.5597222222</v>
      </c>
      <c r="Q222" s="1" t="n">
        <v>57.7858</v>
      </c>
      <c r="R222" s="1" t="n">
        <v>-96.9039</v>
      </c>
      <c r="S222" s="1" t="s">
        <v>952</v>
      </c>
      <c r="T222" s="1" t="n">
        <v>2026</v>
      </c>
      <c r="U222" s="1" t="n">
        <v>2026</v>
      </c>
      <c r="V222" s="5" t="n">
        <v>46200.65625</v>
      </c>
      <c r="W222" s="6" t="n">
        <v>46387.9999999884</v>
      </c>
    </row>
    <row r="223" customFormat="false" ht="12.75" hidden="false" customHeight="false" outlineLevel="0" collapsed="false">
      <c r="A223" s="1" t="s">
        <v>953</v>
      </c>
      <c r="B223" s="1" t="n">
        <v>16638227</v>
      </c>
      <c r="C223" s="1" t="s">
        <v>474</v>
      </c>
      <c r="D223" s="1" t="s">
        <v>480</v>
      </c>
      <c r="E223" s="1" t="s">
        <v>954</v>
      </c>
      <c r="F223" s="1" t="s">
        <v>955</v>
      </c>
      <c r="G223" s="2" t="s">
        <v>28</v>
      </c>
      <c r="H223" s="1" t="n">
        <v>-1</v>
      </c>
      <c r="I223" s="1" t="n">
        <v>-1</v>
      </c>
      <c r="J223" s="1" t="n">
        <v>-1</v>
      </c>
      <c r="K223" s="1" t="n">
        <v>-1</v>
      </c>
      <c r="L223" s="2" t="n">
        <v>1345</v>
      </c>
      <c r="M223" s="1" t="s">
        <v>65</v>
      </c>
      <c r="N223" s="1" t="s">
        <v>105</v>
      </c>
      <c r="O223" s="5" t="n">
        <v>46199.2083333333</v>
      </c>
      <c r="P223" s="5" t="n">
        <v>46224.5597222222</v>
      </c>
      <c r="Q223" s="1" t="n">
        <v>58.2664</v>
      </c>
      <c r="R223" s="1" t="n">
        <v>-96.9503</v>
      </c>
      <c r="S223" s="1" t="s">
        <v>956</v>
      </c>
      <c r="T223" s="1" t="n">
        <v>2026</v>
      </c>
      <c r="U223" s="1" t="n">
        <v>2026</v>
      </c>
      <c r="V223" s="5" t="n">
        <v>46200.65625</v>
      </c>
      <c r="W223" s="6" t="n">
        <v>46387.9999999884</v>
      </c>
    </row>
    <row r="224" customFormat="false" ht="12.75" hidden="false" customHeight="false" outlineLevel="0" collapsed="false">
      <c r="A224" s="1" t="s">
        <v>957</v>
      </c>
      <c r="B224" s="1" t="n">
        <v>16635421</v>
      </c>
      <c r="C224" s="1" t="s">
        <v>474</v>
      </c>
      <c r="D224" s="1" t="s">
        <v>480</v>
      </c>
      <c r="E224" s="1" t="s">
        <v>958</v>
      </c>
      <c r="F224" s="1" t="s">
        <v>959</v>
      </c>
      <c r="G224" s="2" t="s">
        <v>28</v>
      </c>
      <c r="H224" s="1" t="n">
        <v>-1</v>
      </c>
      <c r="I224" s="1" t="n">
        <v>-1</v>
      </c>
      <c r="J224" s="1" t="n">
        <v>-1</v>
      </c>
      <c r="K224" s="1" t="n">
        <v>-1</v>
      </c>
      <c r="L224" s="2" t="n">
        <v>10</v>
      </c>
      <c r="M224" s="1" t="s">
        <v>65</v>
      </c>
      <c r="N224" s="1" t="s">
        <v>105</v>
      </c>
      <c r="O224" s="5" t="n">
        <v>46199.2083333333</v>
      </c>
      <c r="P224" s="5" t="n">
        <v>46224.5597222222</v>
      </c>
      <c r="Q224" s="1" t="n">
        <v>55.8972</v>
      </c>
      <c r="R224" s="1" t="n">
        <v>-92.3119</v>
      </c>
      <c r="S224" s="1" t="s">
        <v>960</v>
      </c>
      <c r="T224" s="1" t="n">
        <v>2026</v>
      </c>
      <c r="U224" s="1" t="n">
        <v>2026</v>
      </c>
      <c r="V224" s="5" t="n">
        <v>46200.6145833333</v>
      </c>
      <c r="W224" s="6" t="n">
        <v>46387.9999999884</v>
      </c>
    </row>
    <row r="225" customFormat="false" ht="12.75" hidden="false" customHeight="false" outlineLevel="0" collapsed="false">
      <c r="A225" s="1" t="s">
        <v>961</v>
      </c>
      <c r="B225" s="1" t="n">
        <v>16632171</v>
      </c>
      <c r="C225" s="1" t="s">
        <v>474</v>
      </c>
      <c r="D225" s="1" t="s">
        <v>480</v>
      </c>
      <c r="E225" s="1" t="s">
        <v>962</v>
      </c>
      <c r="F225" s="1" t="s">
        <v>963</v>
      </c>
      <c r="G225" s="2" t="s">
        <v>28</v>
      </c>
      <c r="H225" s="1" t="n">
        <v>-1</v>
      </c>
      <c r="I225" s="1" t="n">
        <v>-1</v>
      </c>
      <c r="J225" s="1" t="n">
        <v>-1</v>
      </c>
      <c r="K225" s="1" t="n">
        <v>-1</v>
      </c>
      <c r="L225" s="2" t="n">
        <v>190</v>
      </c>
      <c r="M225" s="1" t="s">
        <v>65</v>
      </c>
      <c r="N225" s="1" t="s">
        <v>105</v>
      </c>
      <c r="O225" s="5" t="n">
        <v>46199.2083333333</v>
      </c>
      <c r="P225" s="5" t="n">
        <v>46224.5597222222</v>
      </c>
      <c r="Q225" s="1" t="n">
        <v>57.5297</v>
      </c>
      <c r="R225" s="1" t="n">
        <v>-100.7633</v>
      </c>
      <c r="S225" s="1" t="s">
        <v>964</v>
      </c>
      <c r="T225" s="1" t="n">
        <v>2026</v>
      </c>
      <c r="U225" s="1" t="n">
        <v>2026</v>
      </c>
      <c r="V225" s="5" t="n">
        <v>46200.53125</v>
      </c>
      <c r="W225" s="6" t="n">
        <v>46387.9999999884</v>
      </c>
    </row>
    <row r="226" customFormat="false" ht="12.75" hidden="false" customHeight="false" outlineLevel="0" collapsed="false">
      <c r="A226" s="1" t="s">
        <v>965</v>
      </c>
      <c r="B226" s="1" t="n">
        <v>16632172</v>
      </c>
      <c r="C226" s="1" t="s">
        <v>474</v>
      </c>
      <c r="D226" s="1" t="s">
        <v>480</v>
      </c>
      <c r="E226" s="1" t="s">
        <v>966</v>
      </c>
      <c r="F226" s="1" t="s">
        <v>967</v>
      </c>
      <c r="G226" s="2" t="s">
        <v>28</v>
      </c>
      <c r="H226" s="1" t="n">
        <v>-1</v>
      </c>
      <c r="I226" s="1" t="n">
        <v>-1</v>
      </c>
      <c r="J226" s="1" t="n">
        <v>-1</v>
      </c>
      <c r="K226" s="1" t="n">
        <v>-1</v>
      </c>
      <c r="L226" s="2" t="n">
        <v>100</v>
      </c>
      <c r="M226" s="1" t="s">
        <v>65</v>
      </c>
      <c r="N226" s="1" t="s">
        <v>105</v>
      </c>
      <c r="O226" s="5" t="n">
        <v>46199.2083333333</v>
      </c>
      <c r="P226" s="5" t="n">
        <v>46224.5597222222</v>
      </c>
      <c r="Q226" s="1" t="n">
        <v>57.5208</v>
      </c>
      <c r="R226" s="1" t="n">
        <v>-100.9975</v>
      </c>
      <c r="S226" s="1" t="s">
        <v>968</v>
      </c>
      <c r="T226" s="1" t="n">
        <v>2026</v>
      </c>
      <c r="U226" s="1" t="n">
        <v>2026</v>
      </c>
      <c r="V226" s="5" t="n">
        <v>46200.53125</v>
      </c>
      <c r="W226" s="6" t="n">
        <v>46387.9999999884</v>
      </c>
    </row>
    <row r="227" customFormat="false" ht="12.75" hidden="false" customHeight="false" outlineLevel="0" collapsed="false">
      <c r="A227" s="1" t="s">
        <v>969</v>
      </c>
      <c r="B227" s="1" t="n">
        <v>16632174</v>
      </c>
      <c r="C227" s="1" t="s">
        <v>474</v>
      </c>
      <c r="D227" s="1" t="s">
        <v>480</v>
      </c>
      <c r="E227" s="1" t="s">
        <v>970</v>
      </c>
      <c r="F227" s="1" t="s">
        <v>971</v>
      </c>
      <c r="G227" s="2" t="s">
        <v>28</v>
      </c>
      <c r="H227" s="1" t="n">
        <v>-1</v>
      </c>
      <c r="I227" s="1" t="n">
        <v>-1</v>
      </c>
      <c r="J227" s="1" t="n">
        <v>-1</v>
      </c>
      <c r="K227" s="1" t="n">
        <v>-1</v>
      </c>
      <c r="L227" s="2" t="n">
        <v>600</v>
      </c>
      <c r="M227" s="1" t="s">
        <v>65</v>
      </c>
      <c r="N227" s="1" t="s">
        <v>105</v>
      </c>
      <c r="O227" s="5" t="n">
        <v>46199.2083333333</v>
      </c>
      <c r="P227" s="5" t="n">
        <v>46224.5597222222</v>
      </c>
      <c r="Q227" s="1" t="n">
        <v>58.3183</v>
      </c>
      <c r="R227" s="1" t="n">
        <v>-99.9819</v>
      </c>
      <c r="S227" s="1" t="s">
        <v>972</v>
      </c>
      <c r="T227" s="1" t="n">
        <v>2026</v>
      </c>
      <c r="U227" s="1" t="n">
        <v>2026</v>
      </c>
      <c r="V227" s="5" t="n">
        <v>46200.53125</v>
      </c>
      <c r="W227" s="6" t="n">
        <v>46387.9999999884</v>
      </c>
    </row>
    <row r="228" customFormat="false" ht="12.75" hidden="false" customHeight="false" outlineLevel="0" collapsed="false">
      <c r="A228" s="1" t="s">
        <v>973</v>
      </c>
      <c r="B228" s="1" t="n">
        <v>16632176</v>
      </c>
      <c r="C228" s="1" t="s">
        <v>474</v>
      </c>
      <c r="D228" s="1" t="s">
        <v>480</v>
      </c>
      <c r="E228" s="1" t="s">
        <v>974</v>
      </c>
      <c r="F228" s="1" t="s">
        <v>975</v>
      </c>
      <c r="G228" s="2" t="s">
        <v>28</v>
      </c>
      <c r="H228" s="1" t="n">
        <v>-1</v>
      </c>
      <c r="I228" s="1" t="n">
        <v>-1</v>
      </c>
      <c r="J228" s="1" t="n">
        <v>-1</v>
      </c>
      <c r="K228" s="1" t="n">
        <v>-1</v>
      </c>
      <c r="L228" s="2" t="n">
        <v>360</v>
      </c>
      <c r="M228" s="1" t="s">
        <v>65</v>
      </c>
      <c r="N228" s="1" t="s">
        <v>105</v>
      </c>
      <c r="O228" s="5" t="n">
        <v>46199.2083333333</v>
      </c>
      <c r="P228" s="5" t="n">
        <v>46224.5597222222</v>
      </c>
      <c r="Q228" s="1" t="n">
        <v>59.3917</v>
      </c>
      <c r="R228" s="1" t="n">
        <v>-99.9719</v>
      </c>
      <c r="S228" s="1" t="s">
        <v>976</v>
      </c>
      <c r="T228" s="1" t="n">
        <v>2026</v>
      </c>
      <c r="U228" s="1" t="n">
        <v>2026</v>
      </c>
      <c r="V228" s="5" t="n">
        <v>46200.53125</v>
      </c>
      <c r="W228" s="6" t="n">
        <v>46387.9999999884</v>
      </c>
    </row>
    <row r="229" customFormat="false" ht="12.75" hidden="false" customHeight="false" outlineLevel="0" collapsed="false">
      <c r="A229" s="1" t="s">
        <v>977</v>
      </c>
      <c r="B229" s="1" t="n">
        <v>16578424</v>
      </c>
      <c r="C229" s="1" t="s">
        <v>474</v>
      </c>
      <c r="D229" s="1" t="s">
        <v>480</v>
      </c>
      <c r="E229" s="1" t="s">
        <v>978</v>
      </c>
      <c r="F229" s="1" t="s">
        <v>979</v>
      </c>
      <c r="G229" s="2" t="s">
        <v>28</v>
      </c>
      <c r="H229" s="1" t="n">
        <v>-1</v>
      </c>
      <c r="I229" s="1" t="n">
        <v>-1</v>
      </c>
      <c r="J229" s="1" t="n">
        <v>-1</v>
      </c>
      <c r="K229" s="1" t="n">
        <v>-1</v>
      </c>
      <c r="L229" s="2" t="n">
        <v>300</v>
      </c>
      <c r="M229" s="1" t="s">
        <v>29</v>
      </c>
      <c r="N229" s="1" t="s">
        <v>30</v>
      </c>
      <c r="O229" s="5" t="n">
        <v>46197.2083333333</v>
      </c>
      <c r="P229" s="5" t="n">
        <v>46224.5590277778</v>
      </c>
      <c r="Q229" s="1" t="n">
        <v>57.9269</v>
      </c>
      <c r="R229" s="1" t="n">
        <v>-101.55</v>
      </c>
      <c r="S229" s="1" t="s">
        <v>980</v>
      </c>
      <c r="T229" s="1" t="n">
        <v>2026</v>
      </c>
      <c r="U229" s="1" t="n">
        <v>2026</v>
      </c>
      <c r="V229" s="5" t="n">
        <v>46199.5729166667</v>
      </c>
      <c r="W229" s="6" t="n">
        <v>46387.9999999884</v>
      </c>
    </row>
    <row r="230" customFormat="false" ht="12.75" hidden="false" customHeight="false" outlineLevel="0" collapsed="false">
      <c r="A230" s="1" t="s">
        <v>981</v>
      </c>
      <c r="B230" s="1" t="n">
        <v>16576657</v>
      </c>
      <c r="C230" s="1" t="s">
        <v>474</v>
      </c>
      <c r="D230" s="1" t="s">
        <v>480</v>
      </c>
      <c r="E230" s="1" t="s">
        <v>982</v>
      </c>
      <c r="F230" s="1" t="s">
        <v>983</v>
      </c>
      <c r="G230" s="2" t="s">
        <v>28</v>
      </c>
      <c r="H230" s="1" t="n">
        <v>-1</v>
      </c>
      <c r="I230" s="1" t="n">
        <v>-1</v>
      </c>
      <c r="J230" s="1" t="n">
        <v>-1</v>
      </c>
      <c r="K230" s="1" t="n">
        <v>-1</v>
      </c>
      <c r="L230" s="2" t="n">
        <v>40</v>
      </c>
      <c r="M230" s="1" t="s">
        <v>65</v>
      </c>
      <c r="N230" s="1" t="s">
        <v>105</v>
      </c>
      <c r="O230" s="5" t="n">
        <v>46198.2083333333</v>
      </c>
      <c r="P230" s="5" t="n">
        <v>46224.5597222222</v>
      </c>
      <c r="Q230" s="1" t="n">
        <v>59.7592</v>
      </c>
      <c r="R230" s="1" t="n">
        <v>-100.7753</v>
      </c>
      <c r="S230" s="1" t="s">
        <v>984</v>
      </c>
      <c r="T230" s="1" t="n">
        <v>2026</v>
      </c>
      <c r="U230" s="1" t="n">
        <v>2026</v>
      </c>
      <c r="V230" s="5" t="n">
        <v>46199.53125</v>
      </c>
      <c r="W230" s="6" t="n">
        <v>46387.9999999884</v>
      </c>
    </row>
    <row r="231" customFormat="false" ht="12.75" hidden="false" customHeight="false" outlineLevel="0" collapsed="false">
      <c r="A231" s="1" t="s">
        <v>985</v>
      </c>
      <c r="B231" s="1" t="n">
        <v>16576660</v>
      </c>
      <c r="C231" s="1" t="s">
        <v>474</v>
      </c>
      <c r="D231" s="1" t="s">
        <v>480</v>
      </c>
      <c r="E231" s="1" t="s">
        <v>986</v>
      </c>
      <c r="F231" s="1" t="s">
        <v>987</v>
      </c>
      <c r="G231" s="2" t="s">
        <v>28</v>
      </c>
      <c r="H231" s="1" t="n">
        <v>-1</v>
      </c>
      <c r="I231" s="1" t="n">
        <v>-1</v>
      </c>
      <c r="J231" s="1" t="n">
        <v>-1</v>
      </c>
      <c r="K231" s="1" t="n">
        <v>-1</v>
      </c>
      <c r="L231" s="2" t="n">
        <v>20</v>
      </c>
      <c r="M231" s="1" t="s">
        <v>65</v>
      </c>
      <c r="N231" s="1" t="s">
        <v>105</v>
      </c>
      <c r="O231" s="5" t="n">
        <v>46198.2083333333</v>
      </c>
      <c r="P231" s="5" t="n">
        <v>46224.5597222222</v>
      </c>
      <c r="Q231" s="1" t="n">
        <v>58.0711</v>
      </c>
      <c r="R231" s="1" t="n">
        <v>-98.4203</v>
      </c>
      <c r="S231" s="1" t="s">
        <v>988</v>
      </c>
      <c r="T231" s="1" t="n">
        <v>2026</v>
      </c>
      <c r="U231" s="1" t="n">
        <v>2026</v>
      </c>
      <c r="V231" s="5" t="n">
        <v>46199.53125</v>
      </c>
      <c r="W231" s="6" t="n">
        <v>46387.9999999884</v>
      </c>
    </row>
    <row r="232" customFormat="false" ht="12.75" hidden="false" customHeight="false" outlineLevel="0" collapsed="false">
      <c r="A232" s="1" t="s">
        <v>989</v>
      </c>
      <c r="B232" s="1" t="n">
        <v>16576646</v>
      </c>
      <c r="C232" s="1" t="s">
        <v>474</v>
      </c>
      <c r="D232" s="1" t="s">
        <v>480</v>
      </c>
      <c r="E232" s="1" t="s">
        <v>990</v>
      </c>
      <c r="F232" s="1" t="s">
        <v>991</v>
      </c>
      <c r="G232" s="2" t="s">
        <v>28</v>
      </c>
      <c r="H232" s="1" t="n">
        <v>-1</v>
      </c>
      <c r="I232" s="1" t="n">
        <v>-1</v>
      </c>
      <c r="J232" s="1" t="n">
        <v>-1</v>
      </c>
      <c r="K232" s="1" t="n">
        <v>-1</v>
      </c>
      <c r="L232" s="2" t="n">
        <v>75</v>
      </c>
      <c r="M232" s="1" t="s">
        <v>65</v>
      </c>
      <c r="N232" s="1" t="s">
        <v>105</v>
      </c>
      <c r="O232" s="5" t="n">
        <v>46198.2083333333</v>
      </c>
      <c r="P232" s="5" t="n">
        <v>46224.5597222222</v>
      </c>
      <c r="Q232" s="1" t="n">
        <v>59.2475</v>
      </c>
      <c r="R232" s="1" t="n">
        <v>-98.9308</v>
      </c>
      <c r="S232" s="1" t="s">
        <v>992</v>
      </c>
      <c r="T232" s="1" t="n">
        <v>2026</v>
      </c>
      <c r="U232" s="1" t="n">
        <v>2026</v>
      </c>
      <c r="V232" s="5" t="n">
        <v>46199.53125</v>
      </c>
      <c r="W232" s="6" t="n">
        <v>46387.9999999884</v>
      </c>
    </row>
    <row r="233" customFormat="false" ht="12.75" hidden="false" customHeight="false" outlineLevel="0" collapsed="false">
      <c r="A233" s="1" t="s">
        <v>993</v>
      </c>
      <c r="B233" s="1" t="n">
        <v>16576654</v>
      </c>
      <c r="C233" s="1" t="s">
        <v>474</v>
      </c>
      <c r="D233" s="1" t="s">
        <v>480</v>
      </c>
      <c r="E233" s="1" t="s">
        <v>994</v>
      </c>
      <c r="F233" s="1" t="s">
        <v>995</v>
      </c>
      <c r="G233" s="2" t="s">
        <v>28</v>
      </c>
      <c r="H233" s="1" t="n">
        <v>-1</v>
      </c>
      <c r="I233" s="1" t="n">
        <v>-1</v>
      </c>
      <c r="J233" s="1" t="n">
        <v>-1</v>
      </c>
      <c r="K233" s="1" t="n">
        <v>-1</v>
      </c>
      <c r="L233" s="2" t="n">
        <v>34</v>
      </c>
      <c r="M233" s="1" t="s">
        <v>65</v>
      </c>
      <c r="N233" s="1" t="s">
        <v>105</v>
      </c>
      <c r="O233" s="5" t="n">
        <v>46198.2083333333</v>
      </c>
      <c r="P233" s="5" t="n">
        <v>46224.5597222222</v>
      </c>
      <c r="Q233" s="1" t="n">
        <v>59.4164</v>
      </c>
      <c r="R233" s="1" t="n">
        <v>-100.9147</v>
      </c>
      <c r="S233" s="1" t="s">
        <v>996</v>
      </c>
      <c r="T233" s="1" t="n">
        <v>2026</v>
      </c>
      <c r="U233" s="1" t="n">
        <v>2026</v>
      </c>
      <c r="V233" s="5" t="n">
        <v>46199.53125</v>
      </c>
      <c r="W233" s="6" t="n">
        <v>46387.9999999884</v>
      </c>
    </row>
    <row r="234" customFormat="false" ht="12.75" hidden="false" customHeight="false" outlineLevel="0" collapsed="false">
      <c r="A234" s="1" t="s">
        <v>997</v>
      </c>
      <c r="B234" s="1" t="n">
        <v>16576651</v>
      </c>
      <c r="C234" s="1" t="s">
        <v>474</v>
      </c>
      <c r="D234" s="1" t="s">
        <v>480</v>
      </c>
      <c r="E234" s="1" t="s">
        <v>998</v>
      </c>
      <c r="F234" s="1" t="s">
        <v>999</v>
      </c>
      <c r="G234" s="2" t="s">
        <v>28</v>
      </c>
      <c r="H234" s="1" t="n">
        <v>-1</v>
      </c>
      <c r="I234" s="1" t="n">
        <v>-1</v>
      </c>
      <c r="J234" s="1" t="n">
        <v>-1</v>
      </c>
      <c r="K234" s="1" t="n">
        <v>-1</v>
      </c>
      <c r="L234" s="2" t="n">
        <v>45</v>
      </c>
      <c r="M234" s="1" t="s">
        <v>65</v>
      </c>
      <c r="N234" s="1" t="s">
        <v>105</v>
      </c>
      <c r="O234" s="5" t="n">
        <v>46198.2083333333</v>
      </c>
      <c r="P234" s="5" t="n">
        <v>46224.5597222222</v>
      </c>
      <c r="Q234" s="1" t="n">
        <v>58.8094</v>
      </c>
      <c r="R234" s="1" t="n">
        <v>-99.6133</v>
      </c>
      <c r="S234" s="1" t="s">
        <v>1000</v>
      </c>
      <c r="T234" s="1" t="n">
        <v>2026</v>
      </c>
      <c r="U234" s="1" t="n">
        <v>2026</v>
      </c>
      <c r="V234" s="5" t="n">
        <v>46199.53125</v>
      </c>
      <c r="W234" s="6" t="n">
        <v>46387.9999999884</v>
      </c>
    </row>
    <row r="235" customFormat="false" ht="12.75" hidden="false" customHeight="false" outlineLevel="0" collapsed="false">
      <c r="A235" s="1" t="s">
        <v>1001</v>
      </c>
      <c r="B235" s="1" t="n">
        <v>16576653</v>
      </c>
      <c r="C235" s="1" t="s">
        <v>474</v>
      </c>
      <c r="D235" s="1" t="s">
        <v>480</v>
      </c>
      <c r="E235" s="1" t="s">
        <v>1002</v>
      </c>
      <c r="F235" s="1" t="s">
        <v>1003</v>
      </c>
      <c r="G235" s="2" t="s">
        <v>28</v>
      </c>
      <c r="H235" s="1" t="n">
        <v>-1</v>
      </c>
      <c r="I235" s="1" t="n">
        <v>-1</v>
      </c>
      <c r="J235" s="1" t="n">
        <v>-1</v>
      </c>
      <c r="K235" s="1" t="n">
        <v>-1</v>
      </c>
      <c r="L235" s="2" t="n">
        <v>10</v>
      </c>
      <c r="M235" s="1" t="s">
        <v>65</v>
      </c>
      <c r="N235" s="1" t="s">
        <v>105</v>
      </c>
      <c r="O235" s="5" t="n">
        <v>46198.2083333333</v>
      </c>
      <c r="P235" s="5" t="n">
        <v>46224.5597222222</v>
      </c>
      <c r="Q235" s="1" t="n">
        <v>58.9828</v>
      </c>
      <c r="R235" s="1" t="n">
        <v>-100.1422</v>
      </c>
      <c r="S235" s="1" t="s">
        <v>1004</v>
      </c>
      <c r="T235" s="1" t="n">
        <v>2026</v>
      </c>
      <c r="U235" s="1" t="n">
        <v>2026</v>
      </c>
      <c r="V235" s="5" t="n">
        <v>46199.53125</v>
      </c>
      <c r="W235" s="6" t="n">
        <v>46387.9999999884</v>
      </c>
    </row>
    <row r="236" customFormat="false" ht="12.75" hidden="false" customHeight="false" outlineLevel="0" collapsed="false">
      <c r="A236" s="1" t="s">
        <v>1005</v>
      </c>
      <c r="B236" s="1" t="n">
        <v>16533208</v>
      </c>
      <c r="C236" s="1" t="s">
        <v>474</v>
      </c>
      <c r="D236" s="1" t="s">
        <v>480</v>
      </c>
      <c r="E236" s="1" t="s">
        <v>1006</v>
      </c>
      <c r="F236" s="1" t="s">
        <v>1007</v>
      </c>
      <c r="G236" s="2" t="s">
        <v>28</v>
      </c>
      <c r="H236" s="1" t="n">
        <v>-1</v>
      </c>
      <c r="I236" s="1" t="n">
        <v>-1</v>
      </c>
      <c r="J236" s="1" t="n">
        <v>-1</v>
      </c>
      <c r="K236" s="1" t="n">
        <v>-1</v>
      </c>
      <c r="L236" s="2" t="n">
        <v>90</v>
      </c>
      <c r="M236" s="1" t="s">
        <v>65</v>
      </c>
      <c r="N236" s="1" t="s">
        <v>105</v>
      </c>
      <c r="O236" s="5" t="n">
        <v>46198.2083333333</v>
      </c>
      <c r="P236" s="5" t="n">
        <v>46224.5590277778</v>
      </c>
      <c r="Q236" s="1" t="n">
        <v>59.0867</v>
      </c>
      <c r="R236" s="1" t="n">
        <v>-97.5753</v>
      </c>
      <c r="S236" s="1" t="s">
        <v>1008</v>
      </c>
      <c r="T236" s="1" t="n">
        <v>2026</v>
      </c>
      <c r="U236" s="1" t="n">
        <v>2026</v>
      </c>
      <c r="V236" s="5" t="n">
        <v>46198.6979166667</v>
      </c>
      <c r="W236" s="6" t="n">
        <v>46387.9999999884</v>
      </c>
    </row>
    <row r="237" customFormat="false" ht="12.75" hidden="false" customHeight="false" outlineLevel="0" collapsed="false">
      <c r="A237" s="1" t="s">
        <v>1009</v>
      </c>
      <c r="B237" s="1" t="n">
        <v>16533207</v>
      </c>
      <c r="C237" s="1" t="s">
        <v>474</v>
      </c>
      <c r="D237" s="1" t="s">
        <v>480</v>
      </c>
      <c r="E237" s="1" t="s">
        <v>1010</v>
      </c>
      <c r="F237" s="1" t="s">
        <v>1011</v>
      </c>
      <c r="G237" s="2" t="s">
        <v>28</v>
      </c>
      <c r="H237" s="1" t="n">
        <v>-1</v>
      </c>
      <c r="I237" s="1" t="n">
        <v>-1</v>
      </c>
      <c r="J237" s="1" t="n">
        <v>-1</v>
      </c>
      <c r="K237" s="1" t="n">
        <v>-1</v>
      </c>
      <c r="L237" s="2" t="n">
        <v>50</v>
      </c>
      <c r="M237" s="1" t="s">
        <v>65</v>
      </c>
      <c r="N237" s="1" t="s">
        <v>105</v>
      </c>
      <c r="O237" s="5" t="n">
        <v>46198.2083333333</v>
      </c>
      <c r="P237" s="5" t="n">
        <v>46224.5590277778</v>
      </c>
      <c r="Q237" s="1" t="n">
        <v>58.0958</v>
      </c>
      <c r="R237" s="1" t="n">
        <v>-101.9314</v>
      </c>
      <c r="S237" s="1" t="s">
        <v>1012</v>
      </c>
      <c r="T237" s="1" t="n">
        <v>2026</v>
      </c>
      <c r="U237" s="1" t="n">
        <v>2026</v>
      </c>
      <c r="V237" s="5" t="n">
        <v>46198.6979166667</v>
      </c>
      <c r="W237" s="6" t="n">
        <v>46387.9999999884</v>
      </c>
    </row>
    <row r="238" customFormat="false" ht="12.75" hidden="false" customHeight="false" outlineLevel="0" collapsed="false">
      <c r="A238" s="1" t="s">
        <v>1013</v>
      </c>
      <c r="B238" s="1" t="n">
        <v>16533209</v>
      </c>
      <c r="C238" s="1" t="s">
        <v>474</v>
      </c>
      <c r="D238" s="1" t="s">
        <v>480</v>
      </c>
      <c r="E238" s="1" t="s">
        <v>1014</v>
      </c>
      <c r="F238" s="1" t="s">
        <v>1015</v>
      </c>
      <c r="G238" s="2" t="s">
        <v>28</v>
      </c>
      <c r="H238" s="1" t="n">
        <v>-1</v>
      </c>
      <c r="I238" s="1" t="n">
        <v>-1</v>
      </c>
      <c r="J238" s="1" t="n">
        <v>-1</v>
      </c>
      <c r="K238" s="1" t="n">
        <v>-1</v>
      </c>
      <c r="L238" s="2" t="n">
        <v>5</v>
      </c>
      <c r="M238" s="1" t="s">
        <v>65</v>
      </c>
      <c r="N238" s="1" t="s">
        <v>105</v>
      </c>
      <c r="O238" s="5" t="n">
        <v>46198.2083333333</v>
      </c>
      <c r="P238" s="5" t="n">
        <v>46224.5590277778</v>
      </c>
      <c r="Q238" s="1" t="n">
        <v>59.2503</v>
      </c>
      <c r="R238" s="1" t="n">
        <v>-97.5239</v>
      </c>
      <c r="S238" s="1" t="s">
        <v>1016</v>
      </c>
      <c r="T238" s="1" t="n">
        <v>2026</v>
      </c>
      <c r="U238" s="1" t="n">
        <v>2026</v>
      </c>
      <c r="V238" s="5" t="n">
        <v>46198.6979166667</v>
      </c>
      <c r="W238" s="6" t="n">
        <v>46387.9999999884</v>
      </c>
    </row>
    <row r="239" customFormat="false" ht="12.75" hidden="false" customHeight="false" outlineLevel="0" collapsed="false">
      <c r="A239" s="1" t="s">
        <v>1017</v>
      </c>
      <c r="B239" s="1" t="n">
        <v>16533206</v>
      </c>
      <c r="C239" s="1" t="s">
        <v>474</v>
      </c>
      <c r="D239" s="1" t="s">
        <v>480</v>
      </c>
      <c r="E239" s="1" t="s">
        <v>1018</v>
      </c>
      <c r="F239" s="1" t="s">
        <v>1019</v>
      </c>
      <c r="G239" s="2" t="s">
        <v>28</v>
      </c>
      <c r="H239" s="1" t="n">
        <v>-1</v>
      </c>
      <c r="I239" s="1" t="n">
        <v>-1</v>
      </c>
      <c r="J239" s="1" t="n">
        <v>-1</v>
      </c>
      <c r="K239" s="1" t="n">
        <v>-1</v>
      </c>
      <c r="L239" s="2" t="n">
        <v>0.1</v>
      </c>
      <c r="M239" s="1" t="s">
        <v>65</v>
      </c>
      <c r="N239" s="1" t="s">
        <v>105</v>
      </c>
      <c r="O239" s="5" t="n">
        <v>46198.2083333333</v>
      </c>
      <c r="P239" s="5" t="n">
        <v>46224.5590277778</v>
      </c>
      <c r="Q239" s="1" t="n">
        <v>57.57</v>
      </c>
      <c r="R239" s="1" t="n">
        <v>-100.5633</v>
      </c>
      <c r="S239" s="1" t="s">
        <v>1020</v>
      </c>
      <c r="T239" s="1" t="n">
        <v>2026</v>
      </c>
      <c r="U239" s="1" t="n">
        <v>2026</v>
      </c>
      <c r="V239" s="5" t="n">
        <v>46198.6979166667</v>
      </c>
      <c r="W239" s="6" t="n">
        <v>46387.9999999884</v>
      </c>
    </row>
    <row r="240" customFormat="false" ht="12.75" hidden="false" customHeight="false" outlineLevel="0" collapsed="false">
      <c r="A240" s="1" t="s">
        <v>1021</v>
      </c>
      <c r="B240" s="1" t="n">
        <v>16524861</v>
      </c>
      <c r="C240" s="1" t="s">
        <v>474</v>
      </c>
      <c r="D240" s="1" t="s">
        <v>480</v>
      </c>
      <c r="E240" s="1" t="s">
        <v>1022</v>
      </c>
      <c r="F240" s="1" t="s">
        <v>1023</v>
      </c>
      <c r="G240" s="2" t="s">
        <v>28</v>
      </c>
      <c r="H240" s="1" t="n">
        <v>-1</v>
      </c>
      <c r="I240" s="1" t="n">
        <v>-1</v>
      </c>
      <c r="J240" s="1" t="n">
        <v>-1</v>
      </c>
      <c r="K240" s="1" t="n">
        <v>-1</v>
      </c>
      <c r="L240" s="2" t="n">
        <v>0.1</v>
      </c>
      <c r="M240" s="1" t="s">
        <v>65</v>
      </c>
      <c r="N240" s="1" t="s">
        <v>105</v>
      </c>
      <c r="O240" s="5" t="n">
        <v>46197.2083333333</v>
      </c>
      <c r="P240" s="5" t="n">
        <v>46224.5590277778</v>
      </c>
      <c r="Q240" s="1" t="n">
        <v>56.5697</v>
      </c>
      <c r="R240" s="1" t="n">
        <v>-100.2867</v>
      </c>
      <c r="S240" s="1" t="s">
        <v>1024</v>
      </c>
      <c r="T240" s="1" t="n">
        <v>2026</v>
      </c>
      <c r="U240" s="1" t="n">
        <v>2026</v>
      </c>
      <c r="V240" s="5" t="n">
        <v>46198.53125</v>
      </c>
      <c r="W240" s="6" t="n">
        <v>46387.9999999884</v>
      </c>
    </row>
    <row r="241" customFormat="false" ht="12.75" hidden="false" customHeight="false" outlineLevel="0" collapsed="false">
      <c r="A241" s="1" t="s">
        <v>1025</v>
      </c>
      <c r="B241" s="1" t="n">
        <v>16524859</v>
      </c>
      <c r="C241" s="1" t="s">
        <v>474</v>
      </c>
      <c r="D241" s="1" t="s">
        <v>480</v>
      </c>
      <c r="E241" s="1" t="s">
        <v>1026</v>
      </c>
      <c r="F241" s="1" t="s">
        <v>1027</v>
      </c>
      <c r="G241" s="2" t="s">
        <v>28</v>
      </c>
      <c r="H241" s="1" t="n">
        <v>-1</v>
      </c>
      <c r="I241" s="1" t="n">
        <v>-1</v>
      </c>
      <c r="J241" s="1" t="n">
        <v>-1</v>
      </c>
      <c r="K241" s="1" t="n">
        <v>-1</v>
      </c>
      <c r="L241" s="2" t="n">
        <v>15</v>
      </c>
      <c r="M241" s="1" t="s">
        <v>65</v>
      </c>
      <c r="N241" s="1" t="s">
        <v>105</v>
      </c>
      <c r="O241" s="5" t="n">
        <v>46197.2083333333</v>
      </c>
      <c r="P241" s="5" t="n">
        <v>46224.5590277778</v>
      </c>
      <c r="Q241" s="1" t="n">
        <v>58.0631</v>
      </c>
      <c r="R241" s="1" t="n">
        <v>-101.5581</v>
      </c>
      <c r="S241" s="1" t="s">
        <v>1028</v>
      </c>
      <c r="T241" s="1" t="n">
        <v>2026</v>
      </c>
      <c r="U241" s="1" t="n">
        <v>2026</v>
      </c>
      <c r="V241" s="5" t="n">
        <v>46198.53125</v>
      </c>
      <c r="W241" s="6" t="n">
        <v>46387.9999999884</v>
      </c>
    </row>
    <row r="242" customFormat="false" ht="12.75" hidden="false" customHeight="false" outlineLevel="0" collapsed="false">
      <c r="A242" s="1" t="s">
        <v>1029</v>
      </c>
      <c r="B242" s="1" t="n">
        <v>16524857</v>
      </c>
      <c r="C242" s="1" t="s">
        <v>474</v>
      </c>
      <c r="D242" s="1" t="s">
        <v>480</v>
      </c>
      <c r="E242" s="1" t="s">
        <v>1030</v>
      </c>
      <c r="F242" s="1" t="s">
        <v>1031</v>
      </c>
      <c r="G242" s="2" t="s">
        <v>28</v>
      </c>
      <c r="H242" s="1" t="n">
        <v>-1</v>
      </c>
      <c r="I242" s="1" t="n">
        <v>-1</v>
      </c>
      <c r="J242" s="1" t="n">
        <v>-1</v>
      </c>
      <c r="K242" s="1" t="n">
        <v>-1</v>
      </c>
      <c r="L242" s="2" t="n">
        <v>20</v>
      </c>
      <c r="M242" s="1" t="s">
        <v>70</v>
      </c>
      <c r="N242" s="1" t="s">
        <v>105</v>
      </c>
      <c r="O242" s="5" t="n">
        <v>46197.2083333333</v>
      </c>
      <c r="P242" s="5" t="n">
        <v>46224.5590277778</v>
      </c>
      <c r="Q242" s="1" t="n">
        <v>58.8128</v>
      </c>
      <c r="R242" s="1" t="n">
        <v>-102.0008</v>
      </c>
      <c r="S242" s="1" t="s">
        <v>1032</v>
      </c>
      <c r="T242" s="1" t="n">
        <v>2026</v>
      </c>
      <c r="U242" s="1" t="n">
        <v>2026</v>
      </c>
      <c r="V242" s="5" t="n">
        <v>46198.53125</v>
      </c>
      <c r="W242" s="6" t="n">
        <v>46387.9999999884</v>
      </c>
    </row>
    <row r="243" customFormat="false" ht="12.75" hidden="false" customHeight="false" outlineLevel="0" collapsed="false">
      <c r="A243" s="1" t="s">
        <v>1033</v>
      </c>
      <c r="B243" s="1" t="n">
        <v>16524864</v>
      </c>
      <c r="C243" s="1" t="s">
        <v>474</v>
      </c>
      <c r="D243" s="1" t="s">
        <v>480</v>
      </c>
      <c r="E243" s="1" t="s">
        <v>1034</v>
      </c>
      <c r="F243" s="1" t="s">
        <v>1035</v>
      </c>
      <c r="G243" s="2" t="s">
        <v>28</v>
      </c>
      <c r="H243" s="1" t="n">
        <v>-1</v>
      </c>
      <c r="I243" s="1" t="n">
        <v>-1</v>
      </c>
      <c r="J243" s="1" t="n">
        <v>-1</v>
      </c>
      <c r="K243" s="1" t="n">
        <v>-1</v>
      </c>
      <c r="L243" s="2" t="n">
        <v>300</v>
      </c>
      <c r="M243" s="1" t="s">
        <v>65</v>
      </c>
      <c r="N243" s="1" t="s">
        <v>105</v>
      </c>
      <c r="O243" s="5" t="n">
        <v>46197.2083333333</v>
      </c>
      <c r="P243" s="5" t="n">
        <v>46224.5590277778</v>
      </c>
      <c r="Q243" s="1" t="n">
        <v>57.96</v>
      </c>
      <c r="R243" s="1" t="n">
        <v>-100.5072</v>
      </c>
      <c r="S243" s="1" t="s">
        <v>1036</v>
      </c>
      <c r="T243" s="1" t="n">
        <v>2026</v>
      </c>
      <c r="U243" s="1" t="n">
        <v>2026</v>
      </c>
      <c r="V243" s="5" t="n">
        <v>46198.53125</v>
      </c>
      <c r="W243" s="6" t="n">
        <v>46387.9999999884</v>
      </c>
    </row>
    <row r="244" customFormat="false" ht="12.75" hidden="false" customHeight="false" outlineLevel="0" collapsed="false">
      <c r="A244" s="1" t="s">
        <v>1037</v>
      </c>
      <c r="B244" s="1" t="n">
        <v>16524863</v>
      </c>
      <c r="C244" s="1" t="s">
        <v>474</v>
      </c>
      <c r="D244" s="1" t="s">
        <v>480</v>
      </c>
      <c r="E244" s="1" t="s">
        <v>1038</v>
      </c>
      <c r="F244" s="1" t="s">
        <v>1039</v>
      </c>
      <c r="G244" s="2" t="s">
        <v>28</v>
      </c>
      <c r="H244" s="1" t="n">
        <v>-1</v>
      </c>
      <c r="I244" s="1" t="n">
        <v>-1</v>
      </c>
      <c r="J244" s="1" t="n">
        <v>-1</v>
      </c>
      <c r="K244" s="1" t="n">
        <v>-1</v>
      </c>
      <c r="L244" s="2" t="n">
        <v>100</v>
      </c>
      <c r="M244" s="1" t="s">
        <v>65</v>
      </c>
      <c r="N244" s="1" t="s">
        <v>105</v>
      </c>
      <c r="O244" s="5" t="n">
        <v>46197.2083333333</v>
      </c>
      <c r="P244" s="5" t="n">
        <v>46224.5590277778</v>
      </c>
      <c r="Q244" s="1" t="n">
        <v>57.6308</v>
      </c>
      <c r="R244" s="1" t="n">
        <v>-100.7383</v>
      </c>
      <c r="S244" s="1" t="s">
        <v>1040</v>
      </c>
      <c r="T244" s="1" t="n">
        <v>2026</v>
      </c>
      <c r="U244" s="1" t="n">
        <v>2026</v>
      </c>
      <c r="V244" s="5" t="n">
        <v>46198.53125</v>
      </c>
      <c r="W244" s="6" t="n">
        <v>46387.9999999884</v>
      </c>
    </row>
    <row r="245" customFormat="false" ht="12.75" hidden="false" customHeight="false" outlineLevel="0" collapsed="false">
      <c r="A245" s="1" t="s">
        <v>1041</v>
      </c>
      <c r="B245" s="1" t="n">
        <v>15871290</v>
      </c>
      <c r="C245" s="1" t="s">
        <v>474</v>
      </c>
      <c r="D245" s="1" t="s">
        <v>480</v>
      </c>
      <c r="E245" s="1" t="s">
        <v>1042</v>
      </c>
      <c r="F245" s="1" t="s">
        <v>1043</v>
      </c>
      <c r="G245" s="2" t="s">
        <v>28</v>
      </c>
      <c r="H245" s="1" t="n">
        <v>-1</v>
      </c>
      <c r="I245" s="1" t="n">
        <v>-1</v>
      </c>
      <c r="J245" s="1" t="n">
        <v>-1</v>
      </c>
      <c r="K245" s="1" t="n">
        <v>-1</v>
      </c>
      <c r="L245" s="2" t="n">
        <v>65</v>
      </c>
      <c r="M245" s="1" t="s">
        <v>65</v>
      </c>
      <c r="N245" s="1" t="s">
        <v>105</v>
      </c>
      <c r="O245" s="5" t="n">
        <v>46182.2083333333</v>
      </c>
      <c r="P245" s="5" t="n">
        <v>46224.5590277778</v>
      </c>
      <c r="Q245" s="1" t="n">
        <v>56.8558</v>
      </c>
      <c r="R245" s="1" t="n">
        <v>-90.5031</v>
      </c>
      <c r="S245" s="1" t="s">
        <v>1044</v>
      </c>
      <c r="T245" s="1" t="n">
        <v>2026</v>
      </c>
      <c r="U245" s="1" t="n">
        <v>2026</v>
      </c>
      <c r="V245" s="5" t="n">
        <v>46183.6145833333</v>
      </c>
      <c r="W245" s="6" t="n">
        <v>46387.9999999884</v>
      </c>
    </row>
    <row r="246" customFormat="false" ht="12.75" hidden="false" customHeight="false" outlineLevel="0" collapsed="false">
      <c r="A246" s="1" t="s">
        <v>1045</v>
      </c>
      <c r="B246" s="1" t="n">
        <v>15871288</v>
      </c>
      <c r="C246" s="1" t="s">
        <v>474</v>
      </c>
      <c r="D246" s="1" t="s">
        <v>480</v>
      </c>
      <c r="E246" s="1" t="s">
        <v>1046</v>
      </c>
      <c r="F246" s="1" t="s">
        <v>1047</v>
      </c>
      <c r="G246" s="2" t="s">
        <v>28</v>
      </c>
      <c r="H246" s="1" t="n">
        <v>-1</v>
      </c>
      <c r="I246" s="1" t="n">
        <v>-1</v>
      </c>
      <c r="J246" s="1" t="n">
        <v>-1</v>
      </c>
      <c r="K246" s="1" t="n">
        <v>-1</v>
      </c>
      <c r="L246" s="2" t="n">
        <v>200</v>
      </c>
      <c r="M246" s="1" t="s">
        <v>65</v>
      </c>
      <c r="N246" s="1" t="s">
        <v>105</v>
      </c>
      <c r="O246" s="5" t="n">
        <v>46182.2083333333</v>
      </c>
      <c r="P246" s="5" t="n">
        <v>46224.5590277778</v>
      </c>
      <c r="Q246" s="1" t="n">
        <v>56.7206</v>
      </c>
      <c r="R246" s="1" t="n">
        <v>-91.5728</v>
      </c>
      <c r="S246" s="1" t="s">
        <v>1048</v>
      </c>
      <c r="T246" s="1" t="n">
        <v>2026</v>
      </c>
      <c r="U246" s="1" t="n">
        <v>2026</v>
      </c>
      <c r="V246" s="5" t="n">
        <v>46183.6145833333</v>
      </c>
      <c r="W246" s="6" t="n">
        <v>46387.9999999884</v>
      </c>
    </row>
    <row r="247" customFormat="false" ht="12.75" hidden="false" customHeight="false" outlineLevel="0" collapsed="false">
      <c r="A247" s="1" t="s">
        <v>1049</v>
      </c>
      <c r="B247" s="1" t="n">
        <v>15871291</v>
      </c>
      <c r="C247" s="1" t="s">
        <v>474</v>
      </c>
      <c r="D247" s="1" t="s">
        <v>480</v>
      </c>
      <c r="E247" s="1" t="s">
        <v>1050</v>
      </c>
      <c r="F247" s="1" t="s">
        <v>1051</v>
      </c>
      <c r="G247" s="2" t="s">
        <v>28</v>
      </c>
      <c r="H247" s="1" t="n">
        <v>-1</v>
      </c>
      <c r="I247" s="1" t="n">
        <v>-1</v>
      </c>
      <c r="J247" s="1" t="n">
        <v>-1</v>
      </c>
      <c r="K247" s="1" t="n">
        <v>-1</v>
      </c>
      <c r="L247" s="2" t="n">
        <v>900</v>
      </c>
      <c r="M247" s="1" t="s">
        <v>65</v>
      </c>
      <c r="N247" s="1" t="s">
        <v>105</v>
      </c>
      <c r="O247" s="5" t="n">
        <v>46182.2083333333</v>
      </c>
      <c r="P247" s="5" t="n">
        <v>46224.5590277778</v>
      </c>
      <c r="Q247" s="1" t="n">
        <v>55.0986</v>
      </c>
      <c r="R247" s="1" t="n">
        <v>-92.3136</v>
      </c>
      <c r="S247" s="1" t="s">
        <v>1052</v>
      </c>
      <c r="T247" s="1" t="n">
        <v>2026</v>
      </c>
      <c r="U247" s="1" t="n">
        <v>2026</v>
      </c>
      <c r="V247" s="5" t="n">
        <v>46183.6145833333</v>
      </c>
      <c r="W247" s="6" t="n">
        <v>46387.9999999884</v>
      </c>
    </row>
    <row r="248" customFormat="false" ht="12.75" hidden="false" customHeight="false" outlineLevel="0" collapsed="false">
      <c r="A248" s="1" t="s">
        <v>1053</v>
      </c>
      <c r="B248" s="1" t="n">
        <v>15000861</v>
      </c>
      <c r="C248" s="1" t="s">
        <v>474</v>
      </c>
      <c r="D248" s="1" t="s">
        <v>480</v>
      </c>
      <c r="E248" s="1" t="s">
        <v>1054</v>
      </c>
      <c r="F248" s="1" t="s">
        <v>1055</v>
      </c>
      <c r="G248" s="2" t="s">
        <v>28</v>
      </c>
      <c r="H248" s="1" t="n">
        <v>-1</v>
      </c>
      <c r="I248" s="1" t="n">
        <v>-1</v>
      </c>
      <c r="J248" s="1" t="n">
        <v>-1</v>
      </c>
      <c r="K248" s="1" t="n">
        <v>-1</v>
      </c>
      <c r="L248" s="2" t="n">
        <v>500</v>
      </c>
      <c r="M248" s="1" t="s">
        <v>65</v>
      </c>
      <c r="N248" s="1" t="s">
        <v>105</v>
      </c>
      <c r="O248" s="5" t="n">
        <v>46174.2083333333</v>
      </c>
      <c r="P248" s="5" t="n">
        <v>46224.5590277778</v>
      </c>
      <c r="Q248" s="1" t="n">
        <v>58.7008</v>
      </c>
      <c r="R248" s="1" t="n">
        <v>-97.1925</v>
      </c>
      <c r="S248" s="1" t="s">
        <v>1056</v>
      </c>
      <c r="T248" s="1" t="n">
        <v>2026</v>
      </c>
      <c r="U248" s="1" t="n">
        <v>2026</v>
      </c>
      <c r="V248" s="5" t="n">
        <v>46175.6145833333</v>
      </c>
      <c r="W248" s="6" t="n">
        <v>46387.9999999884</v>
      </c>
    </row>
    <row r="249" customFormat="false" ht="12.75" hidden="false" customHeight="false" outlineLevel="0" collapsed="false">
      <c r="A249" s="1" t="s">
        <v>1057</v>
      </c>
      <c r="B249" s="1" t="n">
        <v>15000858</v>
      </c>
      <c r="C249" s="1" t="s">
        <v>474</v>
      </c>
      <c r="D249" s="1" t="s">
        <v>480</v>
      </c>
      <c r="E249" s="1" t="s">
        <v>1058</v>
      </c>
      <c r="F249" s="1" t="s">
        <v>1059</v>
      </c>
      <c r="G249" s="2" t="s">
        <v>28</v>
      </c>
      <c r="H249" s="1" t="n">
        <v>-1</v>
      </c>
      <c r="I249" s="1" t="n">
        <v>-1</v>
      </c>
      <c r="J249" s="1" t="n">
        <v>-1</v>
      </c>
      <c r="K249" s="1" t="n">
        <v>-1</v>
      </c>
      <c r="L249" s="2" t="n">
        <v>100</v>
      </c>
      <c r="M249" s="1" t="s">
        <v>65</v>
      </c>
      <c r="N249" s="1" t="s">
        <v>105</v>
      </c>
      <c r="O249" s="5" t="n">
        <v>46174.2083333333</v>
      </c>
      <c r="P249" s="5" t="n">
        <v>46224.5590277778</v>
      </c>
      <c r="Q249" s="1" t="n">
        <v>57.9569</v>
      </c>
      <c r="R249" s="1" t="n">
        <v>-100.0939</v>
      </c>
      <c r="S249" s="1" t="s">
        <v>1060</v>
      </c>
      <c r="T249" s="1" t="n">
        <v>2026</v>
      </c>
      <c r="U249" s="1" t="n">
        <v>2026</v>
      </c>
      <c r="V249" s="5" t="n">
        <v>46175.6145833333</v>
      </c>
      <c r="W249" s="6" t="n">
        <v>46387.9999999884</v>
      </c>
    </row>
    <row r="250" customFormat="false" ht="12.75" hidden="false" customHeight="false" outlineLevel="0" collapsed="false">
      <c r="A250" s="1" t="s">
        <v>1061</v>
      </c>
      <c r="B250" s="1" t="n">
        <v>15000862</v>
      </c>
      <c r="C250" s="1" t="s">
        <v>474</v>
      </c>
      <c r="D250" s="1" t="s">
        <v>480</v>
      </c>
      <c r="E250" s="1" t="s">
        <v>1062</v>
      </c>
      <c r="F250" s="1" t="s">
        <v>1063</v>
      </c>
      <c r="G250" s="2" t="s">
        <v>28</v>
      </c>
      <c r="H250" s="1" t="n">
        <v>-1</v>
      </c>
      <c r="I250" s="1" t="n">
        <v>-1</v>
      </c>
      <c r="J250" s="1" t="n">
        <v>-1</v>
      </c>
      <c r="K250" s="1" t="n">
        <v>-1</v>
      </c>
      <c r="L250" s="2" t="n">
        <v>500</v>
      </c>
      <c r="M250" s="1" t="s">
        <v>65</v>
      </c>
      <c r="N250" s="1" t="s">
        <v>105</v>
      </c>
      <c r="O250" s="5" t="n">
        <v>46174.2083333333</v>
      </c>
      <c r="P250" s="5" t="n">
        <v>46224.5590277778</v>
      </c>
      <c r="Q250" s="1" t="n">
        <v>58.6247</v>
      </c>
      <c r="R250" s="1" t="n">
        <v>-97.0297</v>
      </c>
      <c r="S250" s="1" t="s">
        <v>1064</v>
      </c>
      <c r="T250" s="1" t="n">
        <v>2026</v>
      </c>
      <c r="U250" s="1" t="n">
        <v>2026</v>
      </c>
      <c r="V250" s="5" t="n">
        <v>46175.6145833333</v>
      </c>
      <c r="W250" s="6" t="n">
        <v>46387.9999999884</v>
      </c>
    </row>
    <row r="251" customFormat="false" ht="12.75" hidden="false" customHeight="false" outlineLevel="0" collapsed="false">
      <c r="A251" s="1" t="s">
        <v>1065</v>
      </c>
      <c r="B251" s="1" t="n">
        <v>18172172</v>
      </c>
      <c r="C251" s="1" t="s">
        <v>1066</v>
      </c>
      <c r="E251" s="1" t="s">
        <v>1067</v>
      </c>
      <c r="F251" s="1" t="n">
        <v>2026310</v>
      </c>
      <c r="G251" s="2" t="s">
        <v>36</v>
      </c>
      <c r="H251" s="1" t="n">
        <v>-1</v>
      </c>
      <c r="I251" s="1" t="n">
        <v>-1</v>
      </c>
      <c r="J251" s="1" t="n">
        <v>0</v>
      </c>
      <c r="K251" s="1" t="n">
        <v>-1</v>
      </c>
      <c r="L251" s="2" t="n">
        <v>17.5</v>
      </c>
      <c r="M251" s="1" t="s">
        <v>29</v>
      </c>
      <c r="N251" s="1" t="s">
        <v>37</v>
      </c>
      <c r="O251" s="5" t="n">
        <v>46219.2881944444</v>
      </c>
      <c r="P251" s="5" t="n">
        <v>46223.3652777778</v>
      </c>
      <c r="Q251" s="1" t="n">
        <v>45.5524</v>
      </c>
      <c r="R251" s="1" t="n">
        <v>-67.0694</v>
      </c>
      <c r="S251" s="1" t="s">
        <v>1068</v>
      </c>
      <c r="T251" s="1" t="n">
        <v>2026</v>
      </c>
      <c r="U251" s="1" t="n">
        <v>2026</v>
      </c>
      <c r="V251" s="5" t="n">
        <v>46221.6145833333</v>
      </c>
      <c r="W251" s="6" t="n">
        <v>46387.9999999884</v>
      </c>
    </row>
    <row r="252" customFormat="false" ht="12.75" hidden="false" customHeight="false" outlineLevel="0" collapsed="false">
      <c r="A252" s="1" t="s">
        <v>1069</v>
      </c>
      <c r="B252" s="1" t="n">
        <v>18242715</v>
      </c>
      <c r="C252" s="1" t="s">
        <v>1070</v>
      </c>
      <c r="E252" s="1" t="s">
        <v>1071</v>
      </c>
      <c r="F252" s="1" t="n">
        <v>606</v>
      </c>
      <c r="G252" s="2" t="s">
        <v>28</v>
      </c>
      <c r="H252" s="1" t="n">
        <v>-1</v>
      </c>
      <c r="I252" s="1" t="n">
        <v>-1</v>
      </c>
      <c r="J252" s="1" t="n">
        <v>0</v>
      </c>
      <c r="K252" s="1" t="n">
        <v>-1</v>
      </c>
      <c r="L252" s="2" t="n">
        <v>12100</v>
      </c>
      <c r="M252" s="1" t="s">
        <v>65</v>
      </c>
      <c r="N252" s="1" t="s">
        <v>37</v>
      </c>
      <c r="O252" s="5" t="n">
        <v>46199.1041666667</v>
      </c>
      <c r="P252" s="5" t="n">
        <v>46224.6979166667</v>
      </c>
      <c r="Q252" s="1" t="n">
        <v>53.4957</v>
      </c>
      <c r="R252" s="1" t="n">
        <v>-65.751</v>
      </c>
      <c r="S252" s="1" t="s">
        <v>1072</v>
      </c>
      <c r="T252" s="1" t="n">
        <v>2026</v>
      </c>
      <c r="U252" s="1" t="n">
        <v>2026</v>
      </c>
      <c r="V252" s="5" t="n">
        <v>46222.40625</v>
      </c>
      <c r="W252" s="6" t="n">
        <v>46387.9999999884</v>
      </c>
    </row>
    <row r="253" customFormat="false" ht="12.75" hidden="false" customHeight="false" outlineLevel="0" collapsed="false">
      <c r="A253" s="1" t="s">
        <v>1073</v>
      </c>
      <c r="B253" s="1" t="n">
        <v>18155292</v>
      </c>
      <c r="C253" s="1" t="s">
        <v>1070</v>
      </c>
      <c r="E253" s="1" t="s">
        <v>1074</v>
      </c>
      <c r="F253" s="1" t="n">
        <v>617</v>
      </c>
      <c r="G253" s="2" t="s">
        <v>28</v>
      </c>
      <c r="H253" s="1" t="n">
        <v>-1</v>
      </c>
      <c r="I253" s="1" t="n">
        <v>-1</v>
      </c>
      <c r="J253" s="1" t="n">
        <v>0</v>
      </c>
      <c r="K253" s="1" t="n">
        <v>-1</v>
      </c>
      <c r="L253" s="2" t="n">
        <v>850</v>
      </c>
      <c r="M253" s="1" t="s">
        <v>65</v>
      </c>
      <c r="N253" s="1" t="s">
        <v>37</v>
      </c>
      <c r="O253" s="5" t="n">
        <v>46201.1041666667</v>
      </c>
      <c r="P253" s="5" t="n">
        <v>46224.6979166667</v>
      </c>
      <c r="Q253" s="1" t="n">
        <v>54.3182</v>
      </c>
      <c r="R253" s="1" t="n">
        <v>-66.1047</v>
      </c>
      <c r="S253" s="1" t="s">
        <v>1075</v>
      </c>
      <c r="T253" s="1" t="n">
        <v>2026</v>
      </c>
      <c r="U253" s="1" t="n">
        <v>2026</v>
      </c>
      <c r="V253" s="5" t="n">
        <v>46221.40625</v>
      </c>
      <c r="W253" s="6" t="n">
        <v>46387.9999999884</v>
      </c>
    </row>
    <row r="254" customFormat="false" ht="12.75" hidden="false" customHeight="false" outlineLevel="0" collapsed="false">
      <c r="A254" s="1" t="s">
        <v>1076</v>
      </c>
      <c r="B254" s="1" t="n">
        <v>18155310</v>
      </c>
      <c r="C254" s="1" t="s">
        <v>1070</v>
      </c>
      <c r="E254" s="1" t="s">
        <v>1077</v>
      </c>
      <c r="F254" s="1" t="n">
        <v>636</v>
      </c>
      <c r="G254" s="2" t="s">
        <v>28</v>
      </c>
      <c r="H254" s="1" t="n">
        <v>-1</v>
      </c>
      <c r="I254" s="1" t="n">
        <v>-1</v>
      </c>
      <c r="J254" s="1" t="n">
        <v>0</v>
      </c>
      <c r="K254" s="1" t="n">
        <v>-1</v>
      </c>
      <c r="L254" s="2" t="n">
        <v>3146.6</v>
      </c>
      <c r="M254" s="1" t="s">
        <v>29</v>
      </c>
      <c r="N254" s="1" t="s">
        <v>37</v>
      </c>
      <c r="O254" s="5" t="n">
        <v>46210.1041666667</v>
      </c>
      <c r="P254" s="5" t="n">
        <v>46224.6979166667</v>
      </c>
      <c r="Q254" s="1" t="n">
        <v>52.349</v>
      </c>
      <c r="R254" s="1" t="n">
        <v>-65.799</v>
      </c>
      <c r="S254" s="1" t="s">
        <v>1078</v>
      </c>
      <c r="T254" s="1" t="n">
        <v>2026</v>
      </c>
      <c r="U254" s="1" t="n">
        <v>2026</v>
      </c>
      <c r="V254" s="5" t="n">
        <v>46221.40625</v>
      </c>
      <c r="W254" s="6" t="n">
        <v>46387.9999999884</v>
      </c>
    </row>
    <row r="255" customFormat="false" ht="12.75" hidden="false" customHeight="false" outlineLevel="0" collapsed="false">
      <c r="A255" s="1" t="s">
        <v>1079</v>
      </c>
      <c r="B255" s="1" t="n">
        <v>18155280</v>
      </c>
      <c r="C255" s="1" t="s">
        <v>1070</v>
      </c>
      <c r="E255" s="1" t="s">
        <v>1080</v>
      </c>
      <c r="F255" s="1" t="n">
        <v>605</v>
      </c>
      <c r="G255" s="2" t="s">
        <v>28</v>
      </c>
      <c r="H255" s="1" t="n">
        <v>-1</v>
      </c>
      <c r="I255" s="1" t="n">
        <v>-1</v>
      </c>
      <c r="J255" s="1" t="n">
        <v>0</v>
      </c>
      <c r="K255" s="1" t="n">
        <v>-1</v>
      </c>
      <c r="L255" s="2" t="n">
        <v>6855.4</v>
      </c>
      <c r="M255" s="1" t="s">
        <v>65</v>
      </c>
      <c r="N255" s="1" t="s">
        <v>37</v>
      </c>
      <c r="O255" s="5" t="n">
        <v>46198.1041666667</v>
      </c>
      <c r="P255" s="5" t="n">
        <v>46224.6979166667</v>
      </c>
      <c r="Q255" s="1" t="n">
        <v>52.4064</v>
      </c>
      <c r="R255" s="1" t="n">
        <v>-66.1111</v>
      </c>
      <c r="S255" s="1" t="s">
        <v>1081</v>
      </c>
      <c r="T255" s="1" t="n">
        <v>2026</v>
      </c>
      <c r="U255" s="1" t="n">
        <v>2026</v>
      </c>
      <c r="V255" s="5" t="n">
        <v>46221.40625</v>
      </c>
      <c r="W255" s="6" t="n">
        <v>46387.9999999884</v>
      </c>
    </row>
    <row r="256" customFormat="false" ht="12.75" hidden="false" customHeight="false" outlineLevel="0" collapsed="false">
      <c r="A256" s="1" t="s">
        <v>1082</v>
      </c>
      <c r="B256" s="1" t="n">
        <v>18155313</v>
      </c>
      <c r="C256" s="1" t="s">
        <v>1070</v>
      </c>
      <c r="E256" s="1" t="s">
        <v>1083</v>
      </c>
      <c r="F256" s="1" t="n">
        <v>639</v>
      </c>
      <c r="G256" s="2" t="s">
        <v>28</v>
      </c>
      <c r="H256" s="1" t="n">
        <v>-1</v>
      </c>
      <c r="I256" s="1" t="n">
        <v>-1</v>
      </c>
      <c r="J256" s="1" t="n">
        <v>0</v>
      </c>
      <c r="K256" s="1" t="n">
        <v>-1</v>
      </c>
      <c r="L256" s="2" t="n">
        <v>300</v>
      </c>
      <c r="M256" s="1" t="s">
        <v>29</v>
      </c>
      <c r="N256" s="1" t="s">
        <v>37</v>
      </c>
      <c r="O256" s="5" t="n">
        <v>46211.1041666667</v>
      </c>
      <c r="P256" s="5" t="n">
        <v>46224.6979166667</v>
      </c>
      <c r="Q256" s="1" t="n">
        <v>52.9889</v>
      </c>
      <c r="R256" s="1" t="n">
        <v>-67.3467</v>
      </c>
      <c r="S256" s="1" t="s">
        <v>1084</v>
      </c>
      <c r="T256" s="1" t="n">
        <v>2026</v>
      </c>
      <c r="U256" s="1" t="n">
        <v>2026</v>
      </c>
      <c r="V256" s="5" t="n">
        <v>46221.40625</v>
      </c>
      <c r="W256" s="6" t="n">
        <v>46387.9999999884</v>
      </c>
    </row>
    <row r="257" customFormat="false" ht="12.75" hidden="false" customHeight="false" outlineLevel="0" collapsed="false">
      <c r="A257" s="1" t="s">
        <v>1085</v>
      </c>
      <c r="B257" s="1" t="n">
        <v>18286390</v>
      </c>
      <c r="C257" s="1" t="s">
        <v>1086</v>
      </c>
      <c r="D257" s="1" t="n">
        <v>9</v>
      </c>
      <c r="E257" s="1" t="s">
        <v>1087</v>
      </c>
      <c r="F257" s="1" t="s">
        <v>1088</v>
      </c>
      <c r="G257" s="2" t="s">
        <v>36</v>
      </c>
      <c r="H257" s="1" t="n">
        <v>-1</v>
      </c>
      <c r="I257" s="1" t="n">
        <v>-1</v>
      </c>
      <c r="J257" s="1" t="n">
        <v>0</v>
      </c>
      <c r="K257" s="1" t="n">
        <v>100</v>
      </c>
      <c r="L257" s="2" t="n">
        <v>1447</v>
      </c>
      <c r="M257" s="1" t="s">
        <v>29</v>
      </c>
      <c r="N257" s="1" t="s">
        <v>30</v>
      </c>
      <c r="O257" s="5" t="n">
        <v>46218.7916666667</v>
      </c>
      <c r="P257" s="5" t="n">
        <v>46219.5416666667</v>
      </c>
      <c r="Q257" s="1" t="n">
        <v>44.9018</v>
      </c>
      <c r="R257" s="1" t="n">
        <v>-62.7207</v>
      </c>
      <c r="S257" s="1" t="s">
        <v>1089</v>
      </c>
      <c r="T257" s="1" t="n">
        <v>2026</v>
      </c>
      <c r="U257" s="1" t="n">
        <v>2026</v>
      </c>
      <c r="V257" s="5" t="n">
        <v>46222.8645833333</v>
      </c>
      <c r="W257" s="6" t="n">
        <v>46387.9999999884</v>
      </c>
    </row>
    <row r="258" customFormat="false" ht="12.75" hidden="false" customHeight="false" outlineLevel="0" collapsed="false">
      <c r="A258" s="1" t="s">
        <v>1090</v>
      </c>
      <c r="B258" s="1" t="n">
        <v>18108570</v>
      </c>
      <c r="C258" s="1" t="s">
        <v>1086</v>
      </c>
      <c r="D258" s="1" t="n">
        <v>6</v>
      </c>
      <c r="E258" s="1" t="s">
        <v>1091</v>
      </c>
      <c r="F258" s="1" t="s">
        <v>1092</v>
      </c>
      <c r="G258" s="2" t="s">
        <v>36</v>
      </c>
      <c r="H258" s="1" t="n">
        <v>-1</v>
      </c>
      <c r="I258" s="1" t="n">
        <v>-1</v>
      </c>
      <c r="J258" s="1" t="n">
        <v>0</v>
      </c>
      <c r="K258" s="1" t="n">
        <v>100</v>
      </c>
      <c r="L258" s="2" t="n">
        <v>5</v>
      </c>
      <c r="M258" s="1" t="s">
        <v>29</v>
      </c>
      <c r="N258" s="1" t="s">
        <v>37</v>
      </c>
      <c r="O258" s="5" t="n">
        <v>46218.7916666667</v>
      </c>
      <c r="P258" s="5" t="n">
        <v>46219.5416666667</v>
      </c>
      <c r="Q258" s="1" t="n">
        <v>44.6856</v>
      </c>
      <c r="R258" s="1" t="n">
        <v>-65.45</v>
      </c>
      <c r="S258" s="1" t="s">
        <v>1093</v>
      </c>
      <c r="T258" s="1" t="n">
        <v>2026</v>
      </c>
      <c r="U258" s="1" t="n">
        <v>2026</v>
      </c>
      <c r="V258" s="5" t="n">
        <v>46220.90625</v>
      </c>
      <c r="W258" s="6" t="n">
        <v>46387.9999999884</v>
      </c>
    </row>
    <row r="259" customFormat="false" ht="12.75" hidden="false" customHeight="false" outlineLevel="0" collapsed="false">
      <c r="A259" s="1" t="s">
        <v>1094</v>
      </c>
      <c r="B259" s="1" t="n">
        <v>18393157</v>
      </c>
      <c r="C259" s="1" t="s">
        <v>1095</v>
      </c>
      <c r="D259" s="1" t="s">
        <v>1096</v>
      </c>
      <c r="E259" s="1" t="s">
        <v>1097</v>
      </c>
      <c r="F259" s="1" t="s">
        <v>1098</v>
      </c>
      <c r="G259" s="2" t="s">
        <v>28</v>
      </c>
      <c r="H259" s="1" t="n">
        <v>-1</v>
      </c>
      <c r="I259" s="1" t="n">
        <v>-1</v>
      </c>
      <c r="J259" s="1" t="n">
        <v>-1</v>
      </c>
      <c r="K259" s="1" t="n">
        <v>-1</v>
      </c>
      <c r="L259" s="2" t="n">
        <v>16093</v>
      </c>
      <c r="M259" s="1" t="s">
        <v>65</v>
      </c>
      <c r="N259" s="1" t="s">
        <v>105</v>
      </c>
      <c r="O259" s="5" t="n">
        <v>46216.9826388889</v>
      </c>
      <c r="P259" s="5" t="n">
        <v>46224.6979166667</v>
      </c>
      <c r="Q259" s="1" t="n">
        <v>62.437</v>
      </c>
      <c r="R259" s="1" t="n">
        <v>-121.7494</v>
      </c>
      <c r="S259" s="1" t="s">
        <v>1099</v>
      </c>
      <c r="T259" s="1" t="n">
        <v>2026</v>
      </c>
      <c r="U259" s="1" t="n">
        <v>2026</v>
      </c>
      <c r="V259" s="5" t="n">
        <v>46224.0729166667</v>
      </c>
      <c r="W259" s="6" t="n">
        <v>46387.9999999884</v>
      </c>
    </row>
    <row r="260" customFormat="false" ht="12.75" hidden="false" customHeight="false" outlineLevel="0" collapsed="false">
      <c r="A260" s="1" t="s">
        <v>1100</v>
      </c>
      <c r="B260" s="1" t="n">
        <v>18385970</v>
      </c>
      <c r="C260" s="1" t="s">
        <v>1095</v>
      </c>
      <c r="D260" s="1" t="s">
        <v>1101</v>
      </c>
      <c r="E260" s="1" t="s">
        <v>1102</v>
      </c>
      <c r="F260" s="1" t="s">
        <v>1103</v>
      </c>
      <c r="G260" s="2" t="s">
        <v>28</v>
      </c>
      <c r="H260" s="1" t="n">
        <v>-1</v>
      </c>
      <c r="I260" s="1" t="n">
        <v>-1</v>
      </c>
      <c r="J260" s="1" t="n">
        <v>-1</v>
      </c>
      <c r="K260" s="1" t="n">
        <v>-1</v>
      </c>
      <c r="L260" s="2" t="n">
        <v>10</v>
      </c>
      <c r="M260" s="1" t="s">
        <v>65</v>
      </c>
      <c r="N260" s="1" t="s">
        <v>105</v>
      </c>
      <c r="O260" s="5" t="n">
        <v>46223.9034722222</v>
      </c>
      <c r="P260" s="5" t="n">
        <v>46224.6979166667</v>
      </c>
      <c r="Q260" s="1" t="n">
        <v>60.3537</v>
      </c>
      <c r="R260" s="1" t="n">
        <v>-110.223</v>
      </c>
      <c r="S260" s="1" t="s">
        <v>1104</v>
      </c>
      <c r="T260" s="1" t="n">
        <v>2026</v>
      </c>
      <c r="U260" s="1" t="n">
        <v>2026</v>
      </c>
      <c r="V260" s="5" t="n">
        <v>46223.9895833333</v>
      </c>
      <c r="W260" s="6" t="n">
        <v>46387.9999999884</v>
      </c>
    </row>
    <row r="261" customFormat="false" ht="12.75" hidden="false" customHeight="false" outlineLevel="0" collapsed="false">
      <c r="A261" s="1" t="s">
        <v>1105</v>
      </c>
      <c r="B261" s="1" t="n">
        <v>18385968</v>
      </c>
      <c r="C261" s="1" t="s">
        <v>1095</v>
      </c>
      <c r="D261" s="1" t="s">
        <v>1101</v>
      </c>
      <c r="E261" s="1" t="s">
        <v>1106</v>
      </c>
      <c r="F261" s="1" t="s">
        <v>1107</v>
      </c>
      <c r="G261" s="2" t="s">
        <v>28</v>
      </c>
      <c r="H261" s="1" t="n">
        <v>-1</v>
      </c>
      <c r="I261" s="1" t="n">
        <v>-1</v>
      </c>
      <c r="J261" s="1" t="n">
        <v>-1</v>
      </c>
      <c r="K261" s="1" t="n">
        <v>-1</v>
      </c>
      <c r="L261" s="2" t="n">
        <v>23</v>
      </c>
      <c r="M261" s="1" t="s">
        <v>65</v>
      </c>
      <c r="N261" s="1" t="s">
        <v>105</v>
      </c>
      <c r="O261" s="5" t="n">
        <v>46220.6069444444</v>
      </c>
      <c r="P261" s="5" t="n">
        <v>46224.6979166667</v>
      </c>
      <c r="Q261" s="1" t="n">
        <v>61.1499</v>
      </c>
      <c r="R261" s="1" t="n">
        <v>-103.3973</v>
      </c>
      <c r="S261" s="1" t="s">
        <v>1108</v>
      </c>
      <c r="T261" s="1" t="n">
        <v>2026</v>
      </c>
      <c r="U261" s="1" t="n">
        <v>2026</v>
      </c>
      <c r="V261" s="5" t="n">
        <v>46223.9895833333</v>
      </c>
      <c r="W261" s="6" t="n">
        <v>46387.9999999884</v>
      </c>
    </row>
    <row r="262" customFormat="false" ht="12.75" hidden="false" customHeight="false" outlineLevel="0" collapsed="false">
      <c r="A262" s="1" t="s">
        <v>1109</v>
      </c>
      <c r="B262" s="1" t="n">
        <v>18385967</v>
      </c>
      <c r="C262" s="1" t="s">
        <v>1095</v>
      </c>
      <c r="D262" s="1" t="s">
        <v>1101</v>
      </c>
      <c r="E262" s="1" t="s">
        <v>1110</v>
      </c>
      <c r="F262" s="1" t="s">
        <v>1111</v>
      </c>
      <c r="G262" s="2" t="s">
        <v>28</v>
      </c>
      <c r="H262" s="1" t="n">
        <v>-1</v>
      </c>
      <c r="I262" s="1" t="n">
        <v>-1</v>
      </c>
      <c r="J262" s="1" t="n">
        <v>-1</v>
      </c>
      <c r="K262" s="1" t="n">
        <v>-1</v>
      </c>
      <c r="L262" s="2" t="n">
        <v>0.1</v>
      </c>
      <c r="M262" s="1" t="s">
        <v>29</v>
      </c>
      <c r="N262" s="1" t="s">
        <v>105</v>
      </c>
      <c r="O262" s="5" t="n">
        <v>46223.7805555556</v>
      </c>
      <c r="P262" s="5" t="n">
        <v>46224.6979166667</v>
      </c>
      <c r="Q262" s="1" t="n">
        <v>61.0212</v>
      </c>
      <c r="R262" s="1" t="n">
        <v>-109.8518</v>
      </c>
      <c r="S262" s="1" t="s">
        <v>1112</v>
      </c>
      <c r="T262" s="1" t="n">
        <v>2026</v>
      </c>
      <c r="U262" s="1" t="n">
        <v>2026</v>
      </c>
      <c r="V262" s="5" t="n">
        <v>46223.9895833333</v>
      </c>
      <c r="W262" s="6" t="n">
        <v>46387.9999999884</v>
      </c>
    </row>
    <row r="263" customFormat="false" ht="12.75" hidden="false" customHeight="false" outlineLevel="0" collapsed="false">
      <c r="A263" s="1" t="s">
        <v>1113</v>
      </c>
      <c r="B263" s="1" t="n">
        <v>18385969</v>
      </c>
      <c r="C263" s="1" t="s">
        <v>1095</v>
      </c>
      <c r="D263" s="1" t="s">
        <v>1101</v>
      </c>
      <c r="E263" s="1" t="s">
        <v>1114</v>
      </c>
      <c r="F263" s="1" t="s">
        <v>1115</v>
      </c>
      <c r="G263" s="2" t="s">
        <v>28</v>
      </c>
      <c r="H263" s="1" t="n">
        <v>-1</v>
      </c>
      <c r="I263" s="1" t="n">
        <v>-1</v>
      </c>
      <c r="J263" s="1" t="n">
        <v>-1</v>
      </c>
      <c r="K263" s="1" t="n">
        <v>-1</v>
      </c>
      <c r="L263" s="2" t="n">
        <v>15</v>
      </c>
      <c r="M263" s="1" t="s">
        <v>65</v>
      </c>
      <c r="N263" s="1" t="s">
        <v>105</v>
      </c>
      <c r="O263" s="5" t="n">
        <v>46219.95625</v>
      </c>
      <c r="P263" s="5" t="n">
        <v>46224.6979166667</v>
      </c>
      <c r="Q263" s="1" t="n">
        <v>61.5915</v>
      </c>
      <c r="R263" s="1" t="n">
        <v>-106.1839</v>
      </c>
      <c r="S263" s="1" t="s">
        <v>1116</v>
      </c>
      <c r="T263" s="1" t="n">
        <v>2026</v>
      </c>
      <c r="U263" s="1" t="n">
        <v>2026</v>
      </c>
      <c r="V263" s="5" t="n">
        <v>46223.9895833333</v>
      </c>
      <c r="W263" s="6" t="n">
        <v>46387.9999999884</v>
      </c>
    </row>
    <row r="264" customFormat="false" ht="12.75" hidden="false" customHeight="false" outlineLevel="0" collapsed="false">
      <c r="A264" s="1" t="s">
        <v>1117</v>
      </c>
      <c r="B264" s="1" t="n">
        <v>18382451</v>
      </c>
      <c r="C264" s="1" t="s">
        <v>1095</v>
      </c>
      <c r="D264" s="1" t="s">
        <v>1118</v>
      </c>
      <c r="E264" s="1" t="s">
        <v>1119</v>
      </c>
      <c r="F264" s="1" t="s">
        <v>1120</v>
      </c>
      <c r="G264" s="2" t="s">
        <v>28</v>
      </c>
      <c r="H264" s="1" t="n">
        <v>-1</v>
      </c>
      <c r="I264" s="1" t="n">
        <v>-1</v>
      </c>
      <c r="J264" s="1" t="n">
        <v>-1</v>
      </c>
      <c r="K264" s="1" t="n">
        <v>-1</v>
      </c>
      <c r="L264" s="2" t="n">
        <v>0.1</v>
      </c>
      <c r="M264" s="1" t="s">
        <v>65</v>
      </c>
      <c r="N264" s="1" t="s">
        <v>105</v>
      </c>
      <c r="O264" s="5" t="n">
        <v>46201.5895833333</v>
      </c>
      <c r="P264" s="5" t="n">
        <v>46224.6979166667</v>
      </c>
      <c r="Q264" s="1" t="n">
        <v>65.7345</v>
      </c>
      <c r="R264" s="1" t="n">
        <v>-124.5132</v>
      </c>
      <c r="S264" s="1" t="s">
        <v>1121</v>
      </c>
      <c r="T264" s="1" t="n">
        <v>2026</v>
      </c>
      <c r="U264" s="1" t="n">
        <v>2026</v>
      </c>
      <c r="V264" s="5" t="n">
        <v>46223.9479166667</v>
      </c>
      <c r="W264" s="6" t="n">
        <v>46387.9999999884</v>
      </c>
    </row>
    <row r="265" customFormat="false" ht="12.75" hidden="false" customHeight="false" outlineLevel="0" collapsed="false">
      <c r="A265" s="1" t="s">
        <v>1122</v>
      </c>
      <c r="B265" s="1" t="n">
        <v>18377323</v>
      </c>
      <c r="C265" s="1" t="s">
        <v>1095</v>
      </c>
      <c r="D265" s="1" t="s">
        <v>1118</v>
      </c>
      <c r="E265" s="1" t="s">
        <v>1123</v>
      </c>
      <c r="F265" s="1" t="s">
        <v>1124</v>
      </c>
      <c r="G265" s="2" t="s">
        <v>28</v>
      </c>
      <c r="H265" s="1" t="n">
        <v>-1</v>
      </c>
      <c r="I265" s="1" t="n">
        <v>-1</v>
      </c>
      <c r="J265" s="1" t="n">
        <v>-1</v>
      </c>
      <c r="K265" s="1" t="n">
        <v>-1</v>
      </c>
      <c r="L265" s="2" t="n">
        <v>1</v>
      </c>
      <c r="M265" s="1" t="s">
        <v>65</v>
      </c>
      <c r="N265" s="1" t="s">
        <v>105</v>
      </c>
      <c r="O265" s="5" t="n">
        <v>46223.7847222222</v>
      </c>
      <c r="P265" s="5" t="n">
        <v>46224.6979166667</v>
      </c>
      <c r="Q265" s="1" t="n">
        <v>65.3168</v>
      </c>
      <c r="R265" s="1" t="n">
        <v>-125.6057</v>
      </c>
      <c r="S265" s="1" t="s">
        <v>1125</v>
      </c>
      <c r="T265" s="1" t="n">
        <v>2026</v>
      </c>
      <c r="U265" s="1" t="n">
        <v>2026</v>
      </c>
      <c r="V265" s="5" t="n">
        <v>46223.8645833333</v>
      </c>
      <c r="W265" s="6" t="n">
        <v>46387.9999999884</v>
      </c>
    </row>
    <row r="266" customFormat="false" ht="12.75" hidden="false" customHeight="false" outlineLevel="0" collapsed="false">
      <c r="A266" s="1" t="s">
        <v>1126</v>
      </c>
      <c r="B266" s="1" t="n">
        <v>18371824</v>
      </c>
      <c r="C266" s="1" t="s">
        <v>1095</v>
      </c>
      <c r="D266" s="1" t="s">
        <v>1101</v>
      </c>
      <c r="E266" s="1" t="s">
        <v>1127</v>
      </c>
      <c r="F266" s="1" t="s">
        <v>1128</v>
      </c>
      <c r="G266" s="2" t="s">
        <v>28</v>
      </c>
      <c r="H266" s="1" t="n">
        <v>-1</v>
      </c>
      <c r="I266" s="1" t="n">
        <v>-1</v>
      </c>
      <c r="J266" s="1" t="n">
        <v>-1</v>
      </c>
      <c r="K266" s="1" t="n">
        <v>-1</v>
      </c>
      <c r="L266" s="2" t="n">
        <v>0.1</v>
      </c>
      <c r="M266" s="1" t="s">
        <v>65</v>
      </c>
      <c r="N266" s="1" t="s">
        <v>105</v>
      </c>
      <c r="O266" s="5" t="n">
        <v>46201.5895833333</v>
      </c>
      <c r="P266" s="5" t="n">
        <v>46224.6979166667</v>
      </c>
      <c r="Q266" s="1" t="n">
        <v>61.032</v>
      </c>
      <c r="R266" s="1" t="n">
        <v>-109.8518</v>
      </c>
      <c r="S266" s="1" t="s">
        <v>1129</v>
      </c>
      <c r="T266" s="1" t="n">
        <v>2026</v>
      </c>
      <c r="U266" s="1" t="n">
        <v>2026</v>
      </c>
      <c r="V266" s="5" t="n">
        <v>46223.8229166667</v>
      </c>
      <c r="W266" s="6" t="n">
        <v>46387.9999999884</v>
      </c>
    </row>
    <row r="267" customFormat="false" ht="12.75" hidden="false" customHeight="false" outlineLevel="0" collapsed="false">
      <c r="A267" s="1" t="s">
        <v>1130</v>
      </c>
      <c r="B267" s="1" t="n">
        <v>18357773</v>
      </c>
      <c r="C267" s="1" t="s">
        <v>1095</v>
      </c>
      <c r="D267" s="1" t="s">
        <v>1131</v>
      </c>
      <c r="E267" s="1" t="s">
        <v>1132</v>
      </c>
      <c r="F267" s="1" t="s">
        <v>1133</v>
      </c>
      <c r="G267" s="2" t="s">
        <v>28</v>
      </c>
      <c r="H267" s="1" t="n">
        <v>-1</v>
      </c>
      <c r="I267" s="1" t="n">
        <v>-1</v>
      </c>
      <c r="J267" s="1" t="n">
        <v>-1</v>
      </c>
      <c r="K267" s="1" t="n">
        <v>-1</v>
      </c>
      <c r="L267" s="2" t="n">
        <v>15702</v>
      </c>
      <c r="M267" s="1" t="s">
        <v>29</v>
      </c>
      <c r="N267" s="1" t="s">
        <v>105</v>
      </c>
      <c r="O267" s="5" t="n">
        <v>46207.0173611111</v>
      </c>
      <c r="P267" s="5" t="n">
        <v>46224.6979166667</v>
      </c>
      <c r="Q267" s="1" t="n">
        <v>63.1468</v>
      </c>
      <c r="R267" s="1" t="n">
        <v>-116.424</v>
      </c>
      <c r="S267" s="1" t="s">
        <v>1134</v>
      </c>
      <c r="T267" s="1" t="n">
        <v>2026</v>
      </c>
      <c r="U267" s="1" t="n">
        <v>2026</v>
      </c>
      <c r="V267" s="5" t="n">
        <v>46223.65625</v>
      </c>
      <c r="W267" s="6" t="n">
        <v>46387.9999999884</v>
      </c>
    </row>
    <row r="268" customFormat="false" ht="12.75" hidden="false" customHeight="false" outlineLevel="0" collapsed="false">
      <c r="A268" s="1" t="s">
        <v>1135</v>
      </c>
      <c r="B268" s="1" t="n">
        <v>18287940</v>
      </c>
      <c r="C268" s="1" t="s">
        <v>1095</v>
      </c>
      <c r="D268" s="1" t="s">
        <v>1131</v>
      </c>
      <c r="E268" s="1" t="s">
        <v>1136</v>
      </c>
      <c r="F268" s="1" t="s">
        <v>1137</v>
      </c>
      <c r="G268" s="2" t="s">
        <v>28</v>
      </c>
      <c r="H268" s="1" t="n">
        <v>-1</v>
      </c>
      <c r="I268" s="1" t="n">
        <v>-1</v>
      </c>
      <c r="J268" s="1" t="n">
        <v>-1</v>
      </c>
      <c r="K268" s="1" t="n">
        <v>-1</v>
      </c>
      <c r="L268" s="2" t="n">
        <v>12950</v>
      </c>
      <c r="M268" s="1" t="s">
        <v>65</v>
      </c>
      <c r="N268" s="1" t="s">
        <v>105</v>
      </c>
      <c r="O268" s="5" t="n">
        <v>46220.6291666667</v>
      </c>
      <c r="P268" s="5" t="n">
        <v>46224.6979166667</v>
      </c>
      <c r="Q268" s="1" t="n">
        <v>64.2212</v>
      </c>
      <c r="R268" s="1" t="n">
        <v>-117.8477</v>
      </c>
      <c r="S268" s="1" t="s">
        <v>1138</v>
      </c>
      <c r="T268" s="1" t="n">
        <v>2026</v>
      </c>
      <c r="U268" s="1" t="n">
        <v>2026</v>
      </c>
      <c r="V268" s="5" t="n">
        <v>46222.8645833333</v>
      </c>
      <c r="W268" s="6" t="n">
        <v>46387.9999999884</v>
      </c>
    </row>
    <row r="269" customFormat="false" ht="12.75" hidden="false" customHeight="false" outlineLevel="0" collapsed="false">
      <c r="A269" s="1" t="s">
        <v>1139</v>
      </c>
      <c r="B269" s="1" t="n">
        <v>18282135</v>
      </c>
      <c r="C269" s="1" t="s">
        <v>1095</v>
      </c>
      <c r="D269" s="1" t="s">
        <v>1140</v>
      </c>
      <c r="E269" s="1" t="s">
        <v>1141</v>
      </c>
      <c r="F269" s="1" t="s">
        <v>1142</v>
      </c>
      <c r="G269" s="2" t="s">
        <v>28</v>
      </c>
      <c r="H269" s="1" t="n">
        <v>-1</v>
      </c>
      <c r="I269" s="1" t="n">
        <v>-1</v>
      </c>
      <c r="J269" s="1" t="n">
        <v>-1</v>
      </c>
      <c r="K269" s="1" t="n">
        <v>-1</v>
      </c>
      <c r="L269" s="2" t="n">
        <v>35</v>
      </c>
      <c r="M269" s="1" t="s">
        <v>65</v>
      </c>
      <c r="N269" s="1" t="s">
        <v>105</v>
      </c>
      <c r="O269" s="5" t="n">
        <v>46216.7291666667</v>
      </c>
      <c r="P269" s="5" t="n">
        <v>46224.6979166667</v>
      </c>
      <c r="Q269" s="1" t="n">
        <v>65.8667</v>
      </c>
      <c r="R269" s="1" t="n">
        <v>-132.1953</v>
      </c>
      <c r="S269" s="1" t="s">
        <v>1143</v>
      </c>
      <c r="T269" s="1" t="n">
        <v>2026</v>
      </c>
      <c r="U269" s="1" t="n">
        <v>2026</v>
      </c>
      <c r="V269" s="5" t="n">
        <v>46222.8229166667</v>
      </c>
      <c r="W269" s="6" t="n">
        <v>46387.9999999884</v>
      </c>
    </row>
    <row r="270" customFormat="false" ht="12.75" hidden="false" customHeight="false" outlineLevel="0" collapsed="false">
      <c r="A270" s="1" t="s">
        <v>1144</v>
      </c>
      <c r="B270" s="1" t="n">
        <v>18216114</v>
      </c>
      <c r="C270" s="1" t="s">
        <v>1095</v>
      </c>
      <c r="D270" s="1" t="s">
        <v>1118</v>
      </c>
      <c r="E270" s="1" t="s">
        <v>1145</v>
      </c>
      <c r="F270" s="1" t="s">
        <v>1146</v>
      </c>
      <c r="G270" s="2" t="s">
        <v>28</v>
      </c>
      <c r="H270" s="1" t="n">
        <v>-1</v>
      </c>
      <c r="I270" s="1" t="n">
        <v>-1</v>
      </c>
      <c r="J270" s="1" t="n">
        <v>-1</v>
      </c>
      <c r="K270" s="1" t="n">
        <v>-1</v>
      </c>
      <c r="L270" s="2" t="n">
        <v>10</v>
      </c>
      <c r="M270" s="1" t="s">
        <v>65</v>
      </c>
      <c r="N270" s="1" t="s">
        <v>105</v>
      </c>
      <c r="O270" s="5" t="n">
        <v>46222.0034722222</v>
      </c>
      <c r="P270" s="5" t="n">
        <v>46224.6979166667</v>
      </c>
      <c r="Q270" s="1" t="n">
        <v>64.8031</v>
      </c>
      <c r="R270" s="1" t="n">
        <v>-120.0545</v>
      </c>
      <c r="S270" s="1" t="s">
        <v>1147</v>
      </c>
      <c r="T270" s="1" t="n">
        <v>2026</v>
      </c>
      <c r="U270" s="1" t="n">
        <v>2026</v>
      </c>
      <c r="V270" s="5" t="n">
        <v>46222.0729166667</v>
      </c>
      <c r="W270" s="6" t="n">
        <v>46387.9999999884</v>
      </c>
    </row>
    <row r="271" customFormat="false" ht="12.75" hidden="false" customHeight="false" outlineLevel="0" collapsed="false">
      <c r="A271" s="1" t="s">
        <v>1148</v>
      </c>
      <c r="B271" s="1" t="n">
        <v>18216112</v>
      </c>
      <c r="C271" s="1" t="s">
        <v>1095</v>
      </c>
      <c r="D271" s="1" t="s">
        <v>1118</v>
      </c>
      <c r="E271" s="1" t="s">
        <v>1149</v>
      </c>
      <c r="F271" s="1" t="s">
        <v>1150</v>
      </c>
      <c r="G271" s="2" t="s">
        <v>28</v>
      </c>
      <c r="H271" s="1" t="n">
        <v>-1</v>
      </c>
      <c r="I271" s="1" t="n">
        <v>-1</v>
      </c>
      <c r="J271" s="1" t="n">
        <v>-1</v>
      </c>
      <c r="K271" s="1" t="n">
        <v>-1</v>
      </c>
      <c r="L271" s="2" t="n">
        <v>60</v>
      </c>
      <c r="M271" s="1" t="s">
        <v>65</v>
      </c>
      <c r="N271" s="1" t="s">
        <v>105</v>
      </c>
      <c r="O271" s="5" t="n">
        <v>46219.0277777778</v>
      </c>
      <c r="P271" s="5" t="n">
        <v>46224.6979166667</v>
      </c>
      <c r="Q271" s="1" t="n">
        <v>64.2431</v>
      </c>
      <c r="R271" s="1" t="n">
        <v>-125.6382</v>
      </c>
      <c r="S271" s="1" t="s">
        <v>1151</v>
      </c>
      <c r="T271" s="1" t="n">
        <v>2026</v>
      </c>
      <c r="U271" s="1" t="n">
        <v>2026</v>
      </c>
      <c r="V271" s="5" t="n">
        <v>46222.0729166667</v>
      </c>
      <c r="W271" s="6" t="n">
        <v>46387.9999999884</v>
      </c>
    </row>
    <row r="272" customFormat="false" ht="12.75" hidden="false" customHeight="false" outlineLevel="0" collapsed="false">
      <c r="A272" s="1" t="s">
        <v>1152</v>
      </c>
      <c r="B272" s="1" t="n">
        <v>18208403</v>
      </c>
      <c r="C272" s="1" t="s">
        <v>1095</v>
      </c>
      <c r="D272" s="1" t="s">
        <v>1101</v>
      </c>
      <c r="E272" s="1" t="s">
        <v>1153</v>
      </c>
      <c r="F272" s="1" t="s">
        <v>1154</v>
      </c>
      <c r="G272" s="2" t="s">
        <v>28</v>
      </c>
      <c r="H272" s="1" t="n">
        <v>-1</v>
      </c>
      <c r="I272" s="1" t="n">
        <v>-1</v>
      </c>
      <c r="J272" s="1" t="n">
        <v>-1</v>
      </c>
      <c r="K272" s="1" t="n">
        <v>-1</v>
      </c>
      <c r="L272" s="2" t="n">
        <v>1400</v>
      </c>
      <c r="M272" s="1" t="s">
        <v>65</v>
      </c>
      <c r="N272" s="1" t="s">
        <v>105</v>
      </c>
      <c r="O272" s="5" t="n">
        <v>46201.7930555556</v>
      </c>
      <c r="P272" s="5" t="n">
        <v>46224.6979166667</v>
      </c>
      <c r="Q272" s="1" t="n">
        <v>61.3494</v>
      </c>
      <c r="R272" s="1" t="n">
        <v>-106.3807</v>
      </c>
      <c r="S272" s="1" t="s">
        <v>1155</v>
      </c>
      <c r="T272" s="1" t="n">
        <v>2026</v>
      </c>
      <c r="U272" s="1" t="n">
        <v>2026</v>
      </c>
      <c r="V272" s="5" t="n">
        <v>46221.9895833333</v>
      </c>
      <c r="W272" s="6" t="n">
        <v>46387.9999999884</v>
      </c>
    </row>
    <row r="273" customFormat="false" ht="12.75" hidden="false" customHeight="false" outlineLevel="0" collapsed="false">
      <c r="A273" s="1" t="s">
        <v>1156</v>
      </c>
      <c r="B273" s="1" t="n">
        <v>18208408</v>
      </c>
      <c r="C273" s="1" t="s">
        <v>1095</v>
      </c>
      <c r="D273" s="1" t="s">
        <v>1101</v>
      </c>
      <c r="E273" s="1" t="s">
        <v>1157</v>
      </c>
      <c r="F273" s="1" t="s">
        <v>1158</v>
      </c>
      <c r="G273" s="2" t="s">
        <v>28</v>
      </c>
      <c r="H273" s="1" t="n">
        <v>-1</v>
      </c>
      <c r="I273" s="1" t="n">
        <v>-1</v>
      </c>
      <c r="J273" s="1" t="n">
        <v>-1</v>
      </c>
      <c r="K273" s="1" t="n">
        <v>-1</v>
      </c>
      <c r="L273" s="2" t="n">
        <v>300</v>
      </c>
      <c r="M273" s="1" t="s">
        <v>65</v>
      </c>
      <c r="N273" s="1" t="s">
        <v>105</v>
      </c>
      <c r="O273" s="5" t="n">
        <v>46201.9180555556</v>
      </c>
      <c r="P273" s="5" t="n">
        <v>46224.6979166667</v>
      </c>
      <c r="Q273" s="1" t="n">
        <v>60.7348</v>
      </c>
      <c r="R273" s="1" t="n">
        <v>-103.6651</v>
      </c>
      <c r="S273" s="1" t="s">
        <v>1159</v>
      </c>
      <c r="T273" s="1" t="n">
        <v>2026</v>
      </c>
      <c r="U273" s="1" t="n">
        <v>2026</v>
      </c>
      <c r="V273" s="5" t="n">
        <v>46221.9895833333</v>
      </c>
      <c r="W273" s="6" t="n">
        <v>46387.9999999884</v>
      </c>
    </row>
    <row r="274" customFormat="false" ht="12.75" hidden="false" customHeight="false" outlineLevel="0" collapsed="false">
      <c r="A274" s="1" t="s">
        <v>1160</v>
      </c>
      <c r="B274" s="1" t="n">
        <v>18208400</v>
      </c>
      <c r="C274" s="1" t="s">
        <v>1095</v>
      </c>
      <c r="D274" s="1" t="s">
        <v>1101</v>
      </c>
      <c r="E274" s="1" t="s">
        <v>1161</v>
      </c>
      <c r="F274" s="1" t="s">
        <v>1162</v>
      </c>
      <c r="G274" s="2" t="s">
        <v>28</v>
      </c>
      <c r="H274" s="1" t="n">
        <v>-1</v>
      </c>
      <c r="I274" s="1" t="n">
        <v>-1</v>
      </c>
      <c r="J274" s="1" t="n">
        <v>-1</v>
      </c>
      <c r="K274" s="1" t="n">
        <v>-1</v>
      </c>
      <c r="L274" s="2" t="n">
        <v>3960</v>
      </c>
      <c r="M274" s="1" t="s">
        <v>70</v>
      </c>
      <c r="N274" s="1" t="s">
        <v>105</v>
      </c>
      <c r="O274" s="5" t="n">
        <v>46200.8652777778</v>
      </c>
      <c r="P274" s="5" t="n">
        <v>46224.6979166667</v>
      </c>
      <c r="Q274" s="1" t="n">
        <v>60.7248</v>
      </c>
      <c r="R274" s="1" t="n">
        <v>-109.9862</v>
      </c>
      <c r="S274" s="1" t="s">
        <v>1163</v>
      </c>
      <c r="T274" s="1" t="n">
        <v>2026</v>
      </c>
      <c r="U274" s="1" t="n">
        <v>2026</v>
      </c>
      <c r="V274" s="5" t="n">
        <v>46221.9895833333</v>
      </c>
      <c r="W274" s="6" t="n">
        <v>46387.9999999884</v>
      </c>
    </row>
    <row r="275" customFormat="false" ht="12.75" hidden="false" customHeight="false" outlineLevel="0" collapsed="false">
      <c r="A275" s="1" t="s">
        <v>1164</v>
      </c>
      <c r="B275" s="1" t="n">
        <v>18208401</v>
      </c>
      <c r="C275" s="1" t="s">
        <v>1095</v>
      </c>
      <c r="D275" s="1" t="s">
        <v>1101</v>
      </c>
      <c r="E275" s="1" t="s">
        <v>1165</v>
      </c>
      <c r="F275" s="1" t="s">
        <v>1166</v>
      </c>
      <c r="G275" s="2" t="s">
        <v>28</v>
      </c>
      <c r="H275" s="1" t="n">
        <v>-1</v>
      </c>
      <c r="I275" s="1" t="n">
        <v>-1</v>
      </c>
      <c r="J275" s="1" t="n">
        <v>-1</v>
      </c>
      <c r="K275" s="1" t="n">
        <v>-1</v>
      </c>
      <c r="L275" s="2" t="n">
        <v>9072</v>
      </c>
      <c r="M275" s="1" t="s">
        <v>65</v>
      </c>
      <c r="N275" s="1" t="s">
        <v>105</v>
      </c>
      <c r="O275" s="5" t="n">
        <v>46200.8673611111</v>
      </c>
      <c r="P275" s="5" t="n">
        <v>46224.6979166667</v>
      </c>
      <c r="Q275" s="1" t="n">
        <v>60.4666</v>
      </c>
      <c r="R275" s="1" t="n">
        <v>-108.5308</v>
      </c>
      <c r="S275" s="1" t="s">
        <v>1167</v>
      </c>
      <c r="T275" s="1" t="n">
        <v>2026</v>
      </c>
      <c r="U275" s="1" t="n">
        <v>2026</v>
      </c>
      <c r="V275" s="5" t="n">
        <v>46221.9895833333</v>
      </c>
      <c r="W275" s="6" t="n">
        <v>46387.9999999884</v>
      </c>
    </row>
    <row r="276" customFormat="false" ht="12.75" hidden="false" customHeight="false" outlineLevel="0" collapsed="false">
      <c r="A276" s="1" t="s">
        <v>1168</v>
      </c>
      <c r="B276" s="1" t="n">
        <v>18208389</v>
      </c>
      <c r="C276" s="1" t="s">
        <v>1095</v>
      </c>
      <c r="D276" s="1" t="s">
        <v>1101</v>
      </c>
      <c r="E276" s="1" t="s">
        <v>1169</v>
      </c>
      <c r="F276" s="1" t="s">
        <v>1170</v>
      </c>
      <c r="G276" s="2" t="s">
        <v>28</v>
      </c>
      <c r="H276" s="1" t="n">
        <v>-1</v>
      </c>
      <c r="I276" s="1" t="n">
        <v>-1</v>
      </c>
      <c r="J276" s="1" t="n">
        <v>-1</v>
      </c>
      <c r="K276" s="1" t="n">
        <v>-1</v>
      </c>
      <c r="L276" s="2" t="n">
        <v>14000</v>
      </c>
      <c r="M276" s="1" t="s">
        <v>65</v>
      </c>
      <c r="N276" s="1" t="s">
        <v>105</v>
      </c>
      <c r="O276" s="5" t="n">
        <v>46197.5979166667</v>
      </c>
      <c r="P276" s="5" t="n">
        <v>46224.6979166667</v>
      </c>
      <c r="Q276" s="1" t="n">
        <v>61.2975</v>
      </c>
      <c r="R276" s="1" t="n">
        <v>-103.8812</v>
      </c>
      <c r="S276" s="1" t="s">
        <v>1171</v>
      </c>
      <c r="T276" s="1" t="n">
        <v>2026</v>
      </c>
      <c r="U276" s="1" t="n">
        <v>2026</v>
      </c>
      <c r="V276" s="5" t="n">
        <v>46221.9895833333</v>
      </c>
      <c r="W276" s="6" t="n">
        <v>46387.9999999884</v>
      </c>
    </row>
    <row r="277" customFormat="false" ht="12.75" hidden="false" customHeight="false" outlineLevel="0" collapsed="false">
      <c r="A277" s="1" t="s">
        <v>1172</v>
      </c>
      <c r="B277" s="1" t="n">
        <v>18208394</v>
      </c>
      <c r="C277" s="1" t="s">
        <v>1095</v>
      </c>
      <c r="D277" s="1" t="s">
        <v>1101</v>
      </c>
      <c r="E277" s="1" t="s">
        <v>1173</v>
      </c>
      <c r="F277" s="1" t="s">
        <v>1174</v>
      </c>
      <c r="G277" s="2" t="s">
        <v>28</v>
      </c>
      <c r="H277" s="1" t="n">
        <v>-1</v>
      </c>
      <c r="I277" s="1" t="n">
        <v>-1</v>
      </c>
      <c r="J277" s="1" t="n">
        <v>-1</v>
      </c>
      <c r="K277" s="1" t="n">
        <v>-1</v>
      </c>
      <c r="L277" s="2" t="n">
        <v>8160</v>
      </c>
      <c r="M277" s="1" t="s">
        <v>65</v>
      </c>
      <c r="N277" s="1" t="s">
        <v>105</v>
      </c>
      <c r="O277" s="5" t="n">
        <v>46200.7243055556</v>
      </c>
      <c r="P277" s="5" t="n">
        <v>46224.6979166667</v>
      </c>
      <c r="Q277" s="1" t="n">
        <v>60.3979</v>
      </c>
      <c r="R277" s="1" t="n">
        <v>-110.2</v>
      </c>
      <c r="S277" s="1" t="s">
        <v>1175</v>
      </c>
      <c r="T277" s="1" t="n">
        <v>2026</v>
      </c>
      <c r="U277" s="1" t="n">
        <v>2026</v>
      </c>
      <c r="V277" s="5" t="n">
        <v>46221.9895833333</v>
      </c>
      <c r="W277" s="6" t="n">
        <v>46387.9999999884</v>
      </c>
    </row>
    <row r="278" customFormat="false" ht="12.75" hidden="false" customHeight="false" outlineLevel="0" collapsed="false">
      <c r="A278" s="1" t="s">
        <v>1176</v>
      </c>
      <c r="B278" s="1" t="n">
        <v>18208405</v>
      </c>
      <c r="C278" s="1" t="s">
        <v>1095</v>
      </c>
      <c r="D278" s="1" t="s">
        <v>1101</v>
      </c>
      <c r="E278" s="1" t="s">
        <v>1177</v>
      </c>
      <c r="F278" s="1" t="s">
        <v>1178</v>
      </c>
      <c r="G278" s="2" t="s">
        <v>28</v>
      </c>
      <c r="H278" s="1" t="n">
        <v>-1</v>
      </c>
      <c r="I278" s="1" t="n">
        <v>-1</v>
      </c>
      <c r="J278" s="1" t="n">
        <v>-1</v>
      </c>
      <c r="K278" s="1" t="n">
        <v>-1</v>
      </c>
      <c r="L278" s="2" t="n">
        <v>2500</v>
      </c>
      <c r="M278" s="1" t="s">
        <v>65</v>
      </c>
      <c r="N278" s="1" t="s">
        <v>105</v>
      </c>
      <c r="O278" s="5" t="n">
        <v>46202.8145833333</v>
      </c>
      <c r="P278" s="5" t="n">
        <v>46224.6979166667</v>
      </c>
      <c r="Q278" s="1" t="n">
        <v>60.2065</v>
      </c>
      <c r="R278" s="1" t="n">
        <v>-103.0126</v>
      </c>
      <c r="S278" s="1" t="s">
        <v>1179</v>
      </c>
      <c r="T278" s="1" t="n">
        <v>2026</v>
      </c>
      <c r="U278" s="1" t="n">
        <v>2026</v>
      </c>
      <c r="V278" s="5" t="n">
        <v>46221.9895833333</v>
      </c>
      <c r="W278" s="6" t="n">
        <v>46387.9999999884</v>
      </c>
    </row>
    <row r="279" customFormat="false" ht="12.75" hidden="false" customHeight="false" outlineLevel="0" collapsed="false">
      <c r="A279" s="1" t="s">
        <v>1180</v>
      </c>
      <c r="B279" s="1" t="n">
        <v>18208402</v>
      </c>
      <c r="C279" s="1" t="s">
        <v>1095</v>
      </c>
      <c r="D279" s="1" t="s">
        <v>1101</v>
      </c>
      <c r="E279" s="1" t="s">
        <v>1181</v>
      </c>
      <c r="F279" s="1" t="s">
        <v>1182</v>
      </c>
      <c r="G279" s="2" t="s">
        <v>28</v>
      </c>
      <c r="H279" s="1" t="n">
        <v>-1</v>
      </c>
      <c r="I279" s="1" t="n">
        <v>-1</v>
      </c>
      <c r="J279" s="1" t="n">
        <v>-1</v>
      </c>
      <c r="K279" s="1" t="n">
        <v>-1</v>
      </c>
      <c r="L279" s="2" t="n">
        <v>2500</v>
      </c>
      <c r="M279" s="1" t="s">
        <v>65</v>
      </c>
      <c r="N279" s="1" t="s">
        <v>105</v>
      </c>
      <c r="O279" s="5" t="n">
        <v>46201.0354166667</v>
      </c>
      <c r="P279" s="5" t="n">
        <v>46224.6979166667</v>
      </c>
      <c r="Q279" s="1" t="n">
        <v>61.6411</v>
      </c>
      <c r="R279" s="1" t="n">
        <v>-106.1813</v>
      </c>
      <c r="S279" s="1" t="s">
        <v>1183</v>
      </c>
      <c r="T279" s="1" t="n">
        <v>2026</v>
      </c>
      <c r="U279" s="1" t="n">
        <v>2026</v>
      </c>
      <c r="V279" s="5" t="n">
        <v>46221.9895833333</v>
      </c>
      <c r="W279" s="6" t="n">
        <v>46387.9999999884</v>
      </c>
    </row>
    <row r="280" customFormat="false" ht="12.75" hidden="false" customHeight="false" outlineLevel="0" collapsed="false">
      <c r="A280" s="1" t="s">
        <v>1184</v>
      </c>
      <c r="B280" s="1" t="n">
        <v>18205227</v>
      </c>
      <c r="C280" s="1" t="s">
        <v>1095</v>
      </c>
      <c r="D280" s="1" t="s">
        <v>1101</v>
      </c>
      <c r="E280" s="1" t="s">
        <v>1185</v>
      </c>
      <c r="F280" s="1" t="s">
        <v>1186</v>
      </c>
      <c r="G280" s="2" t="s">
        <v>28</v>
      </c>
      <c r="H280" s="1" t="n">
        <v>-1</v>
      </c>
      <c r="I280" s="1" t="n">
        <v>-1</v>
      </c>
      <c r="J280" s="1" t="n">
        <v>-1</v>
      </c>
      <c r="K280" s="1" t="n">
        <v>-1</v>
      </c>
      <c r="L280" s="2" t="n">
        <v>5089</v>
      </c>
      <c r="M280" s="1" t="s">
        <v>70</v>
      </c>
      <c r="N280" s="1" t="s">
        <v>105</v>
      </c>
      <c r="O280" s="5" t="n">
        <v>46212.6145833333</v>
      </c>
      <c r="P280" s="5" t="n">
        <v>46224.6979166667</v>
      </c>
      <c r="Q280" s="1" t="n">
        <v>61.8456</v>
      </c>
      <c r="R280" s="1" t="n">
        <v>-109.3653</v>
      </c>
      <c r="S280" s="1" t="s">
        <v>1187</v>
      </c>
      <c r="T280" s="1" t="n">
        <v>2026</v>
      </c>
      <c r="U280" s="1" t="n">
        <v>2026</v>
      </c>
      <c r="V280" s="5" t="n">
        <v>46221.9479166667</v>
      </c>
      <c r="W280" s="6" t="n">
        <v>46387.9999999884</v>
      </c>
    </row>
    <row r="281" customFormat="false" ht="12.75" hidden="false" customHeight="false" outlineLevel="0" collapsed="false">
      <c r="A281" s="1" t="s">
        <v>1188</v>
      </c>
      <c r="B281" s="1" t="n">
        <v>18205373</v>
      </c>
      <c r="C281" s="1" t="s">
        <v>1095</v>
      </c>
      <c r="D281" s="1" t="s">
        <v>1131</v>
      </c>
      <c r="E281" s="1" t="s">
        <v>1189</v>
      </c>
      <c r="F281" s="1" t="s">
        <v>1190</v>
      </c>
      <c r="G281" s="2" t="s">
        <v>28</v>
      </c>
      <c r="H281" s="1" t="n">
        <v>-1</v>
      </c>
      <c r="I281" s="1" t="n">
        <v>-1</v>
      </c>
      <c r="J281" s="1" t="n">
        <v>-1</v>
      </c>
      <c r="K281" s="1" t="n">
        <v>-1</v>
      </c>
      <c r="L281" s="2" t="n">
        <v>15</v>
      </c>
      <c r="M281" s="1" t="s">
        <v>65</v>
      </c>
      <c r="N281" s="1" t="s">
        <v>105</v>
      </c>
      <c r="O281" s="5" t="n">
        <v>46221.9277777778</v>
      </c>
      <c r="P281" s="5" t="n">
        <v>46224.6979166667</v>
      </c>
      <c r="Q281" s="1" t="n">
        <v>62.0815</v>
      </c>
      <c r="R281" s="1" t="n">
        <v>-106.672</v>
      </c>
      <c r="S281" s="1" t="s">
        <v>1191</v>
      </c>
      <c r="T281" s="1" t="n">
        <v>2026</v>
      </c>
      <c r="U281" s="1" t="n">
        <v>2026</v>
      </c>
      <c r="V281" s="5" t="n">
        <v>46221.9479166667</v>
      </c>
      <c r="W281" s="6" t="n">
        <v>46387.9999999884</v>
      </c>
    </row>
    <row r="282" customFormat="false" ht="12.75" hidden="false" customHeight="false" outlineLevel="0" collapsed="false">
      <c r="A282" s="1" t="s">
        <v>1192</v>
      </c>
      <c r="B282" s="1" t="n">
        <v>18205214</v>
      </c>
      <c r="C282" s="1" t="s">
        <v>1095</v>
      </c>
      <c r="D282" s="1" t="s">
        <v>1101</v>
      </c>
      <c r="E282" s="1" t="s">
        <v>1193</v>
      </c>
      <c r="F282" s="1" t="s">
        <v>1194</v>
      </c>
      <c r="G282" s="2" t="s">
        <v>28</v>
      </c>
      <c r="H282" s="1" t="n">
        <v>-1</v>
      </c>
      <c r="I282" s="1" t="n">
        <v>-1</v>
      </c>
      <c r="J282" s="1" t="n">
        <v>-1</v>
      </c>
      <c r="K282" s="1" t="n">
        <v>-1</v>
      </c>
      <c r="L282" s="2" t="n">
        <v>1415</v>
      </c>
      <c r="M282" s="1" t="s">
        <v>65</v>
      </c>
      <c r="N282" s="1" t="s">
        <v>105</v>
      </c>
      <c r="O282" s="5" t="n">
        <v>46200.8625</v>
      </c>
      <c r="P282" s="5" t="n">
        <v>46224.6979166667</v>
      </c>
      <c r="Q282" s="1" t="n">
        <v>60.5148</v>
      </c>
      <c r="R282" s="1" t="n">
        <v>-110.432</v>
      </c>
      <c r="S282" s="1" t="s">
        <v>1195</v>
      </c>
      <c r="T282" s="1" t="n">
        <v>2026</v>
      </c>
      <c r="U282" s="1" t="n">
        <v>2026</v>
      </c>
      <c r="V282" s="5" t="n">
        <v>46221.9479166667</v>
      </c>
      <c r="W282" s="6" t="n">
        <v>46387.9999999884</v>
      </c>
    </row>
    <row r="283" customFormat="false" ht="12.75" hidden="false" customHeight="false" outlineLevel="0" collapsed="false">
      <c r="A283" s="1" t="s">
        <v>1196</v>
      </c>
      <c r="B283" s="1" t="n">
        <v>18205370</v>
      </c>
      <c r="C283" s="1" t="s">
        <v>1095</v>
      </c>
      <c r="D283" s="1" t="s">
        <v>1131</v>
      </c>
      <c r="E283" s="1" t="s">
        <v>1197</v>
      </c>
      <c r="F283" s="1" t="s">
        <v>1198</v>
      </c>
      <c r="G283" s="2" t="s">
        <v>28</v>
      </c>
      <c r="H283" s="1" t="n">
        <v>-1</v>
      </c>
      <c r="I283" s="1" t="n">
        <v>-1</v>
      </c>
      <c r="J283" s="1" t="n">
        <v>-1</v>
      </c>
      <c r="K283" s="1" t="n">
        <v>-1</v>
      </c>
      <c r="L283" s="2" t="n">
        <v>8</v>
      </c>
      <c r="M283" s="1" t="s">
        <v>65</v>
      </c>
      <c r="N283" s="1" t="s">
        <v>105</v>
      </c>
      <c r="O283" s="5" t="n">
        <v>46221.9069444445</v>
      </c>
      <c r="P283" s="5" t="n">
        <v>46224.6979166667</v>
      </c>
      <c r="Q283" s="1" t="n">
        <v>63.0004</v>
      </c>
      <c r="R283" s="1" t="n">
        <v>-108.6496</v>
      </c>
      <c r="S283" s="1" t="s">
        <v>1199</v>
      </c>
      <c r="T283" s="1" t="n">
        <v>2026</v>
      </c>
      <c r="U283" s="1" t="n">
        <v>2026</v>
      </c>
      <c r="V283" s="5" t="n">
        <v>46221.9479166667</v>
      </c>
      <c r="W283" s="6" t="n">
        <v>46387.9999999884</v>
      </c>
    </row>
    <row r="284" customFormat="false" ht="12.75" hidden="false" customHeight="false" outlineLevel="0" collapsed="false">
      <c r="A284" s="1" t="s">
        <v>1200</v>
      </c>
      <c r="B284" s="1" t="n">
        <v>18205371</v>
      </c>
      <c r="C284" s="1" t="s">
        <v>1095</v>
      </c>
      <c r="D284" s="1" t="s">
        <v>1131</v>
      </c>
      <c r="E284" s="1" t="s">
        <v>1201</v>
      </c>
      <c r="F284" s="1" t="s">
        <v>1202</v>
      </c>
      <c r="G284" s="2" t="s">
        <v>28</v>
      </c>
      <c r="H284" s="1" t="n">
        <v>-1</v>
      </c>
      <c r="I284" s="1" t="n">
        <v>-1</v>
      </c>
      <c r="J284" s="1" t="n">
        <v>-1</v>
      </c>
      <c r="K284" s="1" t="n">
        <v>-1</v>
      </c>
      <c r="L284" s="2" t="n">
        <v>610</v>
      </c>
      <c r="M284" s="1" t="s">
        <v>65</v>
      </c>
      <c r="N284" s="1" t="s">
        <v>105</v>
      </c>
      <c r="O284" s="5" t="n">
        <v>46221.9138888889</v>
      </c>
      <c r="P284" s="5" t="n">
        <v>46224.6979166667</v>
      </c>
      <c r="Q284" s="1" t="n">
        <v>62.6397</v>
      </c>
      <c r="R284" s="1" t="n">
        <v>-107.3356</v>
      </c>
      <c r="S284" s="1" t="s">
        <v>1203</v>
      </c>
      <c r="T284" s="1" t="n">
        <v>2026</v>
      </c>
      <c r="U284" s="1" t="n">
        <v>2026</v>
      </c>
      <c r="V284" s="5" t="n">
        <v>46221.9479166667</v>
      </c>
      <c r="W284" s="6" t="n">
        <v>46387.9999999884</v>
      </c>
    </row>
    <row r="285" customFormat="false" ht="12.75" hidden="false" customHeight="false" outlineLevel="0" collapsed="false">
      <c r="A285" s="1" t="s">
        <v>1204</v>
      </c>
      <c r="B285" s="1" t="n">
        <v>18205372</v>
      </c>
      <c r="C285" s="1" t="s">
        <v>1095</v>
      </c>
      <c r="D285" s="1" t="s">
        <v>1131</v>
      </c>
      <c r="E285" s="1" t="s">
        <v>1205</v>
      </c>
      <c r="F285" s="1" t="s">
        <v>1206</v>
      </c>
      <c r="G285" s="2" t="s">
        <v>28</v>
      </c>
      <c r="H285" s="1" t="n">
        <v>-1</v>
      </c>
      <c r="I285" s="1" t="n">
        <v>-1</v>
      </c>
      <c r="J285" s="1" t="n">
        <v>-1</v>
      </c>
      <c r="K285" s="1" t="n">
        <v>-1</v>
      </c>
      <c r="L285" s="2" t="n">
        <v>150</v>
      </c>
      <c r="M285" s="1" t="s">
        <v>65</v>
      </c>
      <c r="N285" s="1" t="s">
        <v>105</v>
      </c>
      <c r="O285" s="5" t="n">
        <v>46221.9180555556</v>
      </c>
      <c r="P285" s="5" t="n">
        <v>46224.6979166667</v>
      </c>
      <c r="Q285" s="1" t="n">
        <v>62.8825</v>
      </c>
      <c r="R285" s="1" t="n">
        <v>-106.492</v>
      </c>
      <c r="S285" s="1" t="s">
        <v>1207</v>
      </c>
      <c r="T285" s="1" t="n">
        <v>2026</v>
      </c>
      <c r="U285" s="1" t="n">
        <v>2026</v>
      </c>
      <c r="V285" s="5" t="n">
        <v>46221.9479166667</v>
      </c>
      <c r="W285" s="6" t="n">
        <v>46387.9999999884</v>
      </c>
    </row>
    <row r="286" customFormat="false" ht="12.75" hidden="false" customHeight="false" outlineLevel="0" collapsed="false">
      <c r="A286" s="1" t="s">
        <v>1208</v>
      </c>
      <c r="B286" s="1" t="n">
        <v>18205228</v>
      </c>
      <c r="C286" s="1" t="s">
        <v>1095</v>
      </c>
      <c r="D286" s="1" t="s">
        <v>1101</v>
      </c>
      <c r="E286" s="1" t="s">
        <v>1209</v>
      </c>
      <c r="F286" s="1" t="s">
        <v>1210</v>
      </c>
      <c r="G286" s="2" t="s">
        <v>28</v>
      </c>
      <c r="H286" s="1" t="n">
        <v>-1</v>
      </c>
      <c r="I286" s="1" t="n">
        <v>-1</v>
      </c>
      <c r="J286" s="1" t="n">
        <v>-1</v>
      </c>
      <c r="K286" s="1" t="n">
        <v>-1</v>
      </c>
      <c r="L286" s="2" t="n">
        <v>211</v>
      </c>
      <c r="M286" s="1" t="s">
        <v>65</v>
      </c>
      <c r="N286" s="1" t="s">
        <v>105</v>
      </c>
      <c r="O286" s="5" t="n">
        <v>46210.8402777778</v>
      </c>
      <c r="P286" s="5" t="n">
        <v>46224.6979166667</v>
      </c>
      <c r="Q286" s="1" t="n">
        <v>61.8171</v>
      </c>
      <c r="R286" s="1" t="n">
        <v>-112.4564</v>
      </c>
      <c r="S286" s="1" t="s">
        <v>1211</v>
      </c>
      <c r="T286" s="1" t="n">
        <v>2026</v>
      </c>
      <c r="U286" s="1" t="n">
        <v>2026</v>
      </c>
      <c r="V286" s="5" t="n">
        <v>46221.9479166667</v>
      </c>
      <c r="W286" s="6" t="n">
        <v>46387.9999999884</v>
      </c>
    </row>
    <row r="287" customFormat="false" ht="12.75" hidden="false" customHeight="false" outlineLevel="0" collapsed="false">
      <c r="A287" s="1" t="s">
        <v>1212</v>
      </c>
      <c r="B287" s="1" t="n">
        <v>18205375</v>
      </c>
      <c r="C287" s="1" t="s">
        <v>1095</v>
      </c>
      <c r="D287" s="1" t="s">
        <v>1131</v>
      </c>
      <c r="E287" s="1" t="s">
        <v>1213</v>
      </c>
      <c r="F287" s="1" t="s">
        <v>1214</v>
      </c>
      <c r="G287" s="2" t="s">
        <v>28</v>
      </c>
      <c r="H287" s="1" t="n">
        <v>-1</v>
      </c>
      <c r="I287" s="1" t="n">
        <v>-1</v>
      </c>
      <c r="J287" s="1" t="n">
        <v>-1</v>
      </c>
      <c r="K287" s="1" t="n">
        <v>-1</v>
      </c>
      <c r="L287" s="2" t="n">
        <v>275</v>
      </c>
      <c r="M287" s="1" t="s">
        <v>65</v>
      </c>
      <c r="N287" s="1" t="s">
        <v>105</v>
      </c>
      <c r="O287" s="5" t="n">
        <v>46221.9333333333</v>
      </c>
      <c r="P287" s="5" t="n">
        <v>46224.6979166667</v>
      </c>
      <c r="Q287" s="1" t="n">
        <v>64.7648</v>
      </c>
      <c r="R287" s="1" t="n">
        <v>-118.29</v>
      </c>
      <c r="S287" s="1" t="s">
        <v>1215</v>
      </c>
      <c r="T287" s="1" t="n">
        <v>2026</v>
      </c>
      <c r="U287" s="1" t="n">
        <v>2026</v>
      </c>
      <c r="V287" s="5" t="n">
        <v>46221.9479166667</v>
      </c>
      <c r="W287" s="6" t="n">
        <v>46387.9999999884</v>
      </c>
    </row>
    <row r="288" customFormat="false" ht="12.75" hidden="false" customHeight="false" outlineLevel="0" collapsed="false">
      <c r="A288" s="1" t="s">
        <v>1216</v>
      </c>
      <c r="B288" s="1" t="n">
        <v>18205374</v>
      </c>
      <c r="C288" s="1" t="s">
        <v>1095</v>
      </c>
      <c r="D288" s="1" t="s">
        <v>1131</v>
      </c>
      <c r="E288" s="1" t="s">
        <v>1217</v>
      </c>
      <c r="F288" s="1" t="s">
        <v>1218</v>
      </c>
      <c r="G288" s="2" t="s">
        <v>28</v>
      </c>
      <c r="H288" s="1" t="n">
        <v>-1</v>
      </c>
      <c r="I288" s="1" t="n">
        <v>-1</v>
      </c>
      <c r="J288" s="1" t="n">
        <v>-1</v>
      </c>
      <c r="K288" s="1" t="n">
        <v>-1</v>
      </c>
      <c r="L288" s="2" t="n">
        <v>9</v>
      </c>
      <c r="M288" s="1" t="s">
        <v>65</v>
      </c>
      <c r="N288" s="1" t="s">
        <v>105</v>
      </c>
      <c r="O288" s="5" t="n">
        <v>46221.9305555556</v>
      </c>
      <c r="P288" s="5" t="n">
        <v>46224.6979166667</v>
      </c>
      <c r="Q288" s="1" t="n">
        <v>63.087</v>
      </c>
      <c r="R288" s="1" t="n">
        <v>-104.4251</v>
      </c>
      <c r="S288" s="1" t="s">
        <v>1219</v>
      </c>
      <c r="T288" s="1" t="n">
        <v>2026</v>
      </c>
      <c r="U288" s="1" t="n">
        <v>2026</v>
      </c>
      <c r="V288" s="5" t="n">
        <v>46221.9479166667</v>
      </c>
      <c r="W288" s="6" t="n">
        <v>46387.9999999884</v>
      </c>
    </row>
    <row r="289" customFormat="false" ht="12.75" hidden="false" customHeight="false" outlineLevel="0" collapsed="false">
      <c r="A289" s="1" t="s">
        <v>1220</v>
      </c>
      <c r="B289" s="1" t="n">
        <v>18201513</v>
      </c>
      <c r="C289" s="1" t="s">
        <v>1095</v>
      </c>
      <c r="D289" s="1" t="s">
        <v>1131</v>
      </c>
      <c r="E289" s="1" t="s">
        <v>1221</v>
      </c>
      <c r="F289" s="1" t="s">
        <v>1222</v>
      </c>
      <c r="G289" s="2" t="s">
        <v>28</v>
      </c>
      <c r="H289" s="1" t="n">
        <v>-1</v>
      </c>
      <c r="I289" s="1" t="n">
        <v>-1</v>
      </c>
      <c r="J289" s="1" t="n">
        <v>-1</v>
      </c>
      <c r="K289" s="1" t="n">
        <v>-1</v>
      </c>
      <c r="L289" s="2" t="n">
        <v>16</v>
      </c>
      <c r="M289" s="1" t="s">
        <v>65</v>
      </c>
      <c r="N289" s="1" t="s">
        <v>105</v>
      </c>
      <c r="O289" s="5" t="n">
        <v>46220.6680555556</v>
      </c>
      <c r="P289" s="5" t="n">
        <v>46224.6979166667</v>
      </c>
      <c r="Q289" s="1" t="n">
        <v>62.2643</v>
      </c>
      <c r="R289" s="1" t="n">
        <v>-115.5356</v>
      </c>
      <c r="S289" s="1" t="s">
        <v>1223</v>
      </c>
      <c r="T289" s="1" t="n">
        <v>2026</v>
      </c>
      <c r="U289" s="1" t="n">
        <v>2026</v>
      </c>
      <c r="V289" s="5" t="n">
        <v>46221.90625</v>
      </c>
      <c r="W289" s="6" t="n">
        <v>46387.9999999884</v>
      </c>
    </row>
    <row r="290" customFormat="false" ht="12.75" hidden="false" customHeight="false" outlineLevel="0" collapsed="false">
      <c r="A290" s="1" t="s">
        <v>1224</v>
      </c>
      <c r="B290" s="1" t="n">
        <v>18198068</v>
      </c>
      <c r="C290" s="1" t="s">
        <v>1095</v>
      </c>
      <c r="D290" s="1" t="s">
        <v>1118</v>
      </c>
      <c r="E290" s="1" t="s">
        <v>1225</v>
      </c>
      <c r="F290" s="1" t="s">
        <v>1226</v>
      </c>
      <c r="G290" s="2" t="s">
        <v>28</v>
      </c>
      <c r="H290" s="1" t="n">
        <v>-1</v>
      </c>
      <c r="I290" s="1" t="n">
        <v>-1</v>
      </c>
      <c r="J290" s="1" t="n">
        <v>-1</v>
      </c>
      <c r="K290" s="1" t="n">
        <v>-1</v>
      </c>
      <c r="L290" s="2" t="n">
        <v>150</v>
      </c>
      <c r="M290" s="1" t="s">
        <v>65</v>
      </c>
      <c r="N290" s="1" t="s">
        <v>105</v>
      </c>
      <c r="O290" s="5" t="n">
        <v>46219.625</v>
      </c>
      <c r="P290" s="5" t="n">
        <v>46224.6979166667</v>
      </c>
      <c r="Q290" s="1" t="n">
        <v>63.8284</v>
      </c>
      <c r="R290" s="1" t="n">
        <v>-125.0832</v>
      </c>
      <c r="S290" s="1" t="s">
        <v>1227</v>
      </c>
      <c r="T290" s="1" t="n">
        <v>2026</v>
      </c>
      <c r="U290" s="1" t="n">
        <v>2026</v>
      </c>
      <c r="V290" s="5" t="n">
        <v>46221.8645833333</v>
      </c>
      <c r="W290" s="6" t="n">
        <v>46387.9999999884</v>
      </c>
    </row>
    <row r="291" customFormat="false" ht="12.75" hidden="false" customHeight="false" outlineLevel="0" collapsed="false">
      <c r="A291" s="1" t="s">
        <v>1228</v>
      </c>
      <c r="B291" s="1" t="n">
        <v>18198128</v>
      </c>
      <c r="C291" s="1" t="s">
        <v>1095</v>
      </c>
      <c r="D291" s="1" t="s">
        <v>1131</v>
      </c>
      <c r="E291" s="1" t="s">
        <v>1229</v>
      </c>
      <c r="F291" s="1" t="s">
        <v>1230</v>
      </c>
      <c r="G291" s="2" t="s">
        <v>84</v>
      </c>
      <c r="H291" s="1" t="n">
        <v>-1</v>
      </c>
      <c r="I291" s="1" t="n">
        <v>-1</v>
      </c>
      <c r="J291" s="1" t="n">
        <v>-1</v>
      </c>
      <c r="K291" s="1" t="n">
        <v>-1</v>
      </c>
      <c r="L291" s="2" t="n">
        <v>2</v>
      </c>
      <c r="M291" s="1" t="s">
        <v>29</v>
      </c>
      <c r="N291" s="1" t="s">
        <v>105</v>
      </c>
      <c r="O291" s="5" t="n">
        <v>46221.8194444444</v>
      </c>
      <c r="P291" s="5" t="n">
        <v>46224.6979166667</v>
      </c>
      <c r="Q291" s="1" t="n">
        <v>62.5318</v>
      </c>
      <c r="R291" s="1" t="n">
        <v>-114.1988</v>
      </c>
      <c r="S291" s="1" t="s">
        <v>1231</v>
      </c>
      <c r="T291" s="1" t="n">
        <v>2026</v>
      </c>
      <c r="U291" s="1" t="n">
        <v>2026</v>
      </c>
      <c r="V291" s="5" t="n">
        <v>46221.8645833333</v>
      </c>
      <c r="W291" s="6" t="n">
        <v>46387.9999999884</v>
      </c>
    </row>
    <row r="292" customFormat="false" ht="12.75" hidden="false" customHeight="false" outlineLevel="0" collapsed="false">
      <c r="A292" s="1" t="s">
        <v>1232</v>
      </c>
      <c r="B292" s="1" t="n">
        <v>18132701</v>
      </c>
      <c r="C292" s="1" t="s">
        <v>1095</v>
      </c>
      <c r="D292" s="1" t="s">
        <v>1096</v>
      </c>
      <c r="E292" s="1" t="s">
        <v>1233</v>
      </c>
      <c r="F292" s="1" t="s">
        <v>1234</v>
      </c>
      <c r="G292" s="2" t="s">
        <v>28</v>
      </c>
      <c r="H292" s="1" t="n">
        <v>-1</v>
      </c>
      <c r="I292" s="1" t="n">
        <v>-1</v>
      </c>
      <c r="J292" s="1" t="n">
        <v>-1</v>
      </c>
      <c r="K292" s="1" t="n">
        <v>-1</v>
      </c>
      <c r="L292" s="2" t="n">
        <v>55403</v>
      </c>
      <c r="M292" s="1" t="s">
        <v>29</v>
      </c>
      <c r="N292" s="1" t="s">
        <v>105</v>
      </c>
      <c r="O292" s="5" t="n">
        <v>46200.0145833333</v>
      </c>
      <c r="P292" s="5" t="n">
        <v>46224.6979166667</v>
      </c>
      <c r="Q292" s="1" t="n">
        <v>61.7758</v>
      </c>
      <c r="R292" s="1" t="n">
        <v>-121.4275</v>
      </c>
      <c r="S292" s="1" t="s">
        <v>1235</v>
      </c>
      <c r="T292" s="1" t="n">
        <v>2026</v>
      </c>
      <c r="U292" s="1" t="n">
        <v>2026</v>
      </c>
      <c r="V292" s="5" t="n">
        <v>46221.15625</v>
      </c>
      <c r="W292" s="6" t="n">
        <v>46387.9999999884</v>
      </c>
    </row>
    <row r="293" customFormat="false" ht="12.75" hidden="false" customHeight="false" outlineLevel="0" collapsed="false">
      <c r="A293" s="1" t="s">
        <v>1236</v>
      </c>
      <c r="B293" s="1" t="n">
        <v>18120056</v>
      </c>
      <c r="C293" s="1" t="s">
        <v>1095</v>
      </c>
      <c r="D293" s="1" t="s">
        <v>1101</v>
      </c>
      <c r="E293" s="1" t="s">
        <v>1237</v>
      </c>
      <c r="F293" s="1" t="s">
        <v>1238</v>
      </c>
      <c r="G293" s="2" t="s">
        <v>28</v>
      </c>
      <c r="H293" s="1" t="n">
        <v>-1</v>
      </c>
      <c r="I293" s="1" t="n">
        <v>-1</v>
      </c>
      <c r="J293" s="1" t="n">
        <v>-1</v>
      </c>
      <c r="K293" s="1" t="n">
        <v>-1</v>
      </c>
      <c r="L293" s="2" t="n">
        <v>10</v>
      </c>
      <c r="M293" s="1" t="s">
        <v>29</v>
      </c>
      <c r="N293" s="1" t="s">
        <v>105</v>
      </c>
      <c r="O293" s="5" t="n">
        <v>46220.9736111111</v>
      </c>
      <c r="P293" s="5" t="n">
        <v>46224.6979166667</v>
      </c>
      <c r="Q293" s="1" t="n">
        <v>61.0364</v>
      </c>
      <c r="R293" s="1" t="n">
        <v>-110.2612</v>
      </c>
      <c r="S293" s="1" t="s">
        <v>1239</v>
      </c>
      <c r="T293" s="1" t="n">
        <v>2026</v>
      </c>
      <c r="U293" s="1" t="n">
        <v>2026</v>
      </c>
      <c r="V293" s="5" t="n">
        <v>46221.03125</v>
      </c>
      <c r="W293" s="6" t="n">
        <v>46387.9999999884</v>
      </c>
    </row>
    <row r="294" customFormat="false" ht="12.75" hidden="false" customHeight="false" outlineLevel="0" collapsed="false">
      <c r="A294" s="1" t="s">
        <v>1240</v>
      </c>
      <c r="B294" s="1" t="n">
        <v>18103386</v>
      </c>
      <c r="C294" s="1" t="s">
        <v>1095</v>
      </c>
      <c r="D294" s="1" t="s">
        <v>1131</v>
      </c>
      <c r="E294" s="1" t="s">
        <v>1241</v>
      </c>
      <c r="F294" s="1" t="s">
        <v>1242</v>
      </c>
      <c r="G294" s="2" t="s">
        <v>28</v>
      </c>
      <c r="H294" s="1" t="n">
        <v>-1</v>
      </c>
      <c r="I294" s="1" t="n">
        <v>-1</v>
      </c>
      <c r="J294" s="1" t="n">
        <v>-1</v>
      </c>
      <c r="K294" s="1" t="n">
        <v>-1</v>
      </c>
      <c r="L294" s="2" t="n">
        <v>33</v>
      </c>
      <c r="M294" s="1" t="s">
        <v>65</v>
      </c>
      <c r="N294" s="1" t="s">
        <v>105</v>
      </c>
      <c r="O294" s="5" t="n">
        <v>46219.9069444445</v>
      </c>
      <c r="P294" s="5" t="n">
        <v>46224.6979166667</v>
      </c>
      <c r="Q294" s="1" t="n">
        <v>63.643</v>
      </c>
      <c r="R294" s="1" t="n">
        <v>-111.6359</v>
      </c>
      <c r="S294" s="1" t="s">
        <v>1243</v>
      </c>
      <c r="T294" s="1" t="n">
        <v>2026</v>
      </c>
      <c r="U294" s="1" t="n">
        <v>2026</v>
      </c>
      <c r="V294" s="5" t="n">
        <v>46220.8229166667</v>
      </c>
      <c r="W294" s="6" t="n">
        <v>46387.9999999884</v>
      </c>
    </row>
    <row r="295" customFormat="false" ht="12.75" hidden="false" customHeight="false" outlineLevel="0" collapsed="false">
      <c r="A295" s="1" t="s">
        <v>1244</v>
      </c>
      <c r="B295" s="1" t="n">
        <v>18103384</v>
      </c>
      <c r="C295" s="1" t="s">
        <v>1095</v>
      </c>
      <c r="D295" s="1" t="s">
        <v>1131</v>
      </c>
      <c r="E295" s="1" t="s">
        <v>1245</v>
      </c>
      <c r="F295" s="1" t="s">
        <v>1246</v>
      </c>
      <c r="G295" s="2" t="s">
        <v>28</v>
      </c>
      <c r="H295" s="1" t="n">
        <v>-1</v>
      </c>
      <c r="I295" s="1" t="n">
        <v>-1</v>
      </c>
      <c r="J295" s="1" t="n">
        <v>-1</v>
      </c>
      <c r="K295" s="1" t="n">
        <v>-1</v>
      </c>
      <c r="L295" s="2" t="n">
        <v>57</v>
      </c>
      <c r="M295" s="1" t="s">
        <v>65</v>
      </c>
      <c r="N295" s="1" t="s">
        <v>105</v>
      </c>
      <c r="O295" s="5" t="n">
        <v>46219.7722222222</v>
      </c>
      <c r="P295" s="5" t="n">
        <v>46224.6979166667</v>
      </c>
      <c r="Q295" s="1" t="n">
        <v>65.4566</v>
      </c>
      <c r="R295" s="1" t="n">
        <v>-112.4664</v>
      </c>
      <c r="S295" s="1" t="s">
        <v>1247</v>
      </c>
      <c r="T295" s="1" t="n">
        <v>2026</v>
      </c>
      <c r="U295" s="1" t="n">
        <v>2026</v>
      </c>
      <c r="V295" s="5" t="n">
        <v>46220.8229166667</v>
      </c>
      <c r="W295" s="6" t="n">
        <v>46387.9999999884</v>
      </c>
    </row>
    <row r="296" customFormat="false" ht="12.75" hidden="false" customHeight="false" outlineLevel="0" collapsed="false">
      <c r="A296" s="1" t="s">
        <v>1248</v>
      </c>
      <c r="B296" s="1" t="n">
        <v>18035415</v>
      </c>
      <c r="C296" s="1" t="s">
        <v>1095</v>
      </c>
      <c r="D296" s="1" t="s">
        <v>1096</v>
      </c>
      <c r="E296" s="1" t="s">
        <v>1249</v>
      </c>
      <c r="F296" s="1" t="s">
        <v>1250</v>
      </c>
      <c r="G296" s="2" t="s">
        <v>28</v>
      </c>
      <c r="H296" s="1" t="n">
        <v>-1</v>
      </c>
      <c r="I296" s="1" t="n">
        <v>-1</v>
      </c>
      <c r="J296" s="1" t="n">
        <v>-1</v>
      </c>
      <c r="K296" s="1" t="n">
        <v>-1</v>
      </c>
      <c r="L296" s="2" t="n">
        <v>3163</v>
      </c>
      <c r="M296" s="1" t="s">
        <v>29</v>
      </c>
      <c r="N296" s="1" t="s">
        <v>105</v>
      </c>
      <c r="O296" s="5" t="n">
        <v>46199.09375</v>
      </c>
      <c r="P296" s="5" t="n">
        <v>46224.6979166667</v>
      </c>
      <c r="Q296" s="1" t="n">
        <v>61.5054</v>
      </c>
      <c r="R296" s="1" t="n">
        <v>-121.3981</v>
      </c>
      <c r="S296" s="1" t="s">
        <v>1251</v>
      </c>
      <c r="T296" s="1" t="n">
        <v>2026</v>
      </c>
      <c r="U296" s="1" t="n">
        <v>2026</v>
      </c>
      <c r="V296" s="5" t="n">
        <v>46220.03125</v>
      </c>
      <c r="W296" s="6" t="n">
        <v>46387.9999999884</v>
      </c>
    </row>
    <row r="297" customFormat="false" ht="12.75" hidden="false" customHeight="false" outlineLevel="0" collapsed="false">
      <c r="A297" s="1" t="s">
        <v>1252</v>
      </c>
      <c r="B297" s="1" t="n">
        <v>18031183</v>
      </c>
      <c r="C297" s="1" t="s">
        <v>1095</v>
      </c>
      <c r="D297" s="1" t="s">
        <v>1096</v>
      </c>
      <c r="E297" s="1" t="s">
        <v>1253</v>
      </c>
      <c r="F297" s="1" t="s">
        <v>1254</v>
      </c>
      <c r="G297" s="2" t="s">
        <v>28</v>
      </c>
      <c r="H297" s="1" t="n">
        <v>-1</v>
      </c>
      <c r="I297" s="1" t="n">
        <v>-1</v>
      </c>
      <c r="J297" s="1" t="n">
        <v>-1</v>
      </c>
      <c r="K297" s="1" t="n">
        <v>-1</v>
      </c>
      <c r="L297" s="2" t="n">
        <v>19717</v>
      </c>
      <c r="M297" s="1" t="s">
        <v>29</v>
      </c>
      <c r="N297" s="1" t="s">
        <v>105</v>
      </c>
      <c r="O297" s="5" t="n">
        <v>46199.8006944444</v>
      </c>
      <c r="P297" s="5" t="n">
        <v>46224.6979166667</v>
      </c>
      <c r="Q297" s="1" t="n">
        <v>63.3396</v>
      </c>
      <c r="R297" s="1" t="n">
        <v>-123.5072</v>
      </c>
      <c r="S297" s="1" t="s">
        <v>1255</v>
      </c>
      <c r="T297" s="1" t="n">
        <v>2026</v>
      </c>
      <c r="U297" s="1" t="n">
        <v>2026</v>
      </c>
      <c r="V297" s="5" t="n">
        <v>46219.9895833333</v>
      </c>
      <c r="W297" s="6" t="n">
        <v>46387.9999999884</v>
      </c>
    </row>
    <row r="298" customFormat="false" ht="12.75" hidden="false" customHeight="false" outlineLevel="0" collapsed="false">
      <c r="A298" s="1" t="s">
        <v>1256</v>
      </c>
      <c r="B298" s="1" t="n">
        <v>18031362</v>
      </c>
      <c r="C298" s="1" t="s">
        <v>1095</v>
      </c>
      <c r="D298" s="1" t="s">
        <v>1131</v>
      </c>
      <c r="E298" s="1" t="s">
        <v>1257</v>
      </c>
      <c r="F298" s="1" t="s">
        <v>1258</v>
      </c>
      <c r="G298" s="2" t="s">
        <v>28</v>
      </c>
      <c r="H298" s="1" t="n">
        <v>-1</v>
      </c>
      <c r="I298" s="1" t="n">
        <v>-1</v>
      </c>
      <c r="J298" s="1" t="n">
        <v>-1</v>
      </c>
      <c r="K298" s="1" t="n">
        <v>-1</v>
      </c>
      <c r="L298" s="2" t="n">
        <v>3926</v>
      </c>
      <c r="M298" s="1" t="s">
        <v>65</v>
      </c>
      <c r="N298" s="1" t="s">
        <v>105</v>
      </c>
      <c r="O298" s="5" t="n">
        <v>46216.8965277778</v>
      </c>
      <c r="P298" s="5" t="n">
        <v>46224.6979166667</v>
      </c>
      <c r="Q298" s="1" t="n">
        <v>63.1087</v>
      </c>
      <c r="R298" s="1" t="n">
        <v>-112.7713</v>
      </c>
      <c r="S298" s="1" t="s">
        <v>1259</v>
      </c>
      <c r="T298" s="1" t="n">
        <v>2026</v>
      </c>
      <c r="U298" s="1" t="n">
        <v>2026</v>
      </c>
      <c r="V298" s="5" t="n">
        <v>46219.9895833333</v>
      </c>
      <c r="W298" s="6" t="n">
        <v>46387.9999999884</v>
      </c>
    </row>
    <row r="299" customFormat="false" ht="12.75" hidden="false" customHeight="false" outlineLevel="0" collapsed="false">
      <c r="A299" s="1" t="s">
        <v>1260</v>
      </c>
      <c r="B299" s="1" t="n">
        <v>18025560</v>
      </c>
      <c r="C299" s="1" t="s">
        <v>1095</v>
      </c>
      <c r="D299" s="1" t="s">
        <v>1131</v>
      </c>
      <c r="E299" s="1" t="s">
        <v>1261</v>
      </c>
      <c r="F299" s="1" t="s">
        <v>1262</v>
      </c>
      <c r="G299" s="2" t="s">
        <v>28</v>
      </c>
      <c r="H299" s="1" t="n">
        <v>-1</v>
      </c>
      <c r="I299" s="1" t="n">
        <v>-1</v>
      </c>
      <c r="J299" s="1" t="n">
        <v>-1</v>
      </c>
      <c r="K299" s="1" t="n">
        <v>-1</v>
      </c>
      <c r="L299" s="2" t="n">
        <v>31</v>
      </c>
      <c r="M299" s="1" t="s">
        <v>65</v>
      </c>
      <c r="N299" s="1" t="s">
        <v>105</v>
      </c>
      <c r="O299" s="5" t="n">
        <v>46219.0381944444</v>
      </c>
      <c r="P299" s="5" t="n">
        <v>46224.6979166667</v>
      </c>
      <c r="Q299" s="1" t="n">
        <v>64.5857</v>
      </c>
      <c r="R299" s="1" t="n">
        <v>-113.2231</v>
      </c>
      <c r="S299" s="1" t="s">
        <v>1263</v>
      </c>
      <c r="T299" s="1" t="n">
        <v>2026</v>
      </c>
      <c r="U299" s="1" t="n">
        <v>2026</v>
      </c>
      <c r="V299" s="5" t="n">
        <v>46219.9479166667</v>
      </c>
      <c r="W299" s="6" t="n">
        <v>46387.9999999884</v>
      </c>
    </row>
    <row r="300" customFormat="false" ht="12.75" hidden="false" customHeight="false" outlineLevel="0" collapsed="false">
      <c r="A300" s="1" t="s">
        <v>1264</v>
      </c>
      <c r="B300" s="1" t="n">
        <v>18025559</v>
      </c>
      <c r="C300" s="1" t="s">
        <v>1095</v>
      </c>
      <c r="D300" s="1" t="s">
        <v>1131</v>
      </c>
      <c r="E300" s="1" t="s">
        <v>1265</v>
      </c>
      <c r="F300" s="1" t="s">
        <v>1266</v>
      </c>
      <c r="G300" s="2" t="s">
        <v>28</v>
      </c>
      <c r="H300" s="1" t="n">
        <v>-1</v>
      </c>
      <c r="I300" s="1" t="n">
        <v>-1</v>
      </c>
      <c r="J300" s="1" t="n">
        <v>-1</v>
      </c>
      <c r="K300" s="1" t="n">
        <v>-1</v>
      </c>
      <c r="L300" s="2" t="n">
        <v>29</v>
      </c>
      <c r="M300" s="1" t="s">
        <v>65</v>
      </c>
      <c r="N300" s="1" t="s">
        <v>105</v>
      </c>
      <c r="O300" s="5" t="n">
        <v>46217.8854166667</v>
      </c>
      <c r="P300" s="5" t="n">
        <v>46224.6979166667</v>
      </c>
      <c r="Q300" s="1" t="n">
        <v>63.6177</v>
      </c>
      <c r="R300" s="1" t="n">
        <v>-104.1172</v>
      </c>
      <c r="S300" s="1" t="s">
        <v>1267</v>
      </c>
      <c r="T300" s="1" t="n">
        <v>2026</v>
      </c>
      <c r="U300" s="1" t="n">
        <v>2026</v>
      </c>
      <c r="V300" s="5" t="n">
        <v>46219.9479166667</v>
      </c>
      <c r="W300" s="6" t="n">
        <v>46387.9999999884</v>
      </c>
    </row>
    <row r="301" customFormat="false" ht="12.75" hidden="false" customHeight="false" outlineLevel="0" collapsed="false">
      <c r="A301" s="1" t="s">
        <v>1268</v>
      </c>
      <c r="B301" s="1" t="n">
        <v>18025561</v>
      </c>
      <c r="C301" s="1" t="s">
        <v>1095</v>
      </c>
      <c r="D301" s="1" t="s">
        <v>1131</v>
      </c>
      <c r="E301" s="1" t="s">
        <v>1269</v>
      </c>
      <c r="F301" s="1" t="s">
        <v>1270</v>
      </c>
      <c r="G301" s="2" t="s">
        <v>28</v>
      </c>
      <c r="H301" s="1" t="n">
        <v>-1</v>
      </c>
      <c r="I301" s="1" t="n">
        <v>-1</v>
      </c>
      <c r="J301" s="1" t="n">
        <v>-1</v>
      </c>
      <c r="K301" s="1" t="n">
        <v>-1</v>
      </c>
      <c r="L301" s="2" t="n">
        <v>2</v>
      </c>
      <c r="M301" s="1" t="s">
        <v>65</v>
      </c>
      <c r="N301" s="1" t="s">
        <v>105</v>
      </c>
      <c r="O301" s="5" t="n">
        <v>46219.7701388889</v>
      </c>
      <c r="P301" s="5" t="n">
        <v>46224.6979166667</v>
      </c>
      <c r="Q301" s="1" t="n">
        <v>64.2879</v>
      </c>
      <c r="R301" s="1" t="n">
        <v>-107.5105</v>
      </c>
      <c r="S301" s="1" t="s">
        <v>1271</v>
      </c>
      <c r="T301" s="1" t="n">
        <v>2026</v>
      </c>
      <c r="U301" s="1" t="n">
        <v>2026</v>
      </c>
      <c r="V301" s="5" t="n">
        <v>46219.9479166667</v>
      </c>
      <c r="W301" s="6" t="n">
        <v>46387.9999999884</v>
      </c>
    </row>
    <row r="302" customFormat="false" ht="12.75" hidden="false" customHeight="false" outlineLevel="0" collapsed="false">
      <c r="A302" s="1" t="s">
        <v>1272</v>
      </c>
      <c r="B302" s="1" t="n">
        <v>18021695</v>
      </c>
      <c r="C302" s="1" t="s">
        <v>1095</v>
      </c>
      <c r="D302" s="1" t="s">
        <v>1101</v>
      </c>
      <c r="E302" s="1" t="s">
        <v>1273</v>
      </c>
      <c r="F302" s="1" t="s">
        <v>1274</v>
      </c>
      <c r="G302" s="2" t="s">
        <v>28</v>
      </c>
      <c r="H302" s="1" t="n">
        <v>-1</v>
      </c>
      <c r="I302" s="1" t="n">
        <v>-1</v>
      </c>
      <c r="J302" s="1" t="n">
        <v>-1</v>
      </c>
      <c r="K302" s="1" t="n">
        <v>-1</v>
      </c>
      <c r="L302" s="2" t="n">
        <v>5</v>
      </c>
      <c r="M302" s="1" t="s">
        <v>29</v>
      </c>
      <c r="N302" s="1" t="s">
        <v>30</v>
      </c>
      <c r="O302" s="5" t="n">
        <v>46152.1666666667</v>
      </c>
      <c r="P302" s="5" t="n">
        <v>46224.6979166667</v>
      </c>
      <c r="Q302" s="1" t="n">
        <v>61.3699</v>
      </c>
      <c r="R302" s="1" t="n">
        <v>-117.5968</v>
      </c>
      <c r="S302" s="1" t="s">
        <v>1275</v>
      </c>
      <c r="T302" s="1" t="n">
        <v>2026</v>
      </c>
      <c r="U302" s="1" t="n">
        <v>2026</v>
      </c>
      <c r="V302" s="5" t="n">
        <v>46219.90625</v>
      </c>
      <c r="W302" s="6" t="n">
        <v>46387.9999999884</v>
      </c>
    </row>
    <row r="303" customFormat="false" ht="12.75" hidden="false" customHeight="false" outlineLevel="0" collapsed="false">
      <c r="A303" s="1" t="s">
        <v>1276</v>
      </c>
      <c r="B303" s="1" t="n">
        <v>18021860</v>
      </c>
      <c r="C303" s="1" t="s">
        <v>1095</v>
      </c>
      <c r="D303" s="1" t="s">
        <v>1131</v>
      </c>
      <c r="E303" s="1" t="s">
        <v>1277</v>
      </c>
      <c r="F303" s="1" t="s">
        <v>1278</v>
      </c>
      <c r="G303" s="2" t="s">
        <v>28</v>
      </c>
      <c r="H303" s="1" t="n">
        <v>-1</v>
      </c>
      <c r="I303" s="1" t="n">
        <v>-1</v>
      </c>
      <c r="J303" s="1" t="n">
        <v>-1</v>
      </c>
      <c r="K303" s="1" t="n">
        <v>-1</v>
      </c>
      <c r="L303" s="2" t="n">
        <v>4</v>
      </c>
      <c r="M303" s="1" t="s">
        <v>65</v>
      </c>
      <c r="N303" s="1" t="s">
        <v>105</v>
      </c>
      <c r="O303" s="5" t="n">
        <v>46216.9652777778</v>
      </c>
      <c r="P303" s="5" t="n">
        <v>46224.6979166667</v>
      </c>
      <c r="Q303" s="1" t="n">
        <v>63.4378</v>
      </c>
      <c r="R303" s="1" t="n">
        <v>-110.1956</v>
      </c>
      <c r="S303" s="1" t="s">
        <v>1279</v>
      </c>
      <c r="T303" s="1" t="n">
        <v>2026</v>
      </c>
      <c r="U303" s="1" t="n">
        <v>2026</v>
      </c>
      <c r="V303" s="5" t="n">
        <v>46219.90625</v>
      </c>
      <c r="W303" s="6" t="n">
        <v>46387.9999999884</v>
      </c>
    </row>
    <row r="304" customFormat="false" ht="12.75" hidden="false" customHeight="false" outlineLevel="0" collapsed="false">
      <c r="A304" s="1" t="s">
        <v>1280</v>
      </c>
      <c r="B304" s="1" t="n">
        <v>18017204</v>
      </c>
      <c r="C304" s="1" t="s">
        <v>1095</v>
      </c>
      <c r="D304" s="1" t="s">
        <v>1131</v>
      </c>
      <c r="E304" s="1" t="s">
        <v>1281</v>
      </c>
      <c r="F304" s="1" t="s">
        <v>1282</v>
      </c>
      <c r="G304" s="2" t="s">
        <v>28</v>
      </c>
      <c r="H304" s="1" t="n">
        <v>-1</v>
      </c>
      <c r="I304" s="1" t="n">
        <v>-1</v>
      </c>
      <c r="J304" s="1" t="n">
        <v>-1</v>
      </c>
      <c r="K304" s="1" t="n">
        <v>-1</v>
      </c>
      <c r="L304" s="2" t="n">
        <v>144546</v>
      </c>
      <c r="M304" s="1" t="s">
        <v>65</v>
      </c>
      <c r="N304" s="1" t="s">
        <v>105</v>
      </c>
      <c r="O304" s="5" t="n">
        <v>46200.0513888889</v>
      </c>
      <c r="P304" s="5" t="n">
        <v>46224.6979166667</v>
      </c>
      <c r="Q304" s="1" t="n">
        <v>65.2971</v>
      </c>
      <c r="R304" s="1" t="n">
        <v>-117.6656</v>
      </c>
      <c r="S304" s="1" t="s">
        <v>1283</v>
      </c>
      <c r="T304" s="1" t="n">
        <v>2026</v>
      </c>
      <c r="U304" s="1" t="n">
        <v>2026</v>
      </c>
      <c r="V304" s="5" t="n">
        <v>46219.8229166667</v>
      </c>
      <c r="W304" s="6" t="n">
        <v>46387.9999999884</v>
      </c>
    </row>
    <row r="305" customFormat="false" ht="12.75" hidden="false" customHeight="false" outlineLevel="0" collapsed="false">
      <c r="A305" s="1" t="s">
        <v>1284</v>
      </c>
      <c r="B305" s="1" t="n">
        <v>18017225</v>
      </c>
      <c r="C305" s="1" t="s">
        <v>1095</v>
      </c>
      <c r="D305" s="1" t="s">
        <v>1131</v>
      </c>
      <c r="E305" s="1" t="s">
        <v>1285</v>
      </c>
      <c r="F305" s="1" t="s">
        <v>1286</v>
      </c>
      <c r="G305" s="2" t="s">
        <v>28</v>
      </c>
      <c r="H305" s="1" t="n">
        <v>-1</v>
      </c>
      <c r="I305" s="1" t="n">
        <v>-1</v>
      </c>
      <c r="J305" s="1" t="n">
        <v>-1</v>
      </c>
      <c r="K305" s="1" t="n">
        <v>-1</v>
      </c>
      <c r="L305" s="2" t="n">
        <v>1900</v>
      </c>
      <c r="M305" s="1" t="s">
        <v>65</v>
      </c>
      <c r="N305" s="1" t="s">
        <v>105</v>
      </c>
      <c r="O305" s="5" t="n">
        <v>46216.9666666667</v>
      </c>
      <c r="P305" s="5" t="n">
        <v>46224.6979166667</v>
      </c>
      <c r="Q305" s="1" t="n">
        <v>64.579</v>
      </c>
      <c r="R305" s="1" t="n">
        <v>-115.8221</v>
      </c>
      <c r="S305" s="1" t="s">
        <v>1287</v>
      </c>
      <c r="T305" s="1" t="n">
        <v>2026</v>
      </c>
      <c r="U305" s="1" t="n">
        <v>2026</v>
      </c>
      <c r="V305" s="5" t="n">
        <v>46219.8229166667</v>
      </c>
      <c r="W305" s="6" t="n">
        <v>46387.9999999884</v>
      </c>
    </row>
    <row r="306" customFormat="false" ht="12.75" hidden="false" customHeight="false" outlineLevel="0" collapsed="false">
      <c r="A306" s="1" t="s">
        <v>1288</v>
      </c>
      <c r="B306" s="1" t="n">
        <v>18017228</v>
      </c>
      <c r="C306" s="1" t="s">
        <v>1095</v>
      </c>
      <c r="D306" s="1" t="s">
        <v>1131</v>
      </c>
      <c r="E306" s="1" t="s">
        <v>1289</v>
      </c>
      <c r="F306" s="1" t="s">
        <v>1290</v>
      </c>
      <c r="G306" s="2" t="s">
        <v>28</v>
      </c>
      <c r="H306" s="1" t="n">
        <v>-1</v>
      </c>
      <c r="I306" s="1" t="n">
        <v>-1</v>
      </c>
      <c r="J306" s="1" t="n">
        <v>-1</v>
      </c>
      <c r="K306" s="1" t="n">
        <v>-1</v>
      </c>
      <c r="L306" s="2" t="n">
        <v>8106</v>
      </c>
      <c r="M306" s="1" t="s">
        <v>65</v>
      </c>
      <c r="N306" s="1" t="s">
        <v>105</v>
      </c>
      <c r="O306" s="5" t="n">
        <v>46217.8729166667</v>
      </c>
      <c r="P306" s="5" t="n">
        <v>46224.6979166667</v>
      </c>
      <c r="Q306" s="1" t="n">
        <v>63.7245</v>
      </c>
      <c r="R306" s="1" t="n">
        <v>-118.6028</v>
      </c>
      <c r="S306" s="1" t="s">
        <v>1291</v>
      </c>
      <c r="T306" s="1" t="n">
        <v>2026</v>
      </c>
      <c r="U306" s="1" t="n">
        <v>2026</v>
      </c>
      <c r="V306" s="5" t="n">
        <v>46219.8229166667</v>
      </c>
      <c r="W306" s="6" t="n">
        <v>46387.9999999884</v>
      </c>
    </row>
    <row r="307" customFormat="false" ht="12.75" hidden="false" customHeight="false" outlineLevel="0" collapsed="false">
      <c r="A307" s="1" t="s">
        <v>1292</v>
      </c>
      <c r="B307" s="1" t="n">
        <v>18017215</v>
      </c>
      <c r="C307" s="1" t="s">
        <v>1095</v>
      </c>
      <c r="D307" s="1" t="s">
        <v>1131</v>
      </c>
      <c r="E307" s="1" t="s">
        <v>1293</v>
      </c>
      <c r="F307" s="1" t="s">
        <v>1294</v>
      </c>
      <c r="G307" s="2" t="s">
        <v>28</v>
      </c>
      <c r="H307" s="1" t="n">
        <v>-1</v>
      </c>
      <c r="I307" s="1" t="n">
        <v>-1</v>
      </c>
      <c r="J307" s="1" t="n">
        <v>-1</v>
      </c>
      <c r="K307" s="1" t="n">
        <v>-1</v>
      </c>
      <c r="L307" s="2" t="n">
        <v>16839</v>
      </c>
      <c r="M307" s="1" t="s">
        <v>65</v>
      </c>
      <c r="N307" s="1" t="s">
        <v>105</v>
      </c>
      <c r="O307" s="5" t="n">
        <v>46207.9333333333</v>
      </c>
      <c r="P307" s="5" t="n">
        <v>46224.6979166667</v>
      </c>
      <c r="Q307" s="1" t="n">
        <v>64.4022</v>
      </c>
      <c r="R307" s="1" t="n">
        <v>-116.379</v>
      </c>
      <c r="S307" s="1" t="s">
        <v>1295</v>
      </c>
      <c r="T307" s="1" t="n">
        <v>2026</v>
      </c>
      <c r="U307" s="1" t="n">
        <v>2026</v>
      </c>
      <c r="V307" s="5" t="n">
        <v>46219.8229166667</v>
      </c>
      <c r="W307" s="6" t="n">
        <v>46387.9999999884</v>
      </c>
    </row>
    <row r="308" customFormat="false" ht="12.75" hidden="false" customHeight="false" outlineLevel="0" collapsed="false">
      <c r="A308" s="1" t="s">
        <v>1296</v>
      </c>
      <c r="B308" s="1" t="n">
        <v>18017203</v>
      </c>
      <c r="C308" s="1" t="s">
        <v>1095</v>
      </c>
      <c r="D308" s="1" t="s">
        <v>1131</v>
      </c>
      <c r="E308" s="1" t="s">
        <v>1297</v>
      </c>
      <c r="F308" s="1" t="s">
        <v>1298</v>
      </c>
      <c r="G308" s="2" t="s">
        <v>28</v>
      </c>
      <c r="H308" s="1" t="n">
        <v>-1</v>
      </c>
      <c r="I308" s="1" t="n">
        <v>-1</v>
      </c>
      <c r="J308" s="1" t="n">
        <v>-1</v>
      </c>
      <c r="K308" s="1" t="n">
        <v>-1</v>
      </c>
      <c r="L308" s="2" t="n">
        <v>76717</v>
      </c>
      <c r="M308" s="1" t="s">
        <v>65</v>
      </c>
      <c r="N308" s="1" t="s">
        <v>105</v>
      </c>
      <c r="O308" s="5" t="n">
        <v>46200.0125</v>
      </c>
      <c r="P308" s="5" t="n">
        <v>46224.6979166667</v>
      </c>
      <c r="Q308" s="1" t="n">
        <v>63.7482</v>
      </c>
      <c r="R308" s="1" t="n">
        <v>-119.849</v>
      </c>
      <c r="S308" s="1" t="s">
        <v>1299</v>
      </c>
      <c r="T308" s="1" t="n">
        <v>2026</v>
      </c>
      <c r="U308" s="1" t="n">
        <v>2026</v>
      </c>
      <c r="V308" s="5" t="n">
        <v>46219.8229166667</v>
      </c>
      <c r="W308" s="6" t="n">
        <v>46387.9999999884</v>
      </c>
    </row>
    <row r="309" customFormat="false" ht="12.75" hidden="false" customHeight="false" outlineLevel="0" collapsed="false">
      <c r="A309" s="1" t="s">
        <v>1300</v>
      </c>
      <c r="B309" s="1" t="n">
        <v>18017201</v>
      </c>
      <c r="C309" s="1" t="s">
        <v>1095</v>
      </c>
      <c r="D309" s="1" t="s">
        <v>1131</v>
      </c>
      <c r="E309" s="1" t="s">
        <v>1301</v>
      </c>
      <c r="F309" s="1" t="s">
        <v>1302</v>
      </c>
      <c r="G309" s="2" t="s">
        <v>28</v>
      </c>
      <c r="H309" s="1" t="n">
        <v>-1</v>
      </c>
      <c r="I309" s="1" t="n">
        <v>-1</v>
      </c>
      <c r="J309" s="1" t="n">
        <v>-1</v>
      </c>
      <c r="K309" s="1" t="n">
        <v>-1</v>
      </c>
      <c r="L309" s="2" t="n">
        <v>100007</v>
      </c>
      <c r="M309" s="1" t="s">
        <v>65</v>
      </c>
      <c r="N309" s="1" t="s">
        <v>105</v>
      </c>
      <c r="O309" s="5" t="n">
        <v>46199.9916666667</v>
      </c>
      <c r="P309" s="5" t="n">
        <v>46224.6979166667</v>
      </c>
      <c r="Q309" s="1" t="n">
        <v>64.7673</v>
      </c>
      <c r="R309" s="1" t="n">
        <v>-115.5406</v>
      </c>
      <c r="S309" s="1" t="s">
        <v>1303</v>
      </c>
      <c r="T309" s="1" t="n">
        <v>2026</v>
      </c>
      <c r="U309" s="1" t="n">
        <v>2026</v>
      </c>
      <c r="V309" s="5" t="n">
        <v>46219.8229166667</v>
      </c>
      <c r="W309" s="6" t="n">
        <v>46387.9999999884</v>
      </c>
    </row>
    <row r="310" customFormat="false" ht="12.75" hidden="false" customHeight="false" outlineLevel="0" collapsed="false">
      <c r="A310" s="1" t="s">
        <v>1304</v>
      </c>
      <c r="B310" s="1" t="n">
        <v>18017238</v>
      </c>
      <c r="C310" s="1" t="s">
        <v>1095</v>
      </c>
      <c r="D310" s="1" t="s">
        <v>1131</v>
      </c>
      <c r="E310" s="1" t="s">
        <v>1305</v>
      </c>
      <c r="F310" s="1" t="s">
        <v>1306</v>
      </c>
      <c r="G310" s="2" t="s">
        <v>28</v>
      </c>
      <c r="H310" s="1" t="n">
        <v>-1</v>
      </c>
      <c r="I310" s="1" t="n">
        <v>-1</v>
      </c>
      <c r="J310" s="1" t="n">
        <v>-1</v>
      </c>
      <c r="K310" s="1" t="n">
        <v>-1</v>
      </c>
      <c r="L310" s="2" t="n">
        <v>66</v>
      </c>
      <c r="M310" s="1" t="s">
        <v>65</v>
      </c>
      <c r="N310" s="1" t="s">
        <v>105</v>
      </c>
      <c r="O310" s="5" t="n">
        <v>46219.7763888889</v>
      </c>
      <c r="P310" s="5" t="n">
        <v>46224.6979166667</v>
      </c>
      <c r="Q310" s="1" t="n">
        <v>63.8502</v>
      </c>
      <c r="R310" s="1" t="n">
        <v>-118.323</v>
      </c>
      <c r="S310" s="1" t="s">
        <v>1307</v>
      </c>
      <c r="T310" s="1" t="n">
        <v>2026</v>
      </c>
      <c r="U310" s="1" t="n">
        <v>2026</v>
      </c>
      <c r="V310" s="5" t="n">
        <v>46219.8229166667</v>
      </c>
      <c r="W310" s="6" t="n">
        <v>46387.9999999884</v>
      </c>
    </row>
    <row r="311" customFormat="false" ht="12.75" hidden="false" customHeight="false" outlineLevel="0" collapsed="false">
      <c r="A311" s="1" t="s">
        <v>1308</v>
      </c>
      <c r="B311" s="1" t="n">
        <v>18017219</v>
      </c>
      <c r="C311" s="1" t="s">
        <v>1095</v>
      </c>
      <c r="D311" s="1" t="s">
        <v>1131</v>
      </c>
      <c r="E311" s="1" t="s">
        <v>1309</v>
      </c>
      <c r="F311" s="1" t="s">
        <v>1310</v>
      </c>
      <c r="G311" s="2" t="s">
        <v>28</v>
      </c>
      <c r="H311" s="1" t="n">
        <v>-1</v>
      </c>
      <c r="I311" s="1" t="n">
        <v>-1</v>
      </c>
      <c r="J311" s="1" t="n">
        <v>-1</v>
      </c>
      <c r="K311" s="1" t="n">
        <v>-1</v>
      </c>
      <c r="L311" s="2" t="n">
        <v>128</v>
      </c>
      <c r="M311" s="1" t="s">
        <v>29</v>
      </c>
      <c r="N311" s="1" t="s">
        <v>105</v>
      </c>
      <c r="O311" s="5" t="n">
        <v>46216.83125</v>
      </c>
      <c r="P311" s="5" t="n">
        <v>46224.6979166667</v>
      </c>
      <c r="Q311" s="1" t="n">
        <v>63.2131</v>
      </c>
      <c r="R311" s="1" t="n">
        <v>-113.1638</v>
      </c>
      <c r="S311" s="1" t="s">
        <v>1311</v>
      </c>
      <c r="T311" s="1" t="n">
        <v>2026</v>
      </c>
      <c r="U311" s="1" t="n">
        <v>2026</v>
      </c>
      <c r="V311" s="5" t="n">
        <v>46219.8229166667</v>
      </c>
      <c r="W311" s="6" t="n">
        <v>46387.9999999884</v>
      </c>
    </row>
    <row r="312" customFormat="false" ht="12.75" hidden="false" customHeight="false" outlineLevel="0" collapsed="false">
      <c r="A312" s="1" t="s">
        <v>1312</v>
      </c>
      <c r="B312" s="1" t="n">
        <v>18013629</v>
      </c>
      <c r="C312" s="1" t="s">
        <v>1095</v>
      </c>
      <c r="D312" s="1" t="s">
        <v>1131</v>
      </c>
      <c r="E312" s="1" t="s">
        <v>1313</v>
      </c>
      <c r="F312" s="1" t="s">
        <v>1314</v>
      </c>
      <c r="G312" s="2" t="s">
        <v>28</v>
      </c>
      <c r="H312" s="1" t="n">
        <v>-1</v>
      </c>
      <c r="I312" s="1" t="n">
        <v>-1</v>
      </c>
      <c r="J312" s="1" t="n">
        <v>-1</v>
      </c>
      <c r="K312" s="1" t="n">
        <v>-1</v>
      </c>
      <c r="L312" s="2" t="n">
        <v>36</v>
      </c>
      <c r="M312" s="1" t="s">
        <v>65</v>
      </c>
      <c r="N312" s="1" t="s">
        <v>105</v>
      </c>
      <c r="O312" s="5" t="n">
        <v>46219.7576388889</v>
      </c>
      <c r="P312" s="5" t="n">
        <v>46224.6979166667</v>
      </c>
      <c r="Q312" s="1" t="n">
        <v>63.1958</v>
      </c>
      <c r="R312" s="1" t="n">
        <v>-110.0058</v>
      </c>
      <c r="S312" s="1" t="s">
        <v>1315</v>
      </c>
      <c r="T312" s="1" t="n">
        <v>2026</v>
      </c>
      <c r="U312" s="1" t="n">
        <v>2026</v>
      </c>
      <c r="V312" s="5" t="n">
        <v>46219.78125</v>
      </c>
      <c r="W312" s="6" t="n">
        <v>46387.9999999884</v>
      </c>
    </row>
    <row r="313" customFormat="false" ht="12.75" hidden="false" customHeight="false" outlineLevel="0" collapsed="false">
      <c r="A313" s="1" t="s">
        <v>1316</v>
      </c>
      <c r="B313" s="1" t="n">
        <v>18013626</v>
      </c>
      <c r="C313" s="1" t="s">
        <v>1095</v>
      </c>
      <c r="D313" s="1" t="s">
        <v>1131</v>
      </c>
      <c r="E313" s="1" t="s">
        <v>1317</v>
      </c>
      <c r="F313" s="1" t="s">
        <v>1318</v>
      </c>
      <c r="G313" s="2" t="s">
        <v>28</v>
      </c>
      <c r="H313" s="1" t="n">
        <v>-1</v>
      </c>
      <c r="I313" s="1" t="n">
        <v>-1</v>
      </c>
      <c r="J313" s="1" t="n">
        <v>-1</v>
      </c>
      <c r="K313" s="1" t="n">
        <v>-1</v>
      </c>
      <c r="L313" s="2" t="n">
        <v>1700</v>
      </c>
      <c r="M313" s="1" t="s">
        <v>65</v>
      </c>
      <c r="N313" s="1" t="s">
        <v>105</v>
      </c>
      <c r="O313" s="5" t="n">
        <v>46218.7041666667</v>
      </c>
      <c r="P313" s="5" t="n">
        <v>46224.6979166667</v>
      </c>
      <c r="Q313" s="1" t="n">
        <v>63.5882</v>
      </c>
      <c r="R313" s="1" t="n">
        <v>-119.1195</v>
      </c>
      <c r="S313" s="1" t="s">
        <v>1319</v>
      </c>
      <c r="T313" s="1" t="n">
        <v>2026</v>
      </c>
      <c r="U313" s="1" t="n">
        <v>2026</v>
      </c>
      <c r="V313" s="5" t="n">
        <v>46219.78125</v>
      </c>
      <c r="W313" s="6" t="n">
        <v>46387.9999999884</v>
      </c>
    </row>
    <row r="314" customFormat="false" ht="12.75" hidden="false" customHeight="false" outlineLevel="0" collapsed="false">
      <c r="A314" s="1" t="s">
        <v>1320</v>
      </c>
      <c r="B314" s="1" t="n">
        <v>18013628</v>
      </c>
      <c r="C314" s="1" t="s">
        <v>1095</v>
      </c>
      <c r="D314" s="1" t="s">
        <v>1131</v>
      </c>
      <c r="E314" s="1" t="s">
        <v>1321</v>
      </c>
      <c r="F314" s="1" t="s">
        <v>1322</v>
      </c>
      <c r="G314" s="2" t="s">
        <v>28</v>
      </c>
      <c r="H314" s="1" t="n">
        <v>-1</v>
      </c>
      <c r="I314" s="1" t="n">
        <v>-1</v>
      </c>
      <c r="J314" s="1" t="n">
        <v>-1</v>
      </c>
      <c r="K314" s="1" t="n">
        <v>-1</v>
      </c>
      <c r="L314" s="2" t="n">
        <v>37</v>
      </c>
      <c r="M314" s="1" t="s">
        <v>65</v>
      </c>
      <c r="N314" s="1" t="s">
        <v>105</v>
      </c>
      <c r="O314" s="5" t="n">
        <v>46219.0493055556</v>
      </c>
      <c r="P314" s="5" t="n">
        <v>46224.6979166667</v>
      </c>
      <c r="Q314" s="1" t="n">
        <v>63.7955</v>
      </c>
      <c r="R314" s="1" t="n">
        <v>-110.0104</v>
      </c>
      <c r="S314" s="1" t="s">
        <v>1323</v>
      </c>
      <c r="T314" s="1" t="n">
        <v>2026</v>
      </c>
      <c r="U314" s="1" t="n">
        <v>2026</v>
      </c>
      <c r="V314" s="5" t="n">
        <v>46219.78125</v>
      </c>
      <c r="W314" s="6" t="n">
        <v>46387.9999999884</v>
      </c>
    </row>
    <row r="315" customFormat="false" ht="12.75" hidden="false" customHeight="false" outlineLevel="0" collapsed="false">
      <c r="A315" s="1" t="s">
        <v>1324</v>
      </c>
      <c r="B315" s="1" t="n">
        <v>18013532</v>
      </c>
      <c r="C315" s="1" t="s">
        <v>1095</v>
      </c>
      <c r="D315" s="1" t="s">
        <v>1118</v>
      </c>
      <c r="E315" s="1" t="s">
        <v>1325</v>
      </c>
      <c r="F315" s="1" t="s">
        <v>1326</v>
      </c>
      <c r="G315" s="2" t="s">
        <v>28</v>
      </c>
      <c r="H315" s="1" t="n">
        <v>-1</v>
      </c>
      <c r="I315" s="1" t="n">
        <v>-1</v>
      </c>
      <c r="J315" s="1" t="n">
        <v>-1</v>
      </c>
      <c r="K315" s="1" t="n">
        <v>-1</v>
      </c>
      <c r="L315" s="2" t="n">
        <v>750</v>
      </c>
      <c r="M315" s="1" t="s">
        <v>65</v>
      </c>
      <c r="N315" s="1" t="s">
        <v>105</v>
      </c>
      <c r="O315" s="5" t="n">
        <v>46201.5951388889</v>
      </c>
      <c r="P315" s="5" t="n">
        <v>46224.6979166667</v>
      </c>
      <c r="Q315" s="1" t="n">
        <v>64.2221</v>
      </c>
      <c r="R315" s="1" t="n">
        <v>-126.0287</v>
      </c>
      <c r="S315" s="1" t="s">
        <v>1327</v>
      </c>
      <c r="T315" s="1" t="n">
        <v>2026</v>
      </c>
      <c r="U315" s="1" t="n">
        <v>2026</v>
      </c>
      <c r="V315" s="5" t="n">
        <v>46219.78125</v>
      </c>
      <c r="W315" s="6" t="n">
        <v>46387.9999999884</v>
      </c>
    </row>
    <row r="316" customFormat="false" ht="12.75" hidden="false" customHeight="false" outlineLevel="0" collapsed="false">
      <c r="A316" s="1" t="s">
        <v>1328</v>
      </c>
      <c r="B316" s="1" t="n">
        <v>18013573</v>
      </c>
      <c r="C316" s="1" t="s">
        <v>1095</v>
      </c>
      <c r="D316" s="1" t="s">
        <v>1118</v>
      </c>
      <c r="E316" s="1" t="s">
        <v>1329</v>
      </c>
      <c r="F316" s="1" t="s">
        <v>1330</v>
      </c>
      <c r="G316" s="2" t="s">
        <v>28</v>
      </c>
      <c r="H316" s="1" t="n">
        <v>-1</v>
      </c>
      <c r="I316" s="1" t="n">
        <v>-1</v>
      </c>
      <c r="J316" s="1" t="n">
        <v>-1</v>
      </c>
      <c r="K316" s="1" t="n">
        <v>-1</v>
      </c>
      <c r="L316" s="2" t="n">
        <v>449.83</v>
      </c>
      <c r="M316" s="1" t="s">
        <v>65</v>
      </c>
      <c r="N316" s="1" t="s">
        <v>105</v>
      </c>
      <c r="O316" s="5" t="n">
        <v>46217.625</v>
      </c>
      <c r="P316" s="5" t="n">
        <v>46224.6979166667</v>
      </c>
      <c r="Q316" s="1" t="n">
        <v>64.3869</v>
      </c>
      <c r="R316" s="1" t="n">
        <v>-125.6164</v>
      </c>
      <c r="S316" s="1" t="s">
        <v>1331</v>
      </c>
      <c r="T316" s="1" t="n">
        <v>2026</v>
      </c>
      <c r="U316" s="1" t="n">
        <v>2026</v>
      </c>
      <c r="V316" s="5" t="n">
        <v>46219.78125</v>
      </c>
      <c r="W316" s="6" t="n">
        <v>46387.9999999884</v>
      </c>
    </row>
    <row r="317" customFormat="false" ht="12.75" hidden="false" customHeight="false" outlineLevel="0" collapsed="false">
      <c r="A317" s="1" t="s">
        <v>1332</v>
      </c>
      <c r="B317" s="1" t="n">
        <v>18013627</v>
      </c>
      <c r="C317" s="1" t="s">
        <v>1095</v>
      </c>
      <c r="D317" s="1" t="s">
        <v>1131</v>
      </c>
      <c r="E317" s="1" t="s">
        <v>1333</v>
      </c>
      <c r="F317" s="1" t="s">
        <v>1334</v>
      </c>
      <c r="G317" s="2" t="s">
        <v>28</v>
      </c>
      <c r="H317" s="1" t="n">
        <v>-1</v>
      </c>
      <c r="I317" s="1" t="n">
        <v>-1</v>
      </c>
      <c r="J317" s="1" t="n">
        <v>-1</v>
      </c>
      <c r="K317" s="1" t="n">
        <v>-1</v>
      </c>
      <c r="L317" s="2" t="n">
        <v>1400</v>
      </c>
      <c r="M317" s="1" t="s">
        <v>65</v>
      </c>
      <c r="N317" s="1" t="s">
        <v>105</v>
      </c>
      <c r="O317" s="5" t="n">
        <v>46218.7090277778</v>
      </c>
      <c r="P317" s="5" t="n">
        <v>46224.6979166667</v>
      </c>
      <c r="Q317" s="1" t="n">
        <v>64.1188</v>
      </c>
      <c r="R317" s="1" t="n">
        <v>-118.0895</v>
      </c>
      <c r="S317" s="1" t="s">
        <v>1335</v>
      </c>
      <c r="T317" s="1" t="n">
        <v>2026</v>
      </c>
      <c r="U317" s="1" t="n">
        <v>2026</v>
      </c>
      <c r="V317" s="5" t="n">
        <v>46219.78125</v>
      </c>
      <c r="W317" s="6" t="n">
        <v>46387.9999999884</v>
      </c>
    </row>
    <row r="318" customFormat="false" ht="12.75" hidden="false" customHeight="false" outlineLevel="0" collapsed="false">
      <c r="A318" s="1" t="s">
        <v>1336</v>
      </c>
      <c r="B318" s="1" t="n">
        <v>18007904</v>
      </c>
      <c r="C318" s="1" t="s">
        <v>1095</v>
      </c>
      <c r="D318" s="1" t="s">
        <v>1118</v>
      </c>
      <c r="E318" s="1" t="s">
        <v>1337</v>
      </c>
      <c r="F318" s="1" t="s">
        <v>1338</v>
      </c>
      <c r="G318" s="2" t="s">
        <v>28</v>
      </c>
      <c r="H318" s="1" t="n">
        <v>-1</v>
      </c>
      <c r="I318" s="1" t="n">
        <v>-1</v>
      </c>
      <c r="J318" s="1" t="n">
        <v>-1</v>
      </c>
      <c r="K318" s="1" t="n">
        <v>-1</v>
      </c>
      <c r="L318" s="2" t="n">
        <v>37000</v>
      </c>
      <c r="M318" s="1" t="s">
        <v>65</v>
      </c>
      <c r="N318" s="1" t="s">
        <v>105</v>
      </c>
      <c r="O318" s="5" t="n">
        <v>46203.7298611111</v>
      </c>
      <c r="P318" s="5" t="n">
        <v>46224.6979166667</v>
      </c>
      <c r="Q318" s="1" t="n">
        <v>65.4961</v>
      </c>
      <c r="R318" s="1" t="n">
        <v>-119.3748</v>
      </c>
      <c r="S318" s="1" t="s">
        <v>1339</v>
      </c>
      <c r="T318" s="1" t="n">
        <v>2026</v>
      </c>
      <c r="U318" s="1" t="n">
        <v>2026</v>
      </c>
      <c r="V318" s="5" t="n">
        <v>46219.7395833333</v>
      </c>
      <c r="W318" s="6" t="n">
        <v>46387.9999999884</v>
      </c>
    </row>
    <row r="319" customFormat="false" ht="12.75" hidden="false" customHeight="false" outlineLevel="0" collapsed="false">
      <c r="A319" s="1" t="s">
        <v>1340</v>
      </c>
      <c r="B319" s="1" t="n">
        <v>18008010</v>
      </c>
      <c r="C319" s="1" t="s">
        <v>1095</v>
      </c>
      <c r="D319" s="1" t="s">
        <v>1131</v>
      </c>
      <c r="E319" s="1" t="s">
        <v>1341</v>
      </c>
      <c r="F319" s="1" t="s">
        <v>1342</v>
      </c>
      <c r="G319" s="2" t="s">
        <v>28</v>
      </c>
      <c r="H319" s="1" t="n">
        <v>-1</v>
      </c>
      <c r="I319" s="1" t="n">
        <v>-1</v>
      </c>
      <c r="J319" s="1" t="n">
        <v>-1</v>
      </c>
      <c r="K319" s="1" t="n">
        <v>-1</v>
      </c>
      <c r="L319" s="2" t="n">
        <v>10</v>
      </c>
      <c r="M319" s="1" t="s">
        <v>65</v>
      </c>
      <c r="N319" s="1" t="s">
        <v>105</v>
      </c>
      <c r="O319" s="5" t="n">
        <v>46216.9618055556</v>
      </c>
      <c r="P319" s="5" t="n">
        <v>46224.6979166667</v>
      </c>
      <c r="Q319" s="1" t="n">
        <v>63.493</v>
      </c>
      <c r="R319" s="1" t="n">
        <v>-111.5246</v>
      </c>
      <c r="S319" s="1" t="s">
        <v>1343</v>
      </c>
      <c r="T319" s="1" t="n">
        <v>2026</v>
      </c>
      <c r="U319" s="1" t="n">
        <v>2026</v>
      </c>
      <c r="V319" s="5" t="n">
        <v>46219.7395833333</v>
      </c>
      <c r="W319" s="6" t="n">
        <v>46387.9999999884</v>
      </c>
    </row>
    <row r="320" customFormat="false" ht="12.75" hidden="false" customHeight="false" outlineLevel="0" collapsed="false">
      <c r="A320" s="1" t="s">
        <v>1344</v>
      </c>
      <c r="B320" s="1" t="n">
        <v>18008011</v>
      </c>
      <c r="C320" s="1" t="s">
        <v>1095</v>
      </c>
      <c r="D320" s="1" t="s">
        <v>1131</v>
      </c>
      <c r="E320" s="1" t="s">
        <v>1345</v>
      </c>
      <c r="F320" s="1" t="s">
        <v>1346</v>
      </c>
      <c r="G320" s="2" t="s">
        <v>28</v>
      </c>
      <c r="H320" s="1" t="n">
        <v>-1</v>
      </c>
      <c r="I320" s="1" t="n">
        <v>-1</v>
      </c>
      <c r="J320" s="1" t="n">
        <v>-1</v>
      </c>
      <c r="K320" s="1" t="n">
        <v>-1</v>
      </c>
      <c r="L320" s="2" t="n">
        <v>340</v>
      </c>
      <c r="M320" s="1" t="s">
        <v>65</v>
      </c>
      <c r="N320" s="1" t="s">
        <v>105</v>
      </c>
      <c r="O320" s="5" t="n">
        <v>46217.8770833333</v>
      </c>
      <c r="P320" s="5" t="n">
        <v>46224.6979166667</v>
      </c>
      <c r="Q320" s="1" t="n">
        <v>62.6746</v>
      </c>
      <c r="R320" s="1" t="n">
        <v>-105.9735</v>
      </c>
      <c r="S320" s="1" t="s">
        <v>1347</v>
      </c>
      <c r="T320" s="1" t="n">
        <v>2026</v>
      </c>
      <c r="U320" s="1" t="n">
        <v>2026</v>
      </c>
      <c r="V320" s="5" t="n">
        <v>46219.7395833333</v>
      </c>
      <c r="W320" s="6" t="n">
        <v>46387.9999999884</v>
      </c>
    </row>
    <row r="321" customFormat="false" ht="12.75" hidden="false" customHeight="false" outlineLevel="0" collapsed="false">
      <c r="A321" s="1" t="s">
        <v>1348</v>
      </c>
      <c r="B321" s="1" t="n">
        <v>18008012</v>
      </c>
      <c r="C321" s="1" t="s">
        <v>1095</v>
      </c>
      <c r="D321" s="1" t="s">
        <v>1131</v>
      </c>
      <c r="E321" s="1" t="s">
        <v>1349</v>
      </c>
      <c r="F321" s="1" t="s">
        <v>1350</v>
      </c>
      <c r="G321" s="2" t="s">
        <v>28</v>
      </c>
      <c r="H321" s="1" t="n">
        <v>-1</v>
      </c>
      <c r="I321" s="1" t="n">
        <v>-1</v>
      </c>
      <c r="J321" s="1" t="n">
        <v>-1</v>
      </c>
      <c r="K321" s="1" t="n">
        <v>-1</v>
      </c>
      <c r="L321" s="2" t="n">
        <v>320</v>
      </c>
      <c r="M321" s="1" t="s">
        <v>65</v>
      </c>
      <c r="N321" s="1" t="s">
        <v>105</v>
      </c>
      <c r="O321" s="5" t="n">
        <v>46218.7027777778</v>
      </c>
      <c r="P321" s="5" t="n">
        <v>46224.6979166667</v>
      </c>
      <c r="Q321" s="1" t="n">
        <v>63.5928</v>
      </c>
      <c r="R321" s="1" t="n">
        <v>-119.2525</v>
      </c>
      <c r="S321" s="1" t="s">
        <v>1351</v>
      </c>
      <c r="T321" s="1" t="n">
        <v>2026</v>
      </c>
      <c r="U321" s="1" t="n">
        <v>2026</v>
      </c>
      <c r="V321" s="5" t="n">
        <v>46219.7395833333</v>
      </c>
      <c r="W321" s="6" t="n">
        <v>46387.9999999884</v>
      </c>
    </row>
    <row r="322" customFormat="false" ht="12.75" hidden="false" customHeight="false" outlineLevel="0" collapsed="false">
      <c r="A322" s="1" t="s">
        <v>1352</v>
      </c>
      <c r="B322" s="1" t="n">
        <v>18006299</v>
      </c>
      <c r="C322" s="1" t="s">
        <v>1095</v>
      </c>
      <c r="D322" s="1" t="s">
        <v>1131</v>
      </c>
      <c r="E322" s="1" t="s">
        <v>1353</v>
      </c>
      <c r="F322" s="1" t="s">
        <v>1354</v>
      </c>
      <c r="G322" s="2" t="s">
        <v>28</v>
      </c>
      <c r="H322" s="1" t="n">
        <v>-1</v>
      </c>
      <c r="I322" s="1" t="n">
        <v>-1</v>
      </c>
      <c r="J322" s="1" t="n">
        <v>-1</v>
      </c>
      <c r="K322" s="1" t="n">
        <v>-1</v>
      </c>
      <c r="L322" s="2" t="n">
        <v>31100</v>
      </c>
      <c r="M322" s="1" t="s">
        <v>65</v>
      </c>
      <c r="N322" s="1" t="s">
        <v>105</v>
      </c>
      <c r="O322" s="5" t="n">
        <v>46199.9083333333</v>
      </c>
      <c r="P322" s="5" t="n">
        <v>46224.6979166667</v>
      </c>
      <c r="Q322" s="1" t="n">
        <v>65.5455</v>
      </c>
      <c r="R322" s="1" t="n">
        <v>-117.1373</v>
      </c>
      <c r="S322" s="1" t="s">
        <v>1355</v>
      </c>
      <c r="T322" s="1" t="n">
        <v>2026</v>
      </c>
      <c r="U322" s="1" t="n">
        <v>2026</v>
      </c>
      <c r="V322" s="5" t="n">
        <v>46219.6979166667</v>
      </c>
      <c r="W322" s="6" t="n">
        <v>46387.9999999884</v>
      </c>
    </row>
    <row r="323" customFormat="false" ht="12.75" hidden="false" customHeight="false" outlineLevel="0" collapsed="false">
      <c r="A323" s="1" t="s">
        <v>1356</v>
      </c>
      <c r="B323" s="1" t="n">
        <v>18006308</v>
      </c>
      <c r="C323" s="1" t="s">
        <v>1095</v>
      </c>
      <c r="D323" s="1" t="s">
        <v>1131</v>
      </c>
      <c r="E323" s="1" t="s">
        <v>1357</v>
      </c>
      <c r="F323" s="1" t="s">
        <v>1358</v>
      </c>
      <c r="G323" s="2" t="s">
        <v>28</v>
      </c>
      <c r="H323" s="1" t="n">
        <v>-1</v>
      </c>
      <c r="I323" s="1" t="n">
        <v>-1</v>
      </c>
      <c r="J323" s="1" t="n">
        <v>-1</v>
      </c>
      <c r="K323" s="1" t="n">
        <v>-1</v>
      </c>
      <c r="L323" s="2" t="n">
        <v>4791</v>
      </c>
      <c r="M323" s="1" t="s">
        <v>65</v>
      </c>
      <c r="N323" s="1" t="s">
        <v>105</v>
      </c>
      <c r="O323" s="5" t="n">
        <v>46200.8159722222</v>
      </c>
      <c r="P323" s="5" t="n">
        <v>46224.6979166667</v>
      </c>
      <c r="Q323" s="1" t="n">
        <v>64.1172</v>
      </c>
      <c r="R323" s="1" t="n">
        <v>-119.2295</v>
      </c>
      <c r="S323" s="1" t="s">
        <v>1359</v>
      </c>
      <c r="T323" s="1" t="n">
        <v>2026</v>
      </c>
      <c r="U323" s="1" t="n">
        <v>2026</v>
      </c>
      <c r="V323" s="5" t="n">
        <v>46219.6979166667</v>
      </c>
      <c r="W323" s="6" t="n">
        <v>46387.9999999884</v>
      </c>
    </row>
    <row r="324" customFormat="false" ht="12.75" hidden="false" customHeight="false" outlineLevel="0" collapsed="false">
      <c r="A324" s="1" t="s">
        <v>1360</v>
      </c>
      <c r="B324" s="1" t="n">
        <v>17958420</v>
      </c>
      <c r="C324" s="1" t="s">
        <v>1095</v>
      </c>
      <c r="D324" s="1" t="s">
        <v>1131</v>
      </c>
      <c r="E324" s="1" t="s">
        <v>1361</v>
      </c>
      <c r="F324" s="1" t="s">
        <v>1362</v>
      </c>
      <c r="G324" s="2" t="s">
        <v>28</v>
      </c>
      <c r="H324" s="1" t="n">
        <v>-1</v>
      </c>
      <c r="I324" s="1" t="n">
        <v>-1</v>
      </c>
      <c r="J324" s="1" t="n">
        <v>-1</v>
      </c>
      <c r="K324" s="1" t="n">
        <v>-1</v>
      </c>
      <c r="L324" s="2" t="n">
        <v>15</v>
      </c>
      <c r="M324" s="1" t="s">
        <v>29</v>
      </c>
      <c r="N324" s="1" t="s">
        <v>105</v>
      </c>
      <c r="O324" s="5" t="n">
        <v>46218.9722222222</v>
      </c>
      <c r="P324" s="5" t="n">
        <v>46224.6979166667</v>
      </c>
      <c r="Q324" s="1" t="n">
        <v>62.3358</v>
      </c>
      <c r="R324" s="1" t="n">
        <v>-112.538</v>
      </c>
      <c r="S324" s="1" t="s">
        <v>1363</v>
      </c>
      <c r="T324" s="1" t="n">
        <v>2026</v>
      </c>
      <c r="U324" s="1" t="n">
        <v>2026</v>
      </c>
      <c r="V324" s="5" t="n">
        <v>46219.15625</v>
      </c>
      <c r="W324" s="6" t="n">
        <v>46387.9999999884</v>
      </c>
    </row>
    <row r="325" customFormat="false" ht="12.75" hidden="false" customHeight="false" outlineLevel="0" collapsed="false">
      <c r="A325" s="1" t="s">
        <v>1364</v>
      </c>
      <c r="B325" s="1" t="n">
        <v>17944792</v>
      </c>
      <c r="C325" s="1" t="s">
        <v>1095</v>
      </c>
      <c r="D325" s="1" t="s">
        <v>1101</v>
      </c>
      <c r="E325" s="1" t="s">
        <v>1365</v>
      </c>
      <c r="F325" s="1" t="s">
        <v>1366</v>
      </c>
      <c r="G325" s="2" t="s">
        <v>28</v>
      </c>
      <c r="H325" s="1" t="n">
        <v>-1</v>
      </c>
      <c r="I325" s="1" t="n">
        <v>-1</v>
      </c>
      <c r="J325" s="1" t="n">
        <v>-1</v>
      </c>
      <c r="K325" s="1" t="n">
        <v>-1</v>
      </c>
      <c r="L325" s="2" t="n">
        <v>2478</v>
      </c>
      <c r="M325" s="1" t="s">
        <v>29</v>
      </c>
      <c r="N325" s="1" t="s">
        <v>37</v>
      </c>
      <c r="O325" s="5" t="n">
        <v>46200.9326388889</v>
      </c>
      <c r="P325" s="5" t="n">
        <v>46224.6979166667</v>
      </c>
      <c r="Q325" s="1" t="n">
        <v>60.7655</v>
      </c>
      <c r="R325" s="1" t="n">
        <v>-116.153</v>
      </c>
      <c r="S325" s="1" t="s">
        <v>1367</v>
      </c>
      <c r="T325" s="1" t="n">
        <v>2026</v>
      </c>
      <c r="U325" s="1" t="n">
        <v>2026</v>
      </c>
      <c r="V325" s="5" t="n">
        <v>46218.9895833333</v>
      </c>
      <c r="W325" s="6" t="n">
        <v>46387.9999999884</v>
      </c>
    </row>
    <row r="326" customFormat="false" ht="12.75" hidden="false" customHeight="false" outlineLevel="0" collapsed="false">
      <c r="A326" s="1" t="s">
        <v>1368</v>
      </c>
      <c r="B326" s="1" t="n">
        <v>17943855</v>
      </c>
      <c r="C326" s="1" t="s">
        <v>1095</v>
      </c>
      <c r="D326" s="1" t="s">
        <v>1096</v>
      </c>
      <c r="E326" s="1" t="s">
        <v>1369</v>
      </c>
      <c r="F326" s="1" t="s">
        <v>1370</v>
      </c>
      <c r="G326" s="2" t="s">
        <v>28</v>
      </c>
      <c r="H326" s="1" t="n">
        <v>-1</v>
      </c>
      <c r="I326" s="1" t="n">
        <v>-1</v>
      </c>
      <c r="J326" s="1" t="n">
        <v>-1</v>
      </c>
      <c r="K326" s="1" t="n">
        <v>-1</v>
      </c>
      <c r="L326" s="2" t="n">
        <v>1280</v>
      </c>
      <c r="M326" s="1" t="s">
        <v>65</v>
      </c>
      <c r="N326" s="1" t="s">
        <v>105</v>
      </c>
      <c r="O326" s="5" t="n">
        <v>46218.8333333333</v>
      </c>
      <c r="P326" s="5" t="n">
        <v>46224.6979166667</v>
      </c>
      <c r="Q326" s="1" t="n">
        <v>62.4862</v>
      </c>
      <c r="R326" s="1" t="n">
        <v>-121.7863</v>
      </c>
      <c r="S326" s="1" t="s">
        <v>1371</v>
      </c>
      <c r="T326" s="1" t="n">
        <v>2026</v>
      </c>
      <c r="U326" s="1" t="n">
        <v>2026</v>
      </c>
      <c r="V326" s="5" t="n">
        <v>46218.9479166667</v>
      </c>
      <c r="W326" s="6" t="n">
        <v>46387.9999999884</v>
      </c>
    </row>
    <row r="327" customFormat="false" ht="12.75" hidden="false" customHeight="false" outlineLevel="0" collapsed="false">
      <c r="A327" s="1" t="s">
        <v>1372</v>
      </c>
      <c r="B327" s="1" t="n">
        <v>17940536</v>
      </c>
      <c r="C327" s="1" t="s">
        <v>1095</v>
      </c>
      <c r="D327" s="1" t="s">
        <v>1118</v>
      </c>
      <c r="E327" s="1" t="s">
        <v>1373</v>
      </c>
      <c r="F327" s="1" t="s">
        <v>1374</v>
      </c>
      <c r="G327" s="2" t="s">
        <v>28</v>
      </c>
      <c r="H327" s="1" t="n">
        <v>-1</v>
      </c>
      <c r="I327" s="1" t="n">
        <v>-1</v>
      </c>
      <c r="J327" s="1" t="n">
        <v>-1</v>
      </c>
      <c r="K327" s="1" t="n">
        <v>-1</v>
      </c>
      <c r="L327" s="2" t="n">
        <v>450</v>
      </c>
      <c r="M327" s="1" t="s">
        <v>65</v>
      </c>
      <c r="N327" s="1" t="s">
        <v>105</v>
      </c>
      <c r="O327" s="5" t="n">
        <v>46217.8958333333</v>
      </c>
      <c r="P327" s="5" t="n">
        <v>46224.6979166667</v>
      </c>
      <c r="Q327" s="1" t="n">
        <v>65.1804</v>
      </c>
      <c r="R327" s="1" t="n">
        <v>-125.6276</v>
      </c>
      <c r="S327" s="1" t="s">
        <v>1375</v>
      </c>
      <c r="T327" s="1" t="n">
        <v>2026</v>
      </c>
      <c r="U327" s="1" t="n">
        <v>2026</v>
      </c>
      <c r="V327" s="5" t="n">
        <v>46218.90625</v>
      </c>
      <c r="W327" s="6" t="n">
        <v>46387.9999999884</v>
      </c>
    </row>
    <row r="328" customFormat="false" ht="12.75" hidden="false" customHeight="false" outlineLevel="0" collapsed="false">
      <c r="A328" s="1" t="s">
        <v>1376</v>
      </c>
      <c r="B328" s="1" t="n">
        <v>17936040</v>
      </c>
      <c r="C328" s="1" t="s">
        <v>1095</v>
      </c>
      <c r="D328" s="1" t="s">
        <v>1096</v>
      </c>
      <c r="E328" s="1" t="s">
        <v>1377</v>
      </c>
      <c r="F328" s="1" t="s">
        <v>1378</v>
      </c>
      <c r="G328" s="2" t="s">
        <v>28</v>
      </c>
      <c r="H328" s="1" t="n">
        <v>-1</v>
      </c>
      <c r="I328" s="1" t="n">
        <v>-1</v>
      </c>
      <c r="J328" s="1" t="n">
        <v>-1</v>
      </c>
      <c r="K328" s="1" t="n">
        <v>-1</v>
      </c>
      <c r="L328" s="2" t="n">
        <v>450</v>
      </c>
      <c r="M328" s="1" t="s">
        <v>65</v>
      </c>
      <c r="N328" s="1" t="s">
        <v>105</v>
      </c>
      <c r="O328" s="5" t="n">
        <v>46218.8145833333</v>
      </c>
      <c r="P328" s="5" t="n">
        <v>46224.6979166667</v>
      </c>
      <c r="Q328" s="1" t="n">
        <v>63.717</v>
      </c>
      <c r="R328" s="1" t="n">
        <v>-123.6887</v>
      </c>
      <c r="S328" s="1" t="s">
        <v>1379</v>
      </c>
      <c r="T328" s="1" t="n">
        <v>2026</v>
      </c>
      <c r="U328" s="1" t="n">
        <v>2026</v>
      </c>
      <c r="V328" s="5" t="n">
        <v>46218.8645833333</v>
      </c>
      <c r="W328" s="6" t="n">
        <v>46387.9999999884</v>
      </c>
    </row>
    <row r="329" customFormat="false" ht="12.75" hidden="false" customHeight="false" outlineLevel="0" collapsed="false">
      <c r="A329" s="1" t="s">
        <v>1380</v>
      </c>
      <c r="B329" s="1" t="n">
        <v>17936195</v>
      </c>
      <c r="C329" s="1" t="s">
        <v>1095</v>
      </c>
      <c r="D329" s="1" t="s">
        <v>1131</v>
      </c>
      <c r="E329" s="1" t="s">
        <v>1381</v>
      </c>
      <c r="F329" s="1" t="s">
        <v>1382</v>
      </c>
      <c r="G329" s="2" t="s">
        <v>28</v>
      </c>
      <c r="H329" s="1" t="n">
        <v>-1</v>
      </c>
      <c r="I329" s="1" t="n">
        <v>-1</v>
      </c>
      <c r="J329" s="1" t="n">
        <v>-1</v>
      </c>
      <c r="K329" s="1" t="n">
        <v>-1</v>
      </c>
      <c r="L329" s="2" t="n">
        <v>25</v>
      </c>
      <c r="M329" s="1" t="s">
        <v>65</v>
      </c>
      <c r="N329" s="1" t="s">
        <v>105</v>
      </c>
      <c r="O329" s="5" t="n">
        <v>46218.8055555556</v>
      </c>
      <c r="P329" s="5" t="n">
        <v>46224.6979166667</v>
      </c>
      <c r="Q329" s="1" t="n">
        <v>65.8243</v>
      </c>
      <c r="R329" s="1" t="n">
        <v>-114.9133</v>
      </c>
      <c r="S329" s="1" t="s">
        <v>1383</v>
      </c>
      <c r="T329" s="1" t="n">
        <v>2026</v>
      </c>
      <c r="U329" s="1" t="n">
        <v>2026</v>
      </c>
      <c r="V329" s="5" t="n">
        <v>46218.8645833333</v>
      </c>
      <c r="W329" s="6" t="n">
        <v>46387.9999999884</v>
      </c>
    </row>
    <row r="330" customFormat="false" ht="12.75" hidden="false" customHeight="false" outlineLevel="0" collapsed="false">
      <c r="A330" s="1" t="s">
        <v>1384</v>
      </c>
      <c r="B330" s="1" t="n">
        <v>17932116</v>
      </c>
      <c r="C330" s="1" t="s">
        <v>1095</v>
      </c>
      <c r="D330" s="1" t="s">
        <v>1131</v>
      </c>
      <c r="E330" s="1" t="s">
        <v>1385</v>
      </c>
      <c r="F330" s="1" t="s">
        <v>1386</v>
      </c>
      <c r="G330" s="2" t="s">
        <v>28</v>
      </c>
      <c r="H330" s="1" t="n">
        <v>-1</v>
      </c>
      <c r="I330" s="1" t="n">
        <v>-1</v>
      </c>
      <c r="J330" s="1" t="n">
        <v>-1</v>
      </c>
      <c r="K330" s="1" t="n">
        <v>-1</v>
      </c>
      <c r="L330" s="2" t="n">
        <v>15</v>
      </c>
      <c r="M330" s="1" t="s">
        <v>65</v>
      </c>
      <c r="N330" s="1" t="s">
        <v>105</v>
      </c>
      <c r="O330" s="5" t="n">
        <v>46216.96875</v>
      </c>
      <c r="P330" s="5" t="n">
        <v>46224.6979166667</v>
      </c>
      <c r="Q330" s="1" t="n">
        <v>65.8042</v>
      </c>
      <c r="R330" s="1" t="n">
        <v>-113.9895</v>
      </c>
      <c r="S330" s="1" t="s">
        <v>1387</v>
      </c>
      <c r="T330" s="1" t="n">
        <v>2026</v>
      </c>
      <c r="U330" s="1" t="n">
        <v>2026</v>
      </c>
      <c r="V330" s="5" t="n">
        <v>46218.8229166667</v>
      </c>
      <c r="W330" s="6" t="n">
        <v>46387.9999999884</v>
      </c>
    </row>
    <row r="331" customFormat="false" ht="12.75" hidden="false" customHeight="false" outlineLevel="0" collapsed="false">
      <c r="A331" s="1" t="s">
        <v>1388</v>
      </c>
      <c r="B331" s="1" t="n">
        <v>17932117</v>
      </c>
      <c r="C331" s="1" t="s">
        <v>1095</v>
      </c>
      <c r="D331" s="1" t="s">
        <v>1131</v>
      </c>
      <c r="E331" s="1" t="s">
        <v>1389</v>
      </c>
      <c r="F331" s="1" t="s">
        <v>1390</v>
      </c>
      <c r="G331" s="2" t="s">
        <v>28</v>
      </c>
      <c r="H331" s="1" t="n">
        <v>-1</v>
      </c>
      <c r="I331" s="1" t="n">
        <v>-1</v>
      </c>
      <c r="J331" s="1" t="n">
        <v>-1</v>
      </c>
      <c r="K331" s="1" t="n">
        <v>-1</v>
      </c>
      <c r="L331" s="2" t="n">
        <v>215</v>
      </c>
      <c r="M331" s="1" t="s">
        <v>65</v>
      </c>
      <c r="N331" s="1" t="s">
        <v>105</v>
      </c>
      <c r="O331" s="5" t="n">
        <v>46216.9722222222</v>
      </c>
      <c r="P331" s="5" t="n">
        <v>46224.6979166667</v>
      </c>
      <c r="Q331" s="1" t="n">
        <v>65.8637</v>
      </c>
      <c r="R331" s="1" t="n">
        <v>-114.506</v>
      </c>
      <c r="S331" s="1" t="s">
        <v>1391</v>
      </c>
      <c r="T331" s="1" t="n">
        <v>2026</v>
      </c>
      <c r="U331" s="1" t="n">
        <v>2026</v>
      </c>
      <c r="V331" s="5" t="n">
        <v>46218.8229166667</v>
      </c>
      <c r="W331" s="6" t="n">
        <v>46387.9999999884</v>
      </c>
    </row>
    <row r="332" customFormat="false" ht="12.75" hidden="false" customHeight="false" outlineLevel="0" collapsed="false">
      <c r="A332" s="1" t="s">
        <v>1392</v>
      </c>
      <c r="B332" s="1" t="n">
        <v>17871400</v>
      </c>
      <c r="C332" s="1" t="s">
        <v>1095</v>
      </c>
      <c r="D332" s="1" t="s">
        <v>1118</v>
      </c>
      <c r="E332" s="1" t="s">
        <v>1393</v>
      </c>
      <c r="F332" s="1" t="s">
        <v>1394</v>
      </c>
      <c r="G332" s="2" t="s">
        <v>28</v>
      </c>
      <c r="H332" s="1" t="n">
        <v>-1</v>
      </c>
      <c r="I332" s="1" t="n">
        <v>-1</v>
      </c>
      <c r="J332" s="1" t="n">
        <v>-1</v>
      </c>
      <c r="K332" s="1" t="n">
        <v>-1</v>
      </c>
      <c r="L332" s="2" t="n">
        <v>2</v>
      </c>
      <c r="M332" s="1" t="s">
        <v>65</v>
      </c>
      <c r="N332" s="1" t="s">
        <v>105</v>
      </c>
      <c r="O332" s="5" t="n">
        <v>46218</v>
      </c>
      <c r="P332" s="5" t="n">
        <v>46224.6979166667</v>
      </c>
      <c r="Q332" s="1" t="n">
        <v>65.3762</v>
      </c>
      <c r="R332" s="1" t="n">
        <v>-123.7627</v>
      </c>
      <c r="S332" s="1" t="s">
        <v>1395</v>
      </c>
      <c r="T332" s="1" t="n">
        <v>2026</v>
      </c>
      <c r="U332" s="1" t="n">
        <v>2026</v>
      </c>
      <c r="V332" s="5" t="n">
        <v>46218.0729166667</v>
      </c>
      <c r="W332" s="6" t="n">
        <v>46387.9999999884</v>
      </c>
    </row>
    <row r="333" customFormat="false" ht="12.75" hidden="false" customHeight="false" outlineLevel="0" collapsed="false">
      <c r="A333" s="1" t="s">
        <v>1396</v>
      </c>
      <c r="B333" s="1" t="n">
        <v>17865790</v>
      </c>
      <c r="C333" s="1" t="s">
        <v>1095</v>
      </c>
      <c r="D333" s="1" t="s">
        <v>1118</v>
      </c>
      <c r="E333" s="1" t="s">
        <v>1397</v>
      </c>
      <c r="F333" s="1" t="s">
        <v>1398</v>
      </c>
      <c r="G333" s="2" t="s">
        <v>28</v>
      </c>
      <c r="H333" s="1" t="n">
        <v>-1</v>
      </c>
      <c r="I333" s="1" t="n">
        <v>-1</v>
      </c>
      <c r="J333" s="1" t="n">
        <v>-1</v>
      </c>
      <c r="K333" s="1" t="n">
        <v>-1</v>
      </c>
      <c r="L333" s="2" t="n">
        <v>5</v>
      </c>
      <c r="M333" s="1" t="s">
        <v>65</v>
      </c>
      <c r="N333" s="1" t="s">
        <v>105</v>
      </c>
      <c r="O333" s="5" t="n">
        <v>46217.8958333333</v>
      </c>
      <c r="P333" s="5" t="n">
        <v>46224.6979166667</v>
      </c>
      <c r="Q333" s="1" t="n">
        <v>64.6428</v>
      </c>
      <c r="R333" s="1" t="n">
        <v>-123.2289</v>
      </c>
      <c r="S333" s="1" t="s">
        <v>1399</v>
      </c>
      <c r="T333" s="1" t="n">
        <v>2026</v>
      </c>
      <c r="U333" s="1" t="n">
        <v>2026</v>
      </c>
      <c r="V333" s="5" t="n">
        <v>46218.03125</v>
      </c>
      <c r="W333" s="6" t="n">
        <v>46387.9999999884</v>
      </c>
    </row>
    <row r="334" customFormat="false" ht="12.75" hidden="false" customHeight="false" outlineLevel="0" collapsed="false">
      <c r="A334" s="1" t="s">
        <v>1400</v>
      </c>
      <c r="B334" s="1" t="n">
        <v>17865786</v>
      </c>
      <c r="C334" s="1" t="s">
        <v>1095</v>
      </c>
      <c r="D334" s="1" t="s">
        <v>1118</v>
      </c>
      <c r="E334" s="1" t="s">
        <v>1401</v>
      </c>
      <c r="F334" s="1" t="s">
        <v>1402</v>
      </c>
      <c r="G334" s="2" t="s">
        <v>28</v>
      </c>
      <c r="H334" s="1" t="n">
        <v>-1</v>
      </c>
      <c r="I334" s="1" t="n">
        <v>-1</v>
      </c>
      <c r="J334" s="1" t="n">
        <v>-1</v>
      </c>
      <c r="K334" s="1" t="n">
        <v>-1</v>
      </c>
      <c r="L334" s="2" t="n">
        <v>28.48</v>
      </c>
      <c r="M334" s="1" t="s">
        <v>29</v>
      </c>
      <c r="N334" s="1" t="s">
        <v>105</v>
      </c>
      <c r="O334" s="5" t="n">
        <v>46217.625</v>
      </c>
      <c r="P334" s="5" t="n">
        <v>46224.6979166667</v>
      </c>
      <c r="Q334" s="1" t="n">
        <v>64.8761</v>
      </c>
      <c r="R334" s="1" t="n">
        <v>-123.2599</v>
      </c>
      <c r="S334" s="1" t="s">
        <v>1403</v>
      </c>
      <c r="T334" s="1" t="n">
        <v>2026</v>
      </c>
      <c r="U334" s="1" t="n">
        <v>2026</v>
      </c>
      <c r="V334" s="5" t="n">
        <v>46218.03125</v>
      </c>
      <c r="W334" s="6" t="n">
        <v>46387.9999999884</v>
      </c>
    </row>
    <row r="335" customFormat="false" ht="12.75" hidden="false" customHeight="false" outlineLevel="0" collapsed="false">
      <c r="A335" s="1" t="s">
        <v>1404</v>
      </c>
      <c r="B335" s="1" t="n">
        <v>17865791</v>
      </c>
      <c r="C335" s="1" t="s">
        <v>1095</v>
      </c>
      <c r="D335" s="1" t="s">
        <v>1118</v>
      </c>
      <c r="E335" s="1" t="s">
        <v>1405</v>
      </c>
      <c r="F335" s="1" t="s">
        <v>1406</v>
      </c>
      <c r="G335" s="2" t="s">
        <v>28</v>
      </c>
      <c r="H335" s="1" t="n">
        <v>-1</v>
      </c>
      <c r="I335" s="1" t="n">
        <v>-1</v>
      </c>
      <c r="J335" s="1" t="n">
        <v>-1</v>
      </c>
      <c r="K335" s="1" t="n">
        <v>-1</v>
      </c>
      <c r="L335" s="2" t="n">
        <v>5</v>
      </c>
      <c r="M335" s="1" t="s">
        <v>29</v>
      </c>
      <c r="N335" s="1" t="s">
        <v>105</v>
      </c>
      <c r="O335" s="5" t="n">
        <v>46217.7604166667</v>
      </c>
      <c r="P335" s="5" t="n">
        <v>46224.6979166667</v>
      </c>
      <c r="Q335" s="1" t="n">
        <v>65.3674</v>
      </c>
      <c r="R335" s="1" t="n">
        <v>-123.3616</v>
      </c>
      <c r="S335" s="1" t="s">
        <v>1407</v>
      </c>
      <c r="T335" s="1" t="n">
        <v>2026</v>
      </c>
      <c r="U335" s="1" t="n">
        <v>2026</v>
      </c>
      <c r="V335" s="5" t="n">
        <v>46218.03125</v>
      </c>
      <c r="W335" s="6" t="n">
        <v>46387.9999999884</v>
      </c>
    </row>
    <row r="336" customFormat="false" ht="12.75" hidden="false" customHeight="false" outlineLevel="0" collapsed="false">
      <c r="A336" s="1" t="s">
        <v>1408</v>
      </c>
      <c r="B336" s="1" t="n">
        <v>17865788</v>
      </c>
      <c r="C336" s="1" t="s">
        <v>1095</v>
      </c>
      <c r="D336" s="1" t="s">
        <v>1118</v>
      </c>
      <c r="E336" s="1" t="s">
        <v>1409</v>
      </c>
      <c r="F336" s="1" t="s">
        <v>1410</v>
      </c>
      <c r="G336" s="2" t="s">
        <v>28</v>
      </c>
      <c r="H336" s="1" t="n">
        <v>-1</v>
      </c>
      <c r="I336" s="1" t="n">
        <v>-1</v>
      </c>
      <c r="J336" s="1" t="n">
        <v>-1</v>
      </c>
      <c r="K336" s="1" t="n">
        <v>-1</v>
      </c>
      <c r="L336" s="2" t="n">
        <v>10</v>
      </c>
      <c r="M336" s="1" t="s">
        <v>65</v>
      </c>
      <c r="N336" s="1" t="s">
        <v>105</v>
      </c>
      <c r="O336" s="5" t="n">
        <v>46217.8472222222</v>
      </c>
      <c r="P336" s="5" t="n">
        <v>46224.6979166667</v>
      </c>
      <c r="Q336" s="1" t="n">
        <v>64.8333</v>
      </c>
      <c r="R336" s="1" t="n">
        <v>-122.876</v>
      </c>
      <c r="S336" s="1" t="s">
        <v>1411</v>
      </c>
      <c r="T336" s="1" t="n">
        <v>2026</v>
      </c>
      <c r="U336" s="1" t="n">
        <v>2026</v>
      </c>
      <c r="V336" s="5" t="n">
        <v>46218.03125</v>
      </c>
      <c r="W336" s="6" t="n">
        <v>46387.9999999884</v>
      </c>
    </row>
    <row r="337" customFormat="false" ht="12.75" hidden="false" customHeight="false" outlineLevel="0" collapsed="false">
      <c r="A337" s="1" t="s">
        <v>1412</v>
      </c>
      <c r="B337" s="1" t="n">
        <v>17863459</v>
      </c>
      <c r="C337" s="1" t="s">
        <v>1095</v>
      </c>
      <c r="D337" s="1" t="s">
        <v>1118</v>
      </c>
      <c r="E337" s="1" t="s">
        <v>1413</v>
      </c>
      <c r="F337" s="1" t="s">
        <v>1414</v>
      </c>
      <c r="G337" s="2" t="s">
        <v>28</v>
      </c>
      <c r="H337" s="1" t="n">
        <v>-1</v>
      </c>
      <c r="I337" s="1" t="n">
        <v>-1</v>
      </c>
      <c r="J337" s="1" t="n">
        <v>-1</v>
      </c>
      <c r="K337" s="1" t="n">
        <v>-1</v>
      </c>
      <c r="L337" s="2" t="n">
        <v>125.85</v>
      </c>
      <c r="M337" s="1" t="s">
        <v>70</v>
      </c>
      <c r="N337" s="1" t="s">
        <v>105</v>
      </c>
      <c r="O337" s="5" t="n">
        <v>46217.625</v>
      </c>
      <c r="P337" s="5" t="n">
        <v>46224.6979166667</v>
      </c>
      <c r="Q337" s="1" t="n">
        <v>65.4556</v>
      </c>
      <c r="R337" s="1" t="n">
        <v>-123.4547</v>
      </c>
      <c r="S337" s="1" t="s">
        <v>1415</v>
      </c>
      <c r="T337" s="1" t="n">
        <v>2026</v>
      </c>
      <c r="U337" s="1" t="n">
        <v>2026</v>
      </c>
      <c r="V337" s="5" t="n">
        <v>46217.9895833333</v>
      </c>
      <c r="W337" s="6" t="n">
        <v>46387.9999999884</v>
      </c>
    </row>
    <row r="338" customFormat="false" ht="12.75" hidden="false" customHeight="false" outlineLevel="0" collapsed="false">
      <c r="A338" s="1" t="s">
        <v>1416</v>
      </c>
      <c r="B338" s="1" t="n">
        <v>17863499</v>
      </c>
      <c r="C338" s="1" t="s">
        <v>1095</v>
      </c>
      <c r="D338" s="1" t="s">
        <v>1131</v>
      </c>
      <c r="E338" s="1" t="s">
        <v>1417</v>
      </c>
      <c r="F338" s="1" t="s">
        <v>1418</v>
      </c>
      <c r="G338" s="2" t="s">
        <v>28</v>
      </c>
      <c r="H338" s="1" t="n">
        <v>-1</v>
      </c>
      <c r="I338" s="1" t="n">
        <v>-1</v>
      </c>
      <c r="J338" s="1" t="n">
        <v>-1</v>
      </c>
      <c r="K338" s="1" t="n">
        <v>-1</v>
      </c>
      <c r="L338" s="2" t="n">
        <v>4</v>
      </c>
      <c r="M338" s="1" t="s">
        <v>65</v>
      </c>
      <c r="N338" s="1" t="s">
        <v>105</v>
      </c>
      <c r="O338" s="5" t="n">
        <v>46216.8555555556</v>
      </c>
      <c r="P338" s="5" t="n">
        <v>46224.6979166667</v>
      </c>
      <c r="Q338" s="1" t="n">
        <v>63.9316</v>
      </c>
      <c r="R338" s="1" t="n">
        <v>-110.776</v>
      </c>
      <c r="S338" s="1" t="s">
        <v>1419</v>
      </c>
      <c r="T338" s="1" t="n">
        <v>2026</v>
      </c>
      <c r="U338" s="1" t="n">
        <v>2026</v>
      </c>
      <c r="V338" s="5" t="n">
        <v>46217.9895833333</v>
      </c>
      <c r="W338" s="6" t="n">
        <v>46387.9999999884</v>
      </c>
    </row>
    <row r="339" customFormat="false" ht="12.75" hidden="false" customHeight="false" outlineLevel="0" collapsed="false">
      <c r="A339" s="1" t="s">
        <v>1420</v>
      </c>
      <c r="B339" s="1" t="n">
        <v>17853749</v>
      </c>
      <c r="C339" s="1" t="s">
        <v>1095</v>
      </c>
      <c r="D339" s="1" t="s">
        <v>1101</v>
      </c>
      <c r="E339" s="1" t="s">
        <v>1421</v>
      </c>
      <c r="F339" s="1" t="s">
        <v>1422</v>
      </c>
      <c r="G339" s="2" t="s">
        <v>28</v>
      </c>
      <c r="H339" s="1" t="n">
        <v>-1</v>
      </c>
      <c r="I339" s="1" t="n">
        <v>-1</v>
      </c>
      <c r="J339" s="1" t="n">
        <v>-1</v>
      </c>
      <c r="K339" s="1" t="n">
        <v>-1</v>
      </c>
      <c r="L339" s="2" t="n">
        <v>100</v>
      </c>
      <c r="M339" s="1" t="s">
        <v>65</v>
      </c>
      <c r="N339" s="1" t="s">
        <v>105</v>
      </c>
      <c r="O339" s="5" t="n">
        <v>46203.8340277778</v>
      </c>
      <c r="P339" s="5" t="n">
        <v>46224.6979166667</v>
      </c>
      <c r="Q339" s="1" t="n">
        <v>60.1195</v>
      </c>
      <c r="R339" s="1" t="n">
        <v>-117.2717</v>
      </c>
      <c r="S339" s="1" t="s">
        <v>1423</v>
      </c>
      <c r="T339" s="1" t="n">
        <v>2026</v>
      </c>
      <c r="U339" s="1" t="n">
        <v>2026</v>
      </c>
      <c r="V339" s="5" t="n">
        <v>46217.8645833333</v>
      </c>
      <c r="W339" s="6" t="n">
        <v>46387.9999999884</v>
      </c>
    </row>
    <row r="340" customFormat="false" ht="12.75" hidden="false" customHeight="false" outlineLevel="0" collapsed="false">
      <c r="A340" s="1" t="s">
        <v>1424</v>
      </c>
      <c r="B340" s="1" t="n">
        <v>17711781</v>
      </c>
      <c r="C340" s="1" t="s">
        <v>1095</v>
      </c>
      <c r="D340" s="1" t="s">
        <v>1096</v>
      </c>
      <c r="E340" s="1" t="s">
        <v>1425</v>
      </c>
      <c r="F340" s="1" t="s">
        <v>1426</v>
      </c>
      <c r="G340" s="2" t="s">
        <v>28</v>
      </c>
      <c r="H340" s="1" t="n">
        <v>-1</v>
      </c>
      <c r="I340" s="1" t="n">
        <v>-1</v>
      </c>
      <c r="J340" s="1" t="n">
        <v>-1</v>
      </c>
      <c r="K340" s="1" t="n">
        <v>-1</v>
      </c>
      <c r="L340" s="2" t="n">
        <v>20</v>
      </c>
      <c r="M340" s="1" t="s">
        <v>65</v>
      </c>
      <c r="N340" s="1" t="s">
        <v>105</v>
      </c>
      <c r="O340" s="5" t="n">
        <v>46211.5534722222</v>
      </c>
      <c r="P340" s="5" t="n">
        <v>46224.6979166667</v>
      </c>
      <c r="Q340" s="1" t="n">
        <v>62.1342</v>
      </c>
      <c r="R340" s="1" t="n">
        <v>-121.0144</v>
      </c>
      <c r="S340" s="1" t="s">
        <v>1427</v>
      </c>
      <c r="T340" s="1" t="n">
        <v>2026</v>
      </c>
      <c r="U340" s="1" t="n">
        <v>2026</v>
      </c>
      <c r="V340" s="5" t="n">
        <v>46216.0729166667</v>
      </c>
      <c r="W340" s="6" t="n">
        <v>46387.9999999884</v>
      </c>
    </row>
    <row r="341" customFormat="false" ht="12.75" hidden="false" customHeight="false" outlineLevel="0" collapsed="false">
      <c r="A341" s="1" t="s">
        <v>1428</v>
      </c>
      <c r="B341" s="1" t="n">
        <v>17708708</v>
      </c>
      <c r="C341" s="1" t="s">
        <v>1095</v>
      </c>
      <c r="D341" s="1" t="s">
        <v>1096</v>
      </c>
      <c r="E341" s="1" t="s">
        <v>1429</v>
      </c>
      <c r="F341" s="1" t="s">
        <v>1430</v>
      </c>
      <c r="G341" s="2" t="s">
        <v>28</v>
      </c>
      <c r="H341" s="1" t="n">
        <v>-1</v>
      </c>
      <c r="I341" s="1" t="n">
        <v>-1</v>
      </c>
      <c r="J341" s="1" t="n">
        <v>-1</v>
      </c>
      <c r="K341" s="1" t="n">
        <v>-1</v>
      </c>
      <c r="L341" s="2" t="n">
        <v>20</v>
      </c>
      <c r="M341" s="1" t="s">
        <v>65</v>
      </c>
      <c r="N341" s="1" t="s">
        <v>105</v>
      </c>
      <c r="O341" s="5" t="n">
        <v>46215.8854166667</v>
      </c>
      <c r="P341" s="5" t="n">
        <v>46224.6979166667</v>
      </c>
      <c r="Q341" s="1" t="n">
        <v>62.7015</v>
      </c>
      <c r="R341" s="1" t="n">
        <v>-121.3073</v>
      </c>
      <c r="S341" s="1" t="s">
        <v>1431</v>
      </c>
      <c r="T341" s="1" t="n">
        <v>2026</v>
      </c>
      <c r="U341" s="1" t="n">
        <v>2026</v>
      </c>
      <c r="V341" s="5" t="n">
        <v>46216.03125</v>
      </c>
      <c r="W341" s="6" t="n">
        <v>46387.9999999884</v>
      </c>
    </row>
    <row r="342" customFormat="false" ht="12.75" hidden="false" customHeight="false" outlineLevel="0" collapsed="false">
      <c r="A342" s="1" t="s">
        <v>1432</v>
      </c>
      <c r="B342" s="1" t="n">
        <v>17703677</v>
      </c>
      <c r="C342" s="1" t="s">
        <v>1095</v>
      </c>
      <c r="D342" s="1" t="s">
        <v>1096</v>
      </c>
      <c r="E342" s="1" t="s">
        <v>1433</v>
      </c>
      <c r="F342" s="1" t="s">
        <v>1434</v>
      </c>
      <c r="G342" s="2" t="s">
        <v>28</v>
      </c>
      <c r="H342" s="1" t="n">
        <v>-1</v>
      </c>
      <c r="I342" s="1" t="n">
        <v>-1</v>
      </c>
      <c r="J342" s="1" t="n">
        <v>-1</v>
      </c>
      <c r="K342" s="1" t="n">
        <v>-1</v>
      </c>
      <c r="L342" s="2" t="n">
        <v>150</v>
      </c>
      <c r="M342" s="1" t="s">
        <v>65</v>
      </c>
      <c r="N342" s="1" t="s">
        <v>105</v>
      </c>
      <c r="O342" s="5" t="n">
        <v>46215.8527777778</v>
      </c>
      <c r="P342" s="5" t="n">
        <v>46224.6979166667</v>
      </c>
      <c r="Q342" s="1" t="n">
        <v>62.2153</v>
      </c>
      <c r="R342" s="1" t="n">
        <v>-120.8813</v>
      </c>
      <c r="S342" s="1" t="s">
        <v>1435</v>
      </c>
      <c r="T342" s="1" t="n">
        <v>2026</v>
      </c>
      <c r="U342" s="1" t="n">
        <v>2026</v>
      </c>
      <c r="V342" s="5" t="n">
        <v>46215.9895833333</v>
      </c>
      <c r="W342" s="6" t="n">
        <v>46387.9999999884</v>
      </c>
    </row>
    <row r="343" customFormat="false" ht="12.75" hidden="false" customHeight="false" outlineLevel="0" collapsed="false">
      <c r="A343" s="1" t="s">
        <v>1436</v>
      </c>
      <c r="B343" s="1" t="n">
        <v>17703678</v>
      </c>
      <c r="C343" s="1" t="s">
        <v>1095</v>
      </c>
      <c r="D343" s="1" t="s">
        <v>1096</v>
      </c>
      <c r="E343" s="1" t="s">
        <v>1437</v>
      </c>
      <c r="F343" s="1" t="s">
        <v>1438</v>
      </c>
      <c r="G343" s="2" t="s">
        <v>28</v>
      </c>
      <c r="H343" s="1" t="n">
        <v>-1</v>
      </c>
      <c r="I343" s="1" t="n">
        <v>-1</v>
      </c>
      <c r="J343" s="1" t="n">
        <v>-1</v>
      </c>
      <c r="K343" s="1" t="n">
        <v>-1</v>
      </c>
      <c r="L343" s="2" t="n">
        <v>20</v>
      </c>
      <c r="M343" s="1" t="s">
        <v>65</v>
      </c>
      <c r="N343" s="1" t="s">
        <v>105</v>
      </c>
      <c r="O343" s="5" t="n">
        <v>46211.5895833333</v>
      </c>
      <c r="P343" s="5" t="n">
        <v>46224.6979166667</v>
      </c>
      <c r="Q343" s="1" t="n">
        <v>62.6118</v>
      </c>
      <c r="R343" s="1" t="n">
        <v>-120.7018</v>
      </c>
      <c r="S343" s="1" t="s">
        <v>1439</v>
      </c>
      <c r="T343" s="1" t="n">
        <v>2026</v>
      </c>
      <c r="U343" s="1" t="n">
        <v>2026</v>
      </c>
      <c r="V343" s="5" t="n">
        <v>46215.9895833333</v>
      </c>
      <c r="W343" s="6" t="n">
        <v>46387.9999999884</v>
      </c>
    </row>
    <row r="344" customFormat="false" ht="12.75" hidden="false" customHeight="false" outlineLevel="0" collapsed="false">
      <c r="A344" s="1" t="s">
        <v>1440</v>
      </c>
      <c r="B344" s="1" t="n">
        <v>17691023</v>
      </c>
      <c r="C344" s="1" t="s">
        <v>1095</v>
      </c>
      <c r="D344" s="1" t="s">
        <v>1118</v>
      </c>
      <c r="E344" s="1" t="s">
        <v>1441</v>
      </c>
      <c r="F344" s="1" t="s">
        <v>1442</v>
      </c>
      <c r="G344" s="2" t="s">
        <v>28</v>
      </c>
      <c r="H344" s="1" t="n">
        <v>-1</v>
      </c>
      <c r="I344" s="1" t="n">
        <v>-1</v>
      </c>
      <c r="J344" s="1" t="n">
        <v>-1</v>
      </c>
      <c r="K344" s="1" t="n">
        <v>-1</v>
      </c>
      <c r="L344" s="2" t="n">
        <v>5</v>
      </c>
      <c r="M344" s="1" t="s">
        <v>29</v>
      </c>
      <c r="N344" s="1" t="s">
        <v>37</v>
      </c>
      <c r="O344" s="5" t="n">
        <v>46211.8215277778</v>
      </c>
      <c r="P344" s="5" t="n">
        <v>46224.6979166667</v>
      </c>
      <c r="Q344" s="1" t="n">
        <v>65.2519</v>
      </c>
      <c r="R344" s="1" t="n">
        <v>-123.9934</v>
      </c>
      <c r="S344" s="1" t="s">
        <v>1443</v>
      </c>
      <c r="T344" s="1" t="n">
        <v>2026</v>
      </c>
      <c r="U344" s="1" t="n">
        <v>2026</v>
      </c>
      <c r="V344" s="5" t="n">
        <v>46215.8229166667</v>
      </c>
      <c r="W344" s="6" t="n">
        <v>46387.9999999884</v>
      </c>
    </row>
    <row r="345" customFormat="false" ht="12.75" hidden="false" customHeight="false" outlineLevel="0" collapsed="false">
      <c r="A345" s="1" t="s">
        <v>1444</v>
      </c>
      <c r="B345" s="1" t="n">
        <v>17678884</v>
      </c>
      <c r="C345" s="1" t="s">
        <v>1095</v>
      </c>
      <c r="D345" s="1" t="s">
        <v>1101</v>
      </c>
      <c r="E345" s="1" t="s">
        <v>1445</v>
      </c>
      <c r="F345" s="1" t="s">
        <v>1446</v>
      </c>
      <c r="G345" s="2" t="s">
        <v>28</v>
      </c>
      <c r="H345" s="1" t="n">
        <v>-1</v>
      </c>
      <c r="I345" s="1" t="n">
        <v>-1</v>
      </c>
      <c r="J345" s="1" t="n">
        <v>-1</v>
      </c>
      <c r="K345" s="1" t="n">
        <v>-1</v>
      </c>
      <c r="L345" s="2" t="n">
        <v>225</v>
      </c>
      <c r="M345" s="1" t="s">
        <v>65</v>
      </c>
      <c r="N345" s="1" t="s">
        <v>105</v>
      </c>
      <c r="O345" s="5" t="n">
        <v>46214.7590277778</v>
      </c>
      <c r="P345" s="5" t="n">
        <v>46224.6979166667</v>
      </c>
      <c r="Q345" s="1" t="n">
        <v>61.0681</v>
      </c>
      <c r="R345" s="1" t="n">
        <v>-105.998</v>
      </c>
      <c r="S345" s="1" t="s">
        <v>1447</v>
      </c>
      <c r="T345" s="1" t="n">
        <v>2026</v>
      </c>
      <c r="U345" s="1" t="n">
        <v>2026</v>
      </c>
      <c r="V345" s="5" t="n">
        <v>46215.65625</v>
      </c>
      <c r="W345" s="6" t="n">
        <v>46387.9999999884</v>
      </c>
    </row>
    <row r="346" customFormat="false" ht="12.75" hidden="false" customHeight="false" outlineLevel="0" collapsed="false">
      <c r="A346" s="1" t="s">
        <v>1448</v>
      </c>
      <c r="B346" s="1" t="n">
        <v>17631762</v>
      </c>
      <c r="C346" s="1" t="s">
        <v>1095</v>
      </c>
      <c r="D346" s="1" t="s">
        <v>1140</v>
      </c>
      <c r="E346" s="1" t="s">
        <v>1449</v>
      </c>
      <c r="F346" s="1" t="s">
        <v>1450</v>
      </c>
      <c r="G346" s="2" t="s">
        <v>28</v>
      </c>
      <c r="H346" s="1" t="n">
        <v>-1</v>
      </c>
      <c r="I346" s="1" t="n">
        <v>-1</v>
      </c>
      <c r="J346" s="1" t="n">
        <v>-1</v>
      </c>
      <c r="K346" s="1" t="n">
        <v>-1</v>
      </c>
      <c r="L346" s="2" t="n">
        <v>0.5</v>
      </c>
      <c r="M346" s="1" t="s">
        <v>65</v>
      </c>
      <c r="N346" s="1" t="s">
        <v>105</v>
      </c>
      <c r="O346" s="5" t="n">
        <v>46214.9291666667</v>
      </c>
      <c r="P346" s="5" t="n">
        <v>46224.6979166667</v>
      </c>
      <c r="Q346" s="1" t="n">
        <v>67.4427</v>
      </c>
      <c r="R346" s="1" t="n">
        <v>-131.4097</v>
      </c>
      <c r="S346" s="1" t="s">
        <v>1451</v>
      </c>
      <c r="T346" s="1" t="n">
        <v>2026</v>
      </c>
      <c r="U346" s="1" t="n">
        <v>2026</v>
      </c>
      <c r="V346" s="5" t="n">
        <v>46215.03125</v>
      </c>
      <c r="W346" s="6" t="n">
        <v>46387.9999999884</v>
      </c>
    </row>
    <row r="347" customFormat="false" ht="12.75" hidden="false" customHeight="false" outlineLevel="0" collapsed="false">
      <c r="A347" s="1" t="s">
        <v>1452</v>
      </c>
      <c r="B347" s="1" t="n">
        <v>17626739</v>
      </c>
      <c r="C347" s="1" t="s">
        <v>1095</v>
      </c>
      <c r="D347" s="1" t="s">
        <v>1101</v>
      </c>
      <c r="E347" s="1" t="s">
        <v>1453</v>
      </c>
      <c r="F347" s="1" t="s">
        <v>1454</v>
      </c>
      <c r="G347" s="2" t="s">
        <v>28</v>
      </c>
      <c r="H347" s="1" t="n">
        <v>-1</v>
      </c>
      <c r="I347" s="1" t="n">
        <v>-1</v>
      </c>
      <c r="J347" s="1" t="n">
        <v>-1</v>
      </c>
      <c r="K347" s="1" t="n">
        <v>-1</v>
      </c>
      <c r="L347" s="2" t="n">
        <v>24</v>
      </c>
      <c r="M347" s="1" t="s">
        <v>65</v>
      </c>
      <c r="N347" s="1" t="s">
        <v>105</v>
      </c>
      <c r="O347" s="5" t="n">
        <v>46214.8993055556</v>
      </c>
      <c r="P347" s="5" t="n">
        <v>46224.6979166667</v>
      </c>
      <c r="Q347" s="1" t="n">
        <v>60.1996</v>
      </c>
      <c r="R347" s="1" t="n">
        <v>-104.3441</v>
      </c>
      <c r="S347" s="1" t="s">
        <v>1455</v>
      </c>
      <c r="T347" s="1" t="n">
        <v>2026</v>
      </c>
      <c r="U347" s="1" t="n">
        <v>2026</v>
      </c>
      <c r="V347" s="5" t="n">
        <v>46214.9479166667</v>
      </c>
      <c r="W347" s="6" t="n">
        <v>46387.9999999884</v>
      </c>
    </row>
    <row r="348" customFormat="false" ht="12.75" hidden="false" customHeight="false" outlineLevel="0" collapsed="false">
      <c r="A348" s="1" t="s">
        <v>1456</v>
      </c>
      <c r="B348" s="1" t="n">
        <v>17626738</v>
      </c>
      <c r="C348" s="1" t="s">
        <v>1095</v>
      </c>
      <c r="D348" s="1" t="s">
        <v>1101</v>
      </c>
      <c r="E348" s="1" t="s">
        <v>1457</v>
      </c>
      <c r="F348" s="1" t="s">
        <v>1458</v>
      </c>
      <c r="G348" s="2" t="s">
        <v>28</v>
      </c>
      <c r="H348" s="1" t="n">
        <v>-1</v>
      </c>
      <c r="I348" s="1" t="n">
        <v>-1</v>
      </c>
      <c r="J348" s="1" t="n">
        <v>-1</v>
      </c>
      <c r="K348" s="1" t="n">
        <v>-1</v>
      </c>
      <c r="L348" s="2" t="n">
        <v>200</v>
      </c>
      <c r="M348" s="1" t="s">
        <v>65</v>
      </c>
      <c r="N348" s="1" t="s">
        <v>105</v>
      </c>
      <c r="O348" s="5" t="n">
        <v>46206.6895833333</v>
      </c>
      <c r="P348" s="5" t="n">
        <v>46224.6979166667</v>
      </c>
      <c r="Q348" s="1" t="n">
        <v>60.0074</v>
      </c>
      <c r="R348" s="1" t="n">
        <v>-102.5172</v>
      </c>
      <c r="S348" s="1" t="s">
        <v>1459</v>
      </c>
      <c r="T348" s="1" t="n">
        <v>2026</v>
      </c>
      <c r="U348" s="1" t="n">
        <v>2026</v>
      </c>
      <c r="V348" s="5" t="n">
        <v>46214.9479166667</v>
      </c>
      <c r="W348" s="6" t="n">
        <v>46387.9999999884</v>
      </c>
    </row>
    <row r="349" customFormat="false" ht="12.75" hidden="false" customHeight="false" outlineLevel="0" collapsed="false">
      <c r="A349" s="1" t="s">
        <v>1460</v>
      </c>
      <c r="B349" s="1" t="n">
        <v>17487196</v>
      </c>
      <c r="C349" s="1" t="s">
        <v>1095</v>
      </c>
      <c r="D349" s="1" t="s">
        <v>1118</v>
      </c>
      <c r="E349" s="1" t="s">
        <v>1461</v>
      </c>
      <c r="F349" s="1" t="s">
        <v>1462</v>
      </c>
      <c r="G349" s="2" t="s">
        <v>28</v>
      </c>
      <c r="H349" s="1" t="n">
        <v>-1</v>
      </c>
      <c r="I349" s="1" t="n">
        <v>-1</v>
      </c>
      <c r="J349" s="1" t="n">
        <v>-1</v>
      </c>
      <c r="K349" s="1" t="n">
        <v>-1</v>
      </c>
      <c r="L349" s="2" t="n">
        <v>134</v>
      </c>
      <c r="M349" s="1" t="s">
        <v>70</v>
      </c>
      <c r="N349" s="1" t="s">
        <v>105</v>
      </c>
      <c r="O349" s="5" t="n">
        <v>46200.0423611111</v>
      </c>
      <c r="P349" s="5" t="n">
        <v>46224.6979166667</v>
      </c>
      <c r="Q349" s="1" t="n">
        <v>66.2386</v>
      </c>
      <c r="R349" s="1" t="n">
        <v>-128.9183</v>
      </c>
      <c r="S349" s="1" t="s">
        <v>1463</v>
      </c>
      <c r="T349" s="1" t="n">
        <v>2026</v>
      </c>
      <c r="U349" s="1" t="n">
        <v>2026</v>
      </c>
      <c r="V349" s="5" t="n">
        <v>46213.1145833333</v>
      </c>
      <c r="W349" s="6" t="n">
        <v>46387.9999999884</v>
      </c>
    </row>
    <row r="350" customFormat="false" ht="12.75" hidden="false" customHeight="false" outlineLevel="0" collapsed="false">
      <c r="A350" s="1" t="s">
        <v>1464</v>
      </c>
      <c r="B350" s="1" t="n">
        <v>17485988</v>
      </c>
      <c r="C350" s="1" t="s">
        <v>1095</v>
      </c>
      <c r="D350" s="1" t="s">
        <v>1118</v>
      </c>
      <c r="E350" s="1" t="s">
        <v>1465</v>
      </c>
      <c r="F350" s="1" t="s">
        <v>1466</v>
      </c>
      <c r="G350" s="2" t="s">
        <v>28</v>
      </c>
      <c r="H350" s="1" t="n">
        <v>-1</v>
      </c>
      <c r="I350" s="1" t="n">
        <v>-1</v>
      </c>
      <c r="J350" s="1" t="n">
        <v>-1</v>
      </c>
      <c r="K350" s="1" t="n">
        <v>-1</v>
      </c>
      <c r="L350" s="2" t="n">
        <v>175</v>
      </c>
      <c r="M350" s="1" t="s">
        <v>65</v>
      </c>
      <c r="N350" s="1" t="s">
        <v>105</v>
      </c>
      <c r="O350" s="5" t="n">
        <v>46208.5833333333</v>
      </c>
      <c r="P350" s="5" t="n">
        <v>46224.6979166667</v>
      </c>
      <c r="Q350" s="1" t="n">
        <v>66.3032</v>
      </c>
      <c r="R350" s="1" t="n">
        <v>-129.562</v>
      </c>
      <c r="S350" s="1" t="s">
        <v>1467</v>
      </c>
      <c r="T350" s="1" t="n">
        <v>2026</v>
      </c>
      <c r="U350" s="1" t="n">
        <v>2026</v>
      </c>
      <c r="V350" s="5" t="n">
        <v>46213.0729166667</v>
      </c>
      <c r="W350" s="6" t="n">
        <v>46387.9999999884</v>
      </c>
    </row>
    <row r="351" customFormat="false" ht="12.75" hidden="false" customHeight="false" outlineLevel="0" collapsed="false">
      <c r="A351" s="1" t="s">
        <v>1468</v>
      </c>
      <c r="B351" s="1" t="n">
        <v>17481760</v>
      </c>
      <c r="C351" s="1" t="s">
        <v>1095</v>
      </c>
      <c r="D351" s="1" t="s">
        <v>1118</v>
      </c>
      <c r="E351" s="1" t="s">
        <v>1469</v>
      </c>
      <c r="F351" s="1" t="s">
        <v>1470</v>
      </c>
      <c r="G351" s="2" t="s">
        <v>28</v>
      </c>
      <c r="H351" s="1" t="n">
        <v>-1</v>
      </c>
      <c r="I351" s="1" t="n">
        <v>-1</v>
      </c>
      <c r="J351" s="1" t="n">
        <v>-1</v>
      </c>
      <c r="K351" s="1" t="n">
        <v>-1</v>
      </c>
      <c r="L351" s="2" t="n">
        <v>3009</v>
      </c>
      <c r="M351" s="1" t="s">
        <v>65</v>
      </c>
      <c r="N351" s="1" t="s">
        <v>105</v>
      </c>
      <c r="O351" s="5" t="n">
        <v>46207.9548611111</v>
      </c>
      <c r="P351" s="5" t="n">
        <v>46224.6979166667</v>
      </c>
      <c r="Q351" s="1" t="n">
        <v>66.5324</v>
      </c>
      <c r="R351" s="1" t="n">
        <v>-118.3305</v>
      </c>
      <c r="S351" s="1" t="s">
        <v>1471</v>
      </c>
      <c r="T351" s="1" t="n">
        <v>2026</v>
      </c>
      <c r="U351" s="1" t="n">
        <v>2026</v>
      </c>
      <c r="V351" s="5" t="n">
        <v>46213.03125</v>
      </c>
      <c r="W351" s="6" t="n">
        <v>46387.9999999884</v>
      </c>
    </row>
    <row r="352" customFormat="false" ht="12.75" hidden="false" customHeight="false" outlineLevel="0" collapsed="false">
      <c r="A352" s="1" t="s">
        <v>1472</v>
      </c>
      <c r="B352" s="1" t="n">
        <v>17481758</v>
      </c>
      <c r="C352" s="1" t="s">
        <v>1095</v>
      </c>
      <c r="D352" s="1" t="s">
        <v>1118</v>
      </c>
      <c r="E352" s="1" t="s">
        <v>1473</v>
      </c>
      <c r="F352" s="1" t="s">
        <v>1474</v>
      </c>
      <c r="G352" s="2" t="s">
        <v>28</v>
      </c>
      <c r="H352" s="1" t="n">
        <v>-1</v>
      </c>
      <c r="I352" s="1" t="n">
        <v>-1</v>
      </c>
      <c r="J352" s="1" t="n">
        <v>-1</v>
      </c>
      <c r="K352" s="1" t="n">
        <v>-1</v>
      </c>
      <c r="L352" s="2" t="n">
        <v>1344</v>
      </c>
      <c r="M352" s="1" t="s">
        <v>65</v>
      </c>
      <c r="N352" s="1" t="s">
        <v>105</v>
      </c>
      <c r="O352" s="5" t="n">
        <v>46204.7069444444</v>
      </c>
      <c r="P352" s="5" t="n">
        <v>46224.6979166667</v>
      </c>
      <c r="Q352" s="1" t="n">
        <v>66.635</v>
      </c>
      <c r="R352" s="1" t="n">
        <v>-122.178</v>
      </c>
      <c r="S352" s="1" t="s">
        <v>1475</v>
      </c>
      <c r="T352" s="1" t="n">
        <v>2026</v>
      </c>
      <c r="U352" s="1" t="n">
        <v>2026</v>
      </c>
      <c r="V352" s="5" t="n">
        <v>46213.03125</v>
      </c>
      <c r="W352" s="6" t="n">
        <v>46387.9999999884</v>
      </c>
    </row>
    <row r="353" customFormat="false" ht="12.75" hidden="false" customHeight="false" outlineLevel="0" collapsed="false">
      <c r="A353" s="1" t="s">
        <v>1476</v>
      </c>
      <c r="B353" s="1" t="n">
        <v>17481753</v>
      </c>
      <c r="C353" s="1" t="s">
        <v>1095</v>
      </c>
      <c r="D353" s="1" t="s">
        <v>1118</v>
      </c>
      <c r="E353" s="1" t="s">
        <v>1477</v>
      </c>
      <c r="F353" s="1" t="s">
        <v>1478</v>
      </c>
      <c r="G353" s="2" t="s">
        <v>28</v>
      </c>
      <c r="H353" s="1" t="n">
        <v>-1</v>
      </c>
      <c r="I353" s="1" t="n">
        <v>-1</v>
      </c>
      <c r="J353" s="1" t="n">
        <v>-1</v>
      </c>
      <c r="K353" s="1" t="n">
        <v>-1</v>
      </c>
      <c r="L353" s="2" t="n">
        <v>586</v>
      </c>
      <c r="M353" s="1" t="s">
        <v>65</v>
      </c>
      <c r="N353" s="1" t="s">
        <v>105</v>
      </c>
      <c r="O353" s="5" t="n">
        <v>46202.8395833333</v>
      </c>
      <c r="P353" s="5" t="n">
        <v>46224.6979166667</v>
      </c>
      <c r="Q353" s="1" t="n">
        <v>66.9448</v>
      </c>
      <c r="R353" s="1" t="n">
        <v>-122.8957</v>
      </c>
      <c r="S353" s="1" t="s">
        <v>1479</v>
      </c>
      <c r="T353" s="1" t="n">
        <v>2026</v>
      </c>
      <c r="U353" s="1" t="n">
        <v>2026</v>
      </c>
      <c r="V353" s="5" t="n">
        <v>46213.03125</v>
      </c>
      <c r="W353" s="6" t="n">
        <v>46387.9999999884</v>
      </c>
    </row>
    <row r="354" customFormat="false" ht="12.75" hidden="false" customHeight="false" outlineLevel="0" collapsed="false">
      <c r="A354" s="1" t="s">
        <v>1480</v>
      </c>
      <c r="B354" s="1" t="n">
        <v>17481745</v>
      </c>
      <c r="C354" s="1" t="s">
        <v>1095</v>
      </c>
      <c r="D354" s="1" t="s">
        <v>1118</v>
      </c>
      <c r="E354" s="1" t="s">
        <v>1481</v>
      </c>
      <c r="F354" s="1" t="s">
        <v>1482</v>
      </c>
      <c r="G354" s="2" t="s">
        <v>28</v>
      </c>
      <c r="H354" s="1" t="n">
        <v>-1</v>
      </c>
      <c r="I354" s="1" t="n">
        <v>-1</v>
      </c>
      <c r="J354" s="1" t="n">
        <v>-1</v>
      </c>
      <c r="K354" s="1" t="n">
        <v>-1</v>
      </c>
      <c r="L354" s="2" t="n">
        <v>90</v>
      </c>
      <c r="M354" s="1" t="s">
        <v>65</v>
      </c>
      <c r="N354" s="1" t="s">
        <v>105</v>
      </c>
      <c r="O354" s="5" t="n">
        <v>46202</v>
      </c>
      <c r="P354" s="5" t="n">
        <v>46224.6979166667</v>
      </c>
      <c r="Q354" s="1" t="n">
        <v>63.7169</v>
      </c>
      <c r="R354" s="1" t="n">
        <v>-126.173</v>
      </c>
      <c r="S354" s="1" t="s">
        <v>1483</v>
      </c>
      <c r="T354" s="1" t="n">
        <v>2026</v>
      </c>
      <c r="U354" s="1" t="n">
        <v>2026</v>
      </c>
      <c r="V354" s="5" t="n">
        <v>46213.03125</v>
      </c>
      <c r="W354" s="6" t="n">
        <v>46387.9999999884</v>
      </c>
    </row>
    <row r="355" customFormat="false" ht="12.75" hidden="false" customHeight="false" outlineLevel="0" collapsed="false">
      <c r="A355" s="1" t="s">
        <v>1484</v>
      </c>
      <c r="B355" s="1" t="n">
        <v>17481744</v>
      </c>
      <c r="C355" s="1" t="s">
        <v>1095</v>
      </c>
      <c r="D355" s="1" t="s">
        <v>1118</v>
      </c>
      <c r="E355" s="1" t="s">
        <v>1485</v>
      </c>
      <c r="F355" s="1" t="s">
        <v>1486</v>
      </c>
      <c r="G355" s="2" t="s">
        <v>28</v>
      </c>
      <c r="H355" s="1" t="n">
        <v>-1</v>
      </c>
      <c r="I355" s="1" t="n">
        <v>-1</v>
      </c>
      <c r="J355" s="1" t="n">
        <v>-1</v>
      </c>
      <c r="K355" s="1" t="n">
        <v>-1</v>
      </c>
      <c r="L355" s="2" t="n">
        <v>900</v>
      </c>
      <c r="M355" s="1" t="s">
        <v>65</v>
      </c>
      <c r="N355" s="1" t="s">
        <v>105</v>
      </c>
      <c r="O355" s="5" t="n">
        <v>46202.8638888889</v>
      </c>
      <c r="P355" s="5" t="n">
        <v>46224.6979166667</v>
      </c>
      <c r="Q355" s="1" t="n">
        <v>63.5828</v>
      </c>
      <c r="R355" s="1" t="n">
        <v>-125.8396</v>
      </c>
      <c r="S355" s="1" t="s">
        <v>1487</v>
      </c>
      <c r="T355" s="1" t="n">
        <v>2026</v>
      </c>
      <c r="U355" s="1" t="n">
        <v>2026</v>
      </c>
      <c r="V355" s="5" t="n">
        <v>46213.03125</v>
      </c>
      <c r="W355" s="6" t="n">
        <v>46387.9999999884</v>
      </c>
    </row>
    <row r="356" customFormat="false" ht="12.75" hidden="false" customHeight="false" outlineLevel="0" collapsed="false">
      <c r="A356" s="1" t="s">
        <v>1488</v>
      </c>
      <c r="B356" s="1" t="n">
        <v>17481743</v>
      </c>
      <c r="C356" s="1" t="s">
        <v>1095</v>
      </c>
      <c r="D356" s="1" t="s">
        <v>1118</v>
      </c>
      <c r="E356" s="1" t="s">
        <v>1489</v>
      </c>
      <c r="F356" s="1" t="s">
        <v>1490</v>
      </c>
      <c r="G356" s="2" t="s">
        <v>28</v>
      </c>
      <c r="H356" s="1" t="n">
        <v>-1</v>
      </c>
      <c r="I356" s="1" t="n">
        <v>-1</v>
      </c>
      <c r="J356" s="1" t="n">
        <v>-1</v>
      </c>
      <c r="K356" s="1" t="n">
        <v>-1</v>
      </c>
      <c r="L356" s="2" t="n">
        <v>200</v>
      </c>
      <c r="M356" s="1" t="s">
        <v>65</v>
      </c>
      <c r="N356" s="1" t="s">
        <v>105</v>
      </c>
      <c r="O356" s="5" t="n">
        <v>46202.85625</v>
      </c>
      <c r="P356" s="5" t="n">
        <v>46224.6979166667</v>
      </c>
      <c r="Q356" s="1" t="n">
        <v>64.5842</v>
      </c>
      <c r="R356" s="1" t="n">
        <v>-124.5183</v>
      </c>
      <c r="S356" s="1" t="s">
        <v>1491</v>
      </c>
      <c r="T356" s="1" t="n">
        <v>2026</v>
      </c>
      <c r="U356" s="1" t="n">
        <v>2026</v>
      </c>
      <c r="V356" s="5" t="n">
        <v>46213.03125</v>
      </c>
      <c r="W356" s="6" t="n">
        <v>46387.9999999884</v>
      </c>
    </row>
    <row r="357" customFormat="false" ht="12.75" hidden="false" customHeight="false" outlineLevel="0" collapsed="false">
      <c r="A357" s="1" t="s">
        <v>1492</v>
      </c>
      <c r="B357" s="1" t="n">
        <v>17481742</v>
      </c>
      <c r="C357" s="1" t="s">
        <v>1095</v>
      </c>
      <c r="D357" s="1" t="s">
        <v>1118</v>
      </c>
      <c r="E357" s="1" t="s">
        <v>1493</v>
      </c>
      <c r="F357" s="1" t="s">
        <v>1494</v>
      </c>
      <c r="G357" s="2" t="s">
        <v>28</v>
      </c>
      <c r="H357" s="1" t="n">
        <v>-1</v>
      </c>
      <c r="I357" s="1" t="n">
        <v>-1</v>
      </c>
      <c r="J357" s="1" t="n">
        <v>-1</v>
      </c>
      <c r="K357" s="1" t="n">
        <v>-1</v>
      </c>
      <c r="L357" s="2" t="n">
        <v>1997</v>
      </c>
      <c r="M357" s="1" t="s">
        <v>65</v>
      </c>
      <c r="N357" s="1" t="s">
        <v>105</v>
      </c>
      <c r="O357" s="5" t="n">
        <v>46198.03125</v>
      </c>
      <c r="P357" s="5" t="n">
        <v>46224.6979166667</v>
      </c>
      <c r="Q357" s="1" t="n">
        <v>65.0187</v>
      </c>
      <c r="R357" s="1" t="n">
        <v>-119.8168</v>
      </c>
      <c r="S357" s="1" t="s">
        <v>1495</v>
      </c>
      <c r="T357" s="1" t="n">
        <v>2026</v>
      </c>
      <c r="U357" s="1" t="n">
        <v>2026</v>
      </c>
      <c r="V357" s="5" t="n">
        <v>46213.03125</v>
      </c>
      <c r="W357" s="6" t="n">
        <v>46387.9999999884</v>
      </c>
    </row>
    <row r="358" customFormat="false" ht="12.75" hidden="false" customHeight="false" outlineLevel="0" collapsed="false">
      <c r="A358" s="1" t="s">
        <v>1496</v>
      </c>
      <c r="B358" s="1" t="n">
        <v>17481741</v>
      </c>
      <c r="C358" s="1" t="s">
        <v>1095</v>
      </c>
      <c r="D358" s="1" t="s">
        <v>1118</v>
      </c>
      <c r="E358" s="1" t="s">
        <v>1497</v>
      </c>
      <c r="F358" s="1" t="s">
        <v>1498</v>
      </c>
      <c r="G358" s="2" t="s">
        <v>28</v>
      </c>
      <c r="H358" s="1" t="n">
        <v>-1</v>
      </c>
      <c r="I358" s="1" t="n">
        <v>-1</v>
      </c>
      <c r="J358" s="1" t="n">
        <v>-1</v>
      </c>
      <c r="K358" s="1" t="n">
        <v>-1</v>
      </c>
      <c r="L358" s="2" t="n">
        <v>5210</v>
      </c>
      <c r="M358" s="1" t="s">
        <v>65</v>
      </c>
      <c r="N358" s="1" t="s">
        <v>105</v>
      </c>
      <c r="O358" s="5" t="n">
        <v>46201.5930555556</v>
      </c>
      <c r="P358" s="5" t="n">
        <v>46224.6979166667</v>
      </c>
      <c r="Q358" s="1" t="n">
        <v>65.0766</v>
      </c>
      <c r="R358" s="1" t="n">
        <v>-119.9248</v>
      </c>
      <c r="S358" s="1" t="s">
        <v>1499</v>
      </c>
      <c r="T358" s="1" t="n">
        <v>2026</v>
      </c>
      <c r="U358" s="1" t="n">
        <v>2026</v>
      </c>
      <c r="V358" s="5" t="n">
        <v>46213.03125</v>
      </c>
      <c r="W358" s="6" t="n">
        <v>46387.9999999884</v>
      </c>
    </row>
    <row r="359" customFormat="false" ht="12.75" hidden="false" customHeight="false" outlineLevel="0" collapsed="false">
      <c r="A359" s="1" t="s">
        <v>1500</v>
      </c>
      <c r="B359" s="1" t="n">
        <v>17481740</v>
      </c>
      <c r="C359" s="1" t="s">
        <v>1095</v>
      </c>
      <c r="D359" s="1" t="s">
        <v>1118</v>
      </c>
      <c r="E359" s="1" t="s">
        <v>1501</v>
      </c>
      <c r="F359" s="1" t="s">
        <v>1502</v>
      </c>
      <c r="G359" s="2" t="s">
        <v>28</v>
      </c>
      <c r="H359" s="1" t="n">
        <v>-1</v>
      </c>
      <c r="I359" s="1" t="n">
        <v>-1</v>
      </c>
      <c r="J359" s="1" t="n">
        <v>-1</v>
      </c>
      <c r="K359" s="1" t="n">
        <v>-1</v>
      </c>
      <c r="L359" s="2" t="n">
        <v>652</v>
      </c>
      <c r="M359" s="1" t="s">
        <v>65</v>
      </c>
      <c r="N359" s="1" t="s">
        <v>105</v>
      </c>
      <c r="O359" s="5" t="n">
        <v>46202.8513888889</v>
      </c>
      <c r="P359" s="5" t="n">
        <v>46224.6979166667</v>
      </c>
      <c r="Q359" s="1" t="n">
        <v>64.9209</v>
      </c>
      <c r="R359" s="1" t="n">
        <v>-119.9816</v>
      </c>
      <c r="S359" s="1" t="s">
        <v>1503</v>
      </c>
      <c r="T359" s="1" t="n">
        <v>2026</v>
      </c>
      <c r="U359" s="1" t="n">
        <v>2026</v>
      </c>
      <c r="V359" s="5" t="n">
        <v>46213.03125</v>
      </c>
      <c r="W359" s="6" t="n">
        <v>46387.9999999884</v>
      </c>
    </row>
    <row r="360" customFormat="false" ht="12.75" hidden="false" customHeight="false" outlineLevel="0" collapsed="false">
      <c r="A360" s="1" t="s">
        <v>1504</v>
      </c>
      <c r="B360" s="1" t="n">
        <v>17481739</v>
      </c>
      <c r="C360" s="1" t="s">
        <v>1095</v>
      </c>
      <c r="D360" s="1" t="s">
        <v>1118</v>
      </c>
      <c r="E360" s="1" t="s">
        <v>1505</v>
      </c>
      <c r="F360" s="1" t="s">
        <v>1506</v>
      </c>
      <c r="G360" s="2" t="s">
        <v>28</v>
      </c>
      <c r="H360" s="1" t="n">
        <v>-1</v>
      </c>
      <c r="I360" s="1" t="n">
        <v>-1</v>
      </c>
      <c r="J360" s="1" t="n">
        <v>-1</v>
      </c>
      <c r="K360" s="1" t="n">
        <v>-1</v>
      </c>
      <c r="L360" s="2" t="n">
        <v>33501</v>
      </c>
      <c r="M360" s="1" t="s">
        <v>65</v>
      </c>
      <c r="N360" s="1" t="s">
        <v>105</v>
      </c>
      <c r="O360" s="5" t="n">
        <v>46201.6013888889</v>
      </c>
      <c r="P360" s="5" t="n">
        <v>46224.6979166667</v>
      </c>
      <c r="Q360" s="1" t="n">
        <v>64.5159</v>
      </c>
      <c r="R360" s="1" t="n">
        <v>-120.9313</v>
      </c>
      <c r="S360" s="1" t="s">
        <v>1507</v>
      </c>
      <c r="T360" s="1" t="n">
        <v>2026</v>
      </c>
      <c r="U360" s="1" t="n">
        <v>2026</v>
      </c>
      <c r="V360" s="5" t="n">
        <v>46213.03125</v>
      </c>
      <c r="W360" s="6" t="n">
        <v>46387.9999999884</v>
      </c>
    </row>
    <row r="361" customFormat="false" ht="12.75" hidden="false" customHeight="false" outlineLevel="0" collapsed="false">
      <c r="A361" s="1" t="s">
        <v>1508</v>
      </c>
      <c r="B361" s="1" t="n">
        <v>17481738</v>
      </c>
      <c r="C361" s="1" t="s">
        <v>1095</v>
      </c>
      <c r="D361" s="1" t="s">
        <v>1118</v>
      </c>
      <c r="E361" s="1" t="s">
        <v>1509</v>
      </c>
      <c r="F361" s="1" t="s">
        <v>1510</v>
      </c>
      <c r="G361" s="2" t="s">
        <v>28</v>
      </c>
      <c r="H361" s="1" t="n">
        <v>-1</v>
      </c>
      <c r="I361" s="1" t="n">
        <v>-1</v>
      </c>
      <c r="J361" s="1" t="n">
        <v>-1</v>
      </c>
      <c r="K361" s="1" t="n">
        <v>-1</v>
      </c>
      <c r="L361" s="2" t="n">
        <v>15555</v>
      </c>
      <c r="M361" s="1" t="s">
        <v>65</v>
      </c>
      <c r="N361" s="1" t="s">
        <v>105</v>
      </c>
      <c r="O361" s="5" t="n">
        <v>46201.5986111111</v>
      </c>
      <c r="P361" s="5" t="n">
        <v>46224.6979166667</v>
      </c>
      <c r="Q361" s="1" t="n">
        <v>64.8075</v>
      </c>
      <c r="R361" s="1" t="n">
        <v>-121.5227</v>
      </c>
      <c r="S361" s="1" t="s">
        <v>1511</v>
      </c>
      <c r="T361" s="1" t="n">
        <v>2026</v>
      </c>
      <c r="U361" s="1" t="n">
        <v>2026</v>
      </c>
      <c r="V361" s="5" t="n">
        <v>46213.03125</v>
      </c>
      <c r="W361" s="6" t="n">
        <v>46387.9999999884</v>
      </c>
    </row>
    <row r="362" customFormat="false" ht="12.75" hidden="false" customHeight="false" outlineLevel="0" collapsed="false">
      <c r="A362" s="1" t="s">
        <v>1512</v>
      </c>
      <c r="B362" s="1" t="n">
        <v>17481737</v>
      </c>
      <c r="C362" s="1" t="s">
        <v>1095</v>
      </c>
      <c r="D362" s="1" t="s">
        <v>1118</v>
      </c>
      <c r="E362" s="1" t="s">
        <v>1513</v>
      </c>
      <c r="F362" s="1" t="s">
        <v>1514</v>
      </c>
      <c r="G362" s="2" t="s">
        <v>28</v>
      </c>
      <c r="H362" s="1" t="n">
        <v>-1</v>
      </c>
      <c r="I362" s="1" t="n">
        <v>-1</v>
      </c>
      <c r="J362" s="1" t="n">
        <v>-1</v>
      </c>
      <c r="K362" s="1" t="n">
        <v>-1</v>
      </c>
      <c r="L362" s="2" t="n">
        <v>4572</v>
      </c>
      <c r="M362" s="1" t="s">
        <v>65</v>
      </c>
      <c r="N362" s="1" t="s">
        <v>105</v>
      </c>
      <c r="O362" s="5" t="n">
        <v>46203.9472222222</v>
      </c>
      <c r="P362" s="5" t="n">
        <v>46224.6979166667</v>
      </c>
      <c r="Q362" s="1" t="n">
        <v>65.3805</v>
      </c>
      <c r="R362" s="1" t="n">
        <v>-119.2919</v>
      </c>
      <c r="S362" s="1" t="s">
        <v>1515</v>
      </c>
      <c r="T362" s="1" t="n">
        <v>2026</v>
      </c>
      <c r="U362" s="1" t="n">
        <v>2026</v>
      </c>
      <c r="V362" s="5" t="n">
        <v>46213.03125</v>
      </c>
      <c r="W362" s="6" t="n">
        <v>46387.9999999884</v>
      </c>
    </row>
    <row r="363" customFormat="false" ht="12.75" hidden="false" customHeight="false" outlineLevel="0" collapsed="false">
      <c r="A363" s="1" t="s">
        <v>1516</v>
      </c>
      <c r="B363" s="1" t="n">
        <v>17481759</v>
      </c>
      <c r="C363" s="1" t="s">
        <v>1095</v>
      </c>
      <c r="D363" s="1" t="s">
        <v>1118</v>
      </c>
      <c r="E363" s="1" t="s">
        <v>1517</v>
      </c>
      <c r="F363" s="1" t="s">
        <v>1518</v>
      </c>
      <c r="G363" s="2" t="s">
        <v>28</v>
      </c>
      <c r="H363" s="1" t="n">
        <v>-1</v>
      </c>
      <c r="I363" s="1" t="n">
        <v>-1</v>
      </c>
      <c r="J363" s="1" t="n">
        <v>-1</v>
      </c>
      <c r="K363" s="1" t="n">
        <v>-1</v>
      </c>
      <c r="L363" s="2" t="n">
        <v>8157</v>
      </c>
      <c r="M363" s="1" t="s">
        <v>65</v>
      </c>
      <c r="N363" s="1" t="s">
        <v>105</v>
      </c>
      <c r="O363" s="5" t="n">
        <v>46204.7097222222</v>
      </c>
      <c r="P363" s="5" t="n">
        <v>46224.6979166667</v>
      </c>
      <c r="Q363" s="1" t="n">
        <v>66.3691</v>
      </c>
      <c r="R363" s="1" t="n">
        <v>-117.4572</v>
      </c>
      <c r="S363" s="1" t="s">
        <v>1519</v>
      </c>
      <c r="T363" s="1" t="n">
        <v>2026</v>
      </c>
      <c r="U363" s="1" t="n">
        <v>2026</v>
      </c>
      <c r="V363" s="5" t="n">
        <v>46213.03125</v>
      </c>
      <c r="W363" s="6" t="n">
        <v>46387.9999999884</v>
      </c>
    </row>
    <row r="364" customFormat="false" ht="12.75" hidden="false" customHeight="false" outlineLevel="0" collapsed="false">
      <c r="A364" s="1" t="s">
        <v>1520</v>
      </c>
      <c r="B364" s="1" t="n">
        <v>17479061</v>
      </c>
      <c r="C364" s="1" t="s">
        <v>1095</v>
      </c>
      <c r="D364" s="1" t="s">
        <v>1118</v>
      </c>
      <c r="E364" s="1" t="s">
        <v>1521</v>
      </c>
      <c r="F364" s="1" t="s">
        <v>1522</v>
      </c>
      <c r="G364" s="2" t="s">
        <v>28</v>
      </c>
      <c r="H364" s="1" t="n">
        <v>-1</v>
      </c>
      <c r="I364" s="1" t="n">
        <v>-1</v>
      </c>
      <c r="J364" s="1" t="n">
        <v>-1</v>
      </c>
      <c r="K364" s="1" t="n">
        <v>-1</v>
      </c>
      <c r="L364" s="2" t="n">
        <v>40</v>
      </c>
      <c r="M364" s="1" t="s">
        <v>65</v>
      </c>
      <c r="N364" s="1" t="s">
        <v>105</v>
      </c>
      <c r="O364" s="5" t="n">
        <v>46197.9375</v>
      </c>
      <c r="P364" s="5" t="n">
        <v>46224.6979166667</v>
      </c>
      <c r="Q364" s="1" t="n">
        <v>66.2198</v>
      </c>
      <c r="R364" s="1" t="n">
        <v>-130.2763</v>
      </c>
      <c r="S364" s="1" t="s">
        <v>1523</v>
      </c>
      <c r="T364" s="1" t="n">
        <v>2026</v>
      </c>
      <c r="U364" s="1" t="n">
        <v>2026</v>
      </c>
      <c r="V364" s="5" t="n">
        <v>46212.9895833333</v>
      </c>
      <c r="W364" s="6" t="n">
        <v>46387.9999999884</v>
      </c>
    </row>
    <row r="365" customFormat="false" ht="12.75" hidden="false" customHeight="false" outlineLevel="0" collapsed="false">
      <c r="A365" s="1" t="s">
        <v>1524</v>
      </c>
      <c r="B365" s="1" t="n">
        <v>17479065</v>
      </c>
      <c r="C365" s="1" t="s">
        <v>1095</v>
      </c>
      <c r="D365" s="1" t="s">
        <v>1118</v>
      </c>
      <c r="E365" s="1" t="s">
        <v>1525</v>
      </c>
      <c r="F365" s="1" t="s">
        <v>1526</v>
      </c>
      <c r="G365" s="2" t="s">
        <v>28</v>
      </c>
      <c r="H365" s="1" t="n">
        <v>-1</v>
      </c>
      <c r="I365" s="1" t="n">
        <v>-1</v>
      </c>
      <c r="J365" s="1" t="n">
        <v>-1</v>
      </c>
      <c r="K365" s="1" t="n">
        <v>-1</v>
      </c>
      <c r="L365" s="2" t="n">
        <v>45</v>
      </c>
      <c r="M365" s="1" t="s">
        <v>29</v>
      </c>
      <c r="N365" s="1" t="s">
        <v>105</v>
      </c>
      <c r="O365" s="5" t="n">
        <v>46199.8159722222</v>
      </c>
      <c r="P365" s="5" t="n">
        <v>46224.6979166667</v>
      </c>
      <c r="Q365" s="1" t="n">
        <v>65.2744</v>
      </c>
      <c r="R365" s="1" t="n">
        <v>-125.3679</v>
      </c>
      <c r="S365" s="1" t="s">
        <v>1527</v>
      </c>
      <c r="T365" s="1" t="n">
        <v>2026</v>
      </c>
      <c r="U365" s="1" t="n">
        <v>2026</v>
      </c>
      <c r="V365" s="5" t="n">
        <v>46212.9895833333</v>
      </c>
      <c r="W365" s="6" t="n">
        <v>46387.9999999884</v>
      </c>
    </row>
    <row r="366" customFormat="false" ht="12.75" hidden="false" customHeight="false" outlineLevel="0" collapsed="false">
      <c r="A366" s="1" t="s">
        <v>1528</v>
      </c>
      <c r="B366" s="1" t="n">
        <v>17479082</v>
      </c>
      <c r="C366" s="1" t="s">
        <v>1095</v>
      </c>
      <c r="D366" s="1" t="s">
        <v>1118</v>
      </c>
      <c r="E366" s="1" t="s">
        <v>1529</v>
      </c>
      <c r="F366" s="1" t="s">
        <v>1530</v>
      </c>
      <c r="G366" s="2" t="s">
        <v>28</v>
      </c>
      <c r="H366" s="1" t="n">
        <v>-1</v>
      </c>
      <c r="I366" s="1" t="n">
        <v>-1</v>
      </c>
      <c r="J366" s="1" t="n">
        <v>-1</v>
      </c>
      <c r="K366" s="1" t="n">
        <v>-1</v>
      </c>
      <c r="L366" s="2" t="n">
        <v>13500</v>
      </c>
      <c r="M366" s="1" t="s">
        <v>65</v>
      </c>
      <c r="N366" s="1" t="s">
        <v>105</v>
      </c>
      <c r="O366" s="5" t="n">
        <v>46197.125</v>
      </c>
      <c r="P366" s="5" t="n">
        <v>46224.6979166667</v>
      </c>
      <c r="Q366" s="1" t="n">
        <v>65.6385</v>
      </c>
      <c r="R366" s="1" t="n">
        <v>-118.9106</v>
      </c>
      <c r="S366" s="1" t="s">
        <v>1531</v>
      </c>
      <c r="T366" s="1" t="n">
        <v>2026</v>
      </c>
      <c r="U366" s="1" t="n">
        <v>2026</v>
      </c>
      <c r="V366" s="5" t="n">
        <v>46212.9895833333</v>
      </c>
      <c r="W366" s="6" t="n">
        <v>46387.9999999884</v>
      </c>
    </row>
    <row r="367" customFormat="false" ht="12.75" hidden="false" customHeight="false" outlineLevel="0" collapsed="false">
      <c r="A367" s="1" t="s">
        <v>1532</v>
      </c>
      <c r="B367" s="1" t="n">
        <v>17479075</v>
      </c>
      <c r="C367" s="1" t="s">
        <v>1095</v>
      </c>
      <c r="D367" s="1" t="s">
        <v>1118</v>
      </c>
      <c r="E367" s="1" t="s">
        <v>1533</v>
      </c>
      <c r="F367" s="1" t="s">
        <v>1534</v>
      </c>
      <c r="G367" s="2" t="s">
        <v>28</v>
      </c>
      <c r="H367" s="1" t="n">
        <v>-1</v>
      </c>
      <c r="I367" s="1" t="n">
        <v>-1</v>
      </c>
      <c r="J367" s="1" t="n">
        <v>-1</v>
      </c>
      <c r="K367" s="1" t="n">
        <v>-1</v>
      </c>
      <c r="L367" s="2" t="n">
        <v>225</v>
      </c>
      <c r="M367" s="1" t="s">
        <v>65</v>
      </c>
      <c r="N367" s="1" t="s">
        <v>105</v>
      </c>
      <c r="O367" s="5" t="n">
        <v>46201.6208333333</v>
      </c>
      <c r="P367" s="5" t="n">
        <v>46224.6979166667</v>
      </c>
      <c r="Q367" s="1" t="n">
        <v>64.2092</v>
      </c>
      <c r="R367" s="1" t="n">
        <v>-126.0657</v>
      </c>
      <c r="S367" s="1" t="s">
        <v>1535</v>
      </c>
      <c r="T367" s="1" t="n">
        <v>2026</v>
      </c>
      <c r="U367" s="1" t="n">
        <v>2026</v>
      </c>
      <c r="V367" s="5" t="n">
        <v>46212.9895833333</v>
      </c>
      <c r="W367" s="6" t="n">
        <v>46387.9999999884</v>
      </c>
    </row>
    <row r="368" customFormat="false" ht="12.75" hidden="false" customHeight="false" outlineLevel="0" collapsed="false">
      <c r="A368" s="1" t="s">
        <v>1536</v>
      </c>
      <c r="B368" s="1" t="n">
        <v>17479059</v>
      </c>
      <c r="C368" s="1" t="s">
        <v>1095</v>
      </c>
      <c r="D368" s="1" t="s">
        <v>1118</v>
      </c>
      <c r="E368" s="1" t="s">
        <v>1537</v>
      </c>
      <c r="F368" s="1" t="s">
        <v>1538</v>
      </c>
      <c r="G368" s="2" t="s">
        <v>28</v>
      </c>
      <c r="H368" s="1" t="n">
        <v>-1</v>
      </c>
      <c r="I368" s="1" t="n">
        <v>-1</v>
      </c>
      <c r="J368" s="1" t="n">
        <v>-1</v>
      </c>
      <c r="K368" s="1" t="n">
        <v>-1</v>
      </c>
      <c r="L368" s="2" t="n">
        <v>375</v>
      </c>
      <c r="M368" s="1" t="s">
        <v>65</v>
      </c>
      <c r="N368" s="1" t="s">
        <v>105</v>
      </c>
      <c r="O368" s="5" t="n">
        <v>46197.0625</v>
      </c>
      <c r="P368" s="5" t="n">
        <v>46224.6979166667</v>
      </c>
      <c r="Q368" s="1" t="n">
        <v>67.4267</v>
      </c>
      <c r="R368" s="1" t="n">
        <v>-129.3045</v>
      </c>
      <c r="S368" s="1" t="s">
        <v>1539</v>
      </c>
      <c r="T368" s="1" t="n">
        <v>2026</v>
      </c>
      <c r="U368" s="1" t="n">
        <v>2026</v>
      </c>
      <c r="V368" s="5" t="n">
        <v>46212.9895833333</v>
      </c>
      <c r="W368" s="6" t="n">
        <v>46387.9999999884</v>
      </c>
    </row>
    <row r="369" customFormat="false" ht="12.75" hidden="false" customHeight="false" outlineLevel="0" collapsed="false">
      <c r="A369" s="1" t="s">
        <v>1540</v>
      </c>
      <c r="B369" s="1" t="n">
        <v>17479064</v>
      </c>
      <c r="C369" s="1" t="s">
        <v>1095</v>
      </c>
      <c r="D369" s="1" t="s">
        <v>1118</v>
      </c>
      <c r="E369" s="1" t="s">
        <v>1541</v>
      </c>
      <c r="F369" s="1" t="s">
        <v>1542</v>
      </c>
      <c r="G369" s="2" t="s">
        <v>28</v>
      </c>
      <c r="H369" s="1" t="n">
        <v>-1</v>
      </c>
      <c r="I369" s="1" t="n">
        <v>-1</v>
      </c>
      <c r="J369" s="1" t="n">
        <v>-1</v>
      </c>
      <c r="K369" s="1" t="n">
        <v>-1</v>
      </c>
      <c r="L369" s="2" t="n">
        <v>3405</v>
      </c>
      <c r="M369" s="1" t="s">
        <v>65</v>
      </c>
      <c r="N369" s="1" t="s">
        <v>105</v>
      </c>
      <c r="O369" s="5" t="n">
        <v>46197.9375</v>
      </c>
      <c r="P369" s="5" t="n">
        <v>46224.6979166667</v>
      </c>
      <c r="Q369" s="1" t="n">
        <v>64.3003</v>
      </c>
      <c r="R369" s="1" t="n">
        <v>-123.6039</v>
      </c>
      <c r="S369" s="1" t="s">
        <v>1543</v>
      </c>
      <c r="T369" s="1" t="n">
        <v>2026</v>
      </c>
      <c r="U369" s="1" t="n">
        <v>2026</v>
      </c>
      <c r="V369" s="5" t="n">
        <v>46212.9895833333</v>
      </c>
      <c r="W369" s="6" t="n">
        <v>46387.9999999884</v>
      </c>
    </row>
    <row r="370" customFormat="false" ht="12.75" hidden="false" customHeight="false" outlineLevel="0" collapsed="false">
      <c r="A370" s="1" t="s">
        <v>1544</v>
      </c>
      <c r="B370" s="1" t="n">
        <v>17479079</v>
      </c>
      <c r="C370" s="1" t="s">
        <v>1095</v>
      </c>
      <c r="D370" s="1" t="s">
        <v>1118</v>
      </c>
      <c r="E370" s="1" t="s">
        <v>1545</v>
      </c>
      <c r="F370" s="1" t="s">
        <v>1546</v>
      </c>
      <c r="G370" s="2" t="s">
        <v>28</v>
      </c>
      <c r="H370" s="1" t="n">
        <v>-1</v>
      </c>
      <c r="I370" s="1" t="n">
        <v>-1</v>
      </c>
      <c r="J370" s="1" t="n">
        <v>-1</v>
      </c>
      <c r="K370" s="1" t="n">
        <v>-1</v>
      </c>
      <c r="L370" s="2" t="n">
        <v>6000</v>
      </c>
      <c r="M370" s="1" t="s">
        <v>65</v>
      </c>
      <c r="N370" s="1" t="s">
        <v>105</v>
      </c>
      <c r="O370" s="5" t="n">
        <v>46201.0256944444</v>
      </c>
      <c r="P370" s="5" t="n">
        <v>46224.6979166667</v>
      </c>
      <c r="Q370" s="1" t="n">
        <v>64.1066</v>
      </c>
      <c r="R370" s="1" t="n">
        <v>-125.3018</v>
      </c>
      <c r="S370" s="1" t="s">
        <v>1547</v>
      </c>
      <c r="T370" s="1" t="n">
        <v>2026</v>
      </c>
      <c r="U370" s="1" t="n">
        <v>2026</v>
      </c>
      <c r="V370" s="5" t="n">
        <v>46212.9895833333</v>
      </c>
      <c r="W370" s="6" t="n">
        <v>46387.9999999884</v>
      </c>
    </row>
    <row r="371" customFormat="false" ht="12.75" hidden="false" customHeight="false" outlineLevel="0" collapsed="false">
      <c r="A371" s="1" t="s">
        <v>1548</v>
      </c>
      <c r="B371" s="1" t="n">
        <v>17479054</v>
      </c>
      <c r="C371" s="1" t="s">
        <v>1095</v>
      </c>
      <c r="D371" s="1" t="s">
        <v>1118</v>
      </c>
      <c r="E371" s="1" t="s">
        <v>1549</v>
      </c>
      <c r="F371" s="1" t="s">
        <v>1550</v>
      </c>
      <c r="G371" s="2" t="s">
        <v>28</v>
      </c>
      <c r="H371" s="1" t="n">
        <v>-1</v>
      </c>
      <c r="I371" s="1" t="n">
        <v>-1</v>
      </c>
      <c r="J371" s="1" t="n">
        <v>-1</v>
      </c>
      <c r="K371" s="1" t="n">
        <v>-1</v>
      </c>
      <c r="L371" s="2" t="n">
        <v>11002</v>
      </c>
      <c r="M371" s="1" t="s">
        <v>65</v>
      </c>
      <c r="N371" s="1" t="s">
        <v>105</v>
      </c>
      <c r="O371" s="5" t="n">
        <v>46189.9270833333</v>
      </c>
      <c r="P371" s="5" t="n">
        <v>46224.6979166667</v>
      </c>
      <c r="Q371" s="1" t="n">
        <v>66.4248</v>
      </c>
      <c r="R371" s="1" t="n">
        <v>-126.453</v>
      </c>
      <c r="S371" s="1" t="s">
        <v>1551</v>
      </c>
      <c r="T371" s="1" t="n">
        <v>2026</v>
      </c>
      <c r="U371" s="1" t="n">
        <v>2026</v>
      </c>
      <c r="V371" s="5" t="n">
        <v>46212.9895833333</v>
      </c>
      <c r="W371" s="6" t="n">
        <v>46387.9999999884</v>
      </c>
    </row>
    <row r="372" customFormat="false" ht="12.75" hidden="false" customHeight="false" outlineLevel="0" collapsed="false">
      <c r="A372" s="1" t="s">
        <v>1552</v>
      </c>
      <c r="B372" s="1" t="n">
        <v>17479068</v>
      </c>
      <c r="C372" s="1" t="s">
        <v>1095</v>
      </c>
      <c r="D372" s="1" t="s">
        <v>1118</v>
      </c>
      <c r="E372" s="1" t="s">
        <v>1553</v>
      </c>
      <c r="F372" s="1" t="s">
        <v>1554</v>
      </c>
      <c r="G372" s="2" t="s">
        <v>28</v>
      </c>
      <c r="H372" s="1" t="n">
        <v>-1</v>
      </c>
      <c r="I372" s="1" t="n">
        <v>-1</v>
      </c>
      <c r="J372" s="1" t="n">
        <v>-1</v>
      </c>
      <c r="K372" s="1" t="n">
        <v>-1</v>
      </c>
      <c r="L372" s="2" t="n">
        <v>100</v>
      </c>
      <c r="M372" s="1" t="s">
        <v>65</v>
      </c>
      <c r="N372" s="1" t="s">
        <v>105</v>
      </c>
      <c r="O372" s="5" t="n">
        <v>46199.66875</v>
      </c>
      <c r="P372" s="5" t="n">
        <v>46224.6979166667</v>
      </c>
      <c r="Q372" s="1" t="n">
        <v>66.053</v>
      </c>
      <c r="R372" s="1" t="n">
        <v>-127.2647</v>
      </c>
      <c r="S372" s="1" t="s">
        <v>1555</v>
      </c>
      <c r="T372" s="1" t="n">
        <v>2026</v>
      </c>
      <c r="U372" s="1" t="n">
        <v>2026</v>
      </c>
      <c r="V372" s="5" t="n">
        <v>46212.9895833333</v>
      </c>
      <c r="W372" s="6" t="n">
        <v>46387.9999999884</v>
      </c>
    </row>
    <row r="373" customFormat="false" ht="12.75" hidden="false" customHeight="false" outlineLevel="0" collapsed="false">
      <c r="A373" s="1" t="s">
        <v>1556</v>
      </c>
      <c r="B373" s="1" t="n">
        <v>17479069</v>
      </c>
      <c r="C373" s="1" t="s">
        <v>1095</v>
      </c>
      <c r="D373" s="1" t="s">
        <v>1118</v>
      </c>
      <c r="E373" s="1" t="s">
        <v>1557</v>
      </c>
      <c r="F373" s="1" t="s">
        <v>1558</v>
      </c>
      <c r="G373" s="2" t="s">
        <v>28</v>
      </c>
      <c r="H373" s="1" t="n">
        <v>-1</v>
      </c>
      <c r="I373" s="1" t="n">
        <v>-1</v>
      </c>
      <c r="J373" s="1" t="n">
        <v>-1</v>
      </c>
      <c r="K373" s="1" t="n">
        <v>-1</v>
      </c>
      <c r="L373" s="2" t="n">
        <v>250</v>
      </c>
      <c r="M373" s="1" t="s">
        <v>65</v>
      </c>
      <c r="N373" s="1" t="s">
        <v>105</v>
      </c>
      <c r="O373" s="5" t="n">
        <v>46200.025</v>
      </c>
      <c r="P373" s="5" t="n">
        <v>46224.6979166667</v>
      </c>
      <c r="Q373" s="1" t="n">
        <v>65.816</v>
      </c>
      <c r="R373" s="1" t="n">
        <v>-127.929</v>
      </c>
      <c r="S373" s="1" t="s">
        <v>1559</v>
      </c>
      <c r="T373" s="1" t="n">
        <v>2026</v>
      </c>
      <c r="U373" s="1" t="n">
        <v>2026</v>
      </c>
      <c r="V373" s="5" t="n">
        <v>46212.9895833333</v>
      </c>
      <c r="W373" s="6" t="n">
        <v>46387.9999999884</v>
      </c>
    </row>
    <row r="374" customFormat="false" ht="12.75" hidden="false" customHeight="false" outlineLevel="0" collapsed="false">
      <c r="A374" s="1" t="s">
        <v>1560</v>
      </c>
      <c r="B374" s="1" t="n">
        <v>17479081</v>
      </c>
      <c r="C374" s="1" t="s">
        <v>1095</v>
      </c>
      <c r="D374" s="1" t="s">
        <v>1118</v>
      </c>
      <c r="E374" s="1" t="s">
        <v>1561</v>
      </c>
      <c r="F374" s="1" t="s">
        <v>1562</v>
      </c>
      <c r="G374" s="2" t="s">
        <v>28</v>
      </c>
      <c r="H374" s="1" t="n">
        <v>-1</v>
      </c>
      <c r="I374" s="1" t="n">
        <v>-1</v>
      </c>
      <c r="J374" s="1" t="n">
        <v>-1</v>
      </c>
      <c r="K374" s="1" t="n">
        <v>-1</v>
      </c>
      <c r="L374" s="2" t="n">
        <v>3850</v>
      </c>
      <c r="M374" s="1" t="s">
        <v>65</v>
      </c>
      <c r="N374" s="1" t="s">
        <v>105</v>
      </c>
      <c r="O374" s="5" t="n">
        <v>46201.6125</v>
      </c>
      <c r="P374" s="5" t="n">
        <v>46224.6979166667</v>
      </c>
      <c r="Q374" s="1" t="n">
        <v>65.5109</v>
      </c>
      <c r="R374" s="1" t="n">
        <v>-118.0136</v>
      </c>
      <c r="S374" s="1" t="s">
        <v>1563</v>
      </c>
      <c r="T374" s="1" t="n">
        <v>2026</v>
      </c>
      <c r="U374" s="1" t="n">
        <v>2026</v>
      </c>
      <c r="V374" s="5" t="n">
        <v>46212.9895833333</v>
      </c>
      <c r="W374" s="6" t="n">
        <v>46387.9999999884</v>
      </c>
    </row>
    <row r="375" customFormat="false" ht="12.75" hidden="false" customHeight="false" outlineLevel="0" collapsed="false">
      <c r="A375" s="1" t="s">
        <v>1564</v>
      </c>
      <c r="B375" s="1" t="n">
        <v>17479060</v>
      </c>
      <c r="C375" s="1" t="s">
        <v>1095</v>
      </c>
      <c r="D375" s="1" t="s">
        <v>1118</v>
      </c>
      <c r="E375" s="1" t="s">
        <v>1565</v>
      </c>
      <c r="F375" s="1" t="s">
        <v>1566</v>
      </c>
      <c r="G375" s="2" t="s">
        <v>28</v>
      </c>
      <c r="H375" s="1" t="n">
        <v>-1</v>
      </c>
      <c r="I375" s="1" t="n">
        <v>-1</v>
      </c>
      <c r="J375" s="1" t="n">
        <v>-1</v>
      </c>
      <c r="K375" s="1" t="n">
        <v>-1</v>
      </c>
      <c r="L375" s="2" t="n">
        <v>200</v>
      </c>
      <c r="M375" s="1" t="s">
        <v>65</v>
      </c>
      <c r="N375" s="1" t="s">
        <v>105</v>
      </c>
      <c r="O375" s="5" t="n">
        <v>46197.0569444444</v>
      </c>
      <c r="P375" s="5" t="n">
        <v>46224.6979166667</v>
      </c>
      <c r="Q375" s="1" t="n">
        <v>66.9239</v>
      </c>
      <c r="R375" s="1" t="n">
        <v>-131.317</v>
      </c>
      <c r="S375" s="1" t="s">
        <v>1567</v>
      </c>
      <c r="T375" s="1" t="n">
        <v>2026</v>
      </c>
      <c r="U375" s="1" t="n">
        <v>2026</v>
      </c>
      <c r="V375" s="5" t="n">
        <v>46212.9895833333</v>
      </c>
      <c r="W375" s="6" t="n">
        <v>46387.9999999884</v>
      </c>
    </row>
    <row r="376" customFormat="false" ht="12.75" hidden="false" customHeight="false" outlineLevel="0" collapsed="false">
      <c r="A376" s="1" t="s">
        <v>1568</v>
      </c>
      <c r="B376" s="1" t="n">
        <v>17479080</v>
      </c>
      <c r="C376" s="1" t="s">
        <v>1095</v>
      </c>
      <c r="D376" s="1" t="s">
        <v>1118</v>
      </c>
      <c r="E376" s="1" t="s">
        <v>1569</v>
      </c>
      <c r="F376" s="1" t="s">
        <v>1570</v>
      </c>
      <c r="G376" s="2" t="s">
        <v>28</v>
      </c>
      <c r="H376" s="1" t="n">
        <v>-1</v>
      </c>
      <c r="I376" s="1" t="n">
        <v>-1</v>
      </c>
      <c r="J376" s="1" t="n">
        <v>-1</v>
      </c>
      <c r="K376" s="1" t="n">
        <v>-1</v>
      </c>
      <c r="L376" s="2" t="n">
        <v>234</v>
      </c>
      <c r="M376" s="1" t="s">
        <v>65</v>
      </c>
      <c r="N376" s="1" t="s">
        <v>105</v>
      </c>
      <c r="O376" s="5" t="n">
        <v>46202</v>
      </c>
      <c r="P376" s="5" t="n">
        <v>46224.6979166667</v>
      </c>
      <c r="Q376" s="1" t="n">
        <v>63.6746</v>
      </c>
      <c r="R376" s="1" t="n">
        <v>-126.07</v>
      </c>
      <c r="S376" s="1" t="s">
        <v>1571</v>
      </c>
      <c r="T376" s="1" t="n">
        <v>2026</v>
      </c>
      <c r="U376" s="1" t="n">
        <v>2026</v>
      </c>
      <c r="V376" s="5" t="n">
        <v>46212.9895833333</v>
      </c>
      <c r="W376" s="6" t="n">
        <v>46387.9999999884</v>
      </c>
    </row>
    <row r="377" customFormat="false" ht="12.75" hidden="false" customHeight="false" outlineLevel="0" collapsed="false">
      <c r="A377" s="1" t="s">
        <v>1572</v>
      </c>
      <c r="B377" s="1" t="n">
        <v>17479057</v>
      </c>
      <c r="C377" s="1" t="s">
        <v>1095</v>
      </c>
      <c r="D377" s="1" t="s">
        <v>1118</v>
      </c>
      <c r="E377" s="1" t="s">
        <v>1573</v>
      </c>
      <c r="F377" s="1" t="s">
        <v>1574</v>
      </c>
      <c r="G377" s="2" t="s">
        <v>28</v>
      </c>
      <c r="H377" s="1" t="n">
        <v>-1</v>
      </c>
      <c r="I377" s="1" t="n">
        <v>-1</v>
      </c>
      <c r="J377" s="1" t="n">
        <v>-1</v>
      </c>
      <c r="K377" s="1" t="n">
        <v>-1</v>
      </c>
      <c r="L377" s="2" t="n">
        <v>1103</v>
      </c>
      <c r="M377" s="1" t="s">
        <v>65</v>
      </c>
      <c r="N377" s="1" t="s">
        <v>105</v>
      </c>
      <c r="O377" s="5" t="n">
        <v>46196.625</v>
      </c>
      <c r="P377" s="5" t="n">
        <v>46224.6979166667</v>
      </c>
      <c r="Q377" s="1" t="n">
        <v>65.9759</v>
      </c>
      <c r="R377" s="1" t="n">
        <v>-125.7492</v>
      </c>
      <c r="S377" s="1" t="s">
        <v>1575</v>
      </c>
      <c r="T377" s="1" t="n">
        <v>2026</v>
      </c>
      <c r="U377" s="1" t="n">
        <v>2026</v>
      </c>
      <c r="V377" s="5" t="n">
        <v>46212.9895833333</v>
      </c>
      <c r="W377" s="6" t="n">
        <v>46387.9999999884</v>
      </c>
    </row>
    <row r="378" customFormat="false" ht="12.75" hidden="false" customHeight="false" outlineLevel="0" collapsed="false">
      <c r="A378" s="1" t="s">
        <v>1576</v>
      </c>
      <c r="B378" s="1" t="n">
        <v>17479070</v>
      </c>
      <c r="C378" s="1" t="s">
        <v>1095</v>
      </c>
      <c r="D378" s="1" t="s">
        <v>1118</v>
      </c>
      <c r="E378" s="1" t="s">
        <v>1577</v>
      </c>
      <c r="F378" s="1" t="s">
        <v>1578</v>
      </c>
      <c r="G378" s="2" t="s">
        <v>28</v>
      </c>
      <c r="H378" s="1" t="n">
        <v>-1</v>
      </c>
      <c r="I378" s="1" t="n">
        <v>-1</v>
      </c>
      <c r="J378" s="1" t="n">
        <v>-1</v>
      </c>
      <c r="K378" s="1" t="n">
        <v>-1</v>
      </c>
      <c r="L378" s="2" t="n">
        <v>101</v>
      </c>
      <c r="M378" s="1" t="s">
        <v>65</v>
      </c>
      <c r="N378" s="1" t="s">
        <v>105</v>
      </c>
      <c r="O378" s="5" t="n">
        <v>46200.8125</v>
      </c>
      <c r="P378" s="5" t="n">
        <v>46224.6979166667</v>
      </c>
      <c r="Q378" s="1" t="n">
        <v>65.7816</v>
      </c>
      <c r="R378" s="1" t="n">
        <v>-128.045</v>
      </c>
      <c r="S378" s="1" t="s">
        <v>1579</v>
      </c>
      <c r="T378" s="1" t="n">
        <v>2026</v>
      </c>
      <c r="U378" s="1" t="n">
        <v>2026</v>
      </c>
      <c r="V378" s="5" t="n">
        <v>46212.9895833333</v>
      </c>
      <c r="W378" s="6" t="n">
        <v>46387.9999999884</v>
      </c>
    </row>
    <row r="379" customFormat="false" ht="12.75" hidden="false" customHeight="false" outlineLevel="0" collapsed="false">
      <c r="A379" s="1" t="s">
        <v>1580</v>
      </c>
      <c r="B379" s="1" t="n">
        <v>17479078</v>
      </c>
      <c r="C379" s="1" t="s">
        <v>1095</v>
      </c>
      <c r="D379" s="1" t="s">
        <v>1118</v>
      </c>
      <c r="E379" s="1" t="s">
        <v>1581</v>
      </c>
      <c r="F379" s="1" t="s">
        <v>1582</v>
      </c>
      <c r="G379" s="2" t="s">
        <v>28</v>
      </c>
      <c r="H379" s="1" t="n">
        <v>-1</v>
      </c>
      <c r="I379" s="1" t="n">
        <v>-1</v>
      </c>
      <c r="J379" s="1" t="n">
        <v>-1</v>
      </c>
      <c r="K379" s="1" t="n">
        <v>-1</v>
      </c>
      <c r="L379" s="2" t="n">
        <v>5</v>
      </c>
      <c r="M379" s="1" t="s">
        <v>65</v>
      </c>
      <c r="N379" s="1" t="s">
        <v>105</v>
      </c>
      <c r="O379" s="5" t="n">
        <v>46201.8013888889</v>
      </c>
      <c r="P379" s="5" t="n">
        <v>46224.6979166667</v>
      </c>
      <c r="Q379" s="1" t="n">
        <v>65.2646</v>
      </c>
      <c r="R379" s="1" t="n">
        <v>-125.2926</v>
      </c>
      <c r="S379" s="1" t="s">
        <v>1583</v>
      </c>
      <c r="T379" s="1" t="n">
        <v>2026</v>
      </c>
      <c r="U379" s="1" t="n">
        <v>2026</v>
      </c>
      <c r="V379" s="5" t="n">
        <v>46212.9895833333</v>
      </c>
      <c r="W379" s="6" t="n">
        <v>46387.9999999884</v>
      </c>
    </row>
    <row r="380" customFormat="false" ht="12.75" hidden="false" customHeight="false" outlineLevel="0" collapsed="false">
      <c r="A380" s="1" t="s">
        <v>1584</v>
      </c>
      <c r="B380" s="1" t="n">
        <v>17479062</v>
      </c>
      <c r="C380" s="1" t="s">
        <v>1095</v>
      </c>
      <c r="D380" s="1" t="s">
        <v>1118</v>
      </c>
      <c r="E380" s="1" t="s">
        <v>1585</v>
      </c>
      <c r="F380" s="1" t="s">
        <v>1586</v>
      </c>
      <c r="G380" s="2" t="s">
        <v>28</v>
      </c>
      <c r="H380" s="1" t="n">
        <v>-1</v>
      </c>
      <c r="I380" s="1" t="n">
        <v>-1</v>
      </c>
      <c r="J380" s="1" t="n">
        <v>-1</v>
      </c>
      <c r="K380" s="1" t="n">
        <v>-1</v>
      </c>
      <c r="L380" s="2" t="n">
        <v>280</v>
      </c>
      <c r="M380" s="1" t="s">
        <v>65</v>
      </c>
      <c r="N380" s="1" t="s">
        <v>105</v>
      </c>
      <c r="O380" s="5" t="n">
        <v>46197.0673611111</v>
      </c>
      <c r="P380" s="5" t="n">
        <v>46224.6979166667</v>
      </c>
      <c r="Q380" s="1" t="n">
        <v>64.3382</v>
      </c>
      <c r="R380" s="1" t="n">
        <v>-126.3087</v>
      </c>
      <c r="S380" s="1" t="s">
        <v>1587</v>
      </c>
      <c r="T380" s="1" t="n">
        <v>2026</v>
      </c>
      <c r="U380" s="1" t="n">
        <v>2026</v>
      </c>
      <c r="V380" s="5" t="n">
        <v>46212.9895833333</v>
      </c>
      <c r="W380" s="6" t="n">
        <v>46387.9999999884</v>
      </c>
    </row>
    <row r="381" customFormat="false" ht="12.75" hidden="false" customHeight="false" outlineLevel="0" collapsed="false">
      <c r="A381" s="1" t="s">
        <v>1588</v>
      </c>
      <c r="B381" s="1" t="n">
        <v>17467679</v>
      </c>
      <c r="C381" s="1" t="s">
        <v>1095</v>
      </c>
      <c r="D381" s="1" t="s">
        <v>1101</v>
      </c>
      <c r="E381" s="1" t="s">
        <v>1589</v>
      </c>
      <c r="F381" s="1" t="s">
        <v>1590</v>
      </c>
      <c r="G381" s="2" t="s">
        <v>28</v>
      </c>
      <c r="H381" s="1" t="n">
        <v>-1</v>
      </c>
      <c r="I381" s="1" t="n">
        <v>-1</v>
      </c>
      <c r="J381" s="1" t="n">
        <v>-1</v>
      </c>
      <c r="K381" s="1" t="n">
        <v>-1</v>
      </c>
      <c r="L381" s="2" t="n">
        <v>5</v>
      </c>
      <c r="M381" s="1" t="s">
        <v>65</v>
      </c>
      <c r="N381" s="1" t="s">
        <v>105</v>
      </c>
      <c r="O381" s="5" t="n">
        <v>46203.8423611111</v>
      </c>
      <c r="P381" s="5" t="n">
        <v>46224.6979166667</v>
      </c>
      <c r="Q381" s="1" t="n">
        <v>60.8264</v>
      </c>
      <c r="R381" s="1" t="n">
        <v>-102.8934</v>
      </c>
      <c r="S381" s="1" t="s">
        <v>1591</v>
      </c>
      <c r="T381" s="1" t="n">
        <v>2026</v>
      </c>
      <c r="U381" s="1" t="n">
        <v>2026</v>
      </c>
      <c r="V381" s="5" t="n">
        <v>46212.8645833333</v>
      </c>
      <c r="W381" s="6" t="n">
        <v>46387.9999999884</v>
      </c>
    </row>
    <row r="382" customFormat="false" ht="12.75" hidden="false" customHeight="false" outlineLevel="0" collapsed="false">
      <c r="A382" s="1" t="s">
        <v>1592</v>
      </c>
      <c r="B382" s="1" t="n">
        <v>17398880</v>
      </c>
      <c r="C382" s="1" t="s">
        <v>1095</v>
      </c>
      <c r="D382" s="1" t="s">
        <v>1131</v>
      </c>
      <c r="E382" s="1" t="s">
        <v>1593</v>
      </c>
      <c r="F382" s="1" t="s">
        <v>1594</v>
      </c>
      <c r="G382" s="2" t="s">
        <v>28</v>
      </c>
      <c r="H382" s="1" t="n">
        <v>-1</v>
      </c>
      <c r="I382" s="1" t="n">
        <v>-1</v>
      </c>
      <c r="J382" s="1" t="n">
        <v>-1</v>
      </c>
      <c r="K382" s="1" t="n">
        <v>-1</v>
      </c>
      <c r="L382" s="2" t="n">
        <v>160</v>
      </c>
      <c r="M382" s="1" t="s">
        <v>65</v>
      </c>
      <c r="N382" s="1" t="s">
        <v>105</v>
      </c>
      <c r="O382" s="5" t="n">
        <v>46211.8222222222</v>
      </c>
      <c r="P382" s="5" t="n">
        <v>46224.6979166667</v>
      </c>
      <c r="Q382" s="1" t="n">
        <v>65.2734</v>
      </c>
      <c r="R382" s="1" t="n">
        <v>-119.13</v>
      </c>
      <c r="S382" s="1" t="s">
        <v>1595</v>
      </c>
      <c r="T382" s="1" t="n">
        <v>2026</v>
      </c>
      <c r="U382" s="1" t="n">
        <v>2026</v>
      </c>
      <c r="V382" s="5" t="n">
        <v>46211.8645833333</v>
      </c>
      <c r="W382" s="6" t="n">
        <v>46387.9999999884</v>
      </c>
    </row>
    <row r="383" customFormat="false" ht="12.75" hidden="false" customHeight="false" outlineLevel="0" collapsed="false">
      <c r="A383" s="1" t="s">
        <v>1596</v>
      </c>
      <c r="B383" s="1" t="n">
        <v>17386002</v>
      </c>
      <c r="C383" s="1" t="s">
        <v>1095</v>
      </c>
      <c r="D383" s="1" t="s">
        <v>1096</v>
      </c>
      <c r="E383" s="1" t="s">
        <v>1597</v>
      </c>
      <c r="F383" s="1" t="s">
        <v>1598</v>
      </c>
      <c r="G383" s="2" t="s">
        <v>28</v>
      </c>
      <c r="H383" s="1" t="n">
        <v>-1</v>
      </c>
      <c r="I383" s="1" t="n">
        <v>-1</v>
      </c>
      <c r="J383" s="1" t="n">
        <v>-1</v>
      </c>
      <c r="K383" s="1" t="n">
        <v>-1</v>
      </c>
      <c r="L383" s="2" t="n">
        <v>3250</v>
      </c>
      <c r="M383" s="1" t="s">
        <v>65</v>
      </c>
      <c r="N383" s="1" t="s">
        <v>105</v>
      </c>
      <c r="O383" s="5" t="n">
        <v>46210.7590277778</v>
      </c>
      <c r="P383" s="5" t="n">
        <v>46224.6979166667</v>
      </c>
      <c r="Q383" s="1" t="n">
        <v>63.5792</v>
      </c>
      <c r="R383" s="1" t="n">
        <v>-121.2009</v>
      </c>
      <c r="S383" s="1" t="s">
        <v>1599</v>
      </c>
      <c r="T383" s="1" t="n">
        <v>2026</v>
      </c>
      <c r="U383" s="1" t="n">
        <v>2026</v>
      </c>
      <c r="V383" s="5" t="n">
        <v>46211.6979166667</v>
      </c>
      <c r="W383" s="6" t="n">
        <v>46387.9999999884</v>
      </c>
    </row>
    <row r="384" customFormat="false" ht="12.75" hidden="false" customHeight="false" outlineLevel="0" collapsed="false">
      <c r="A384" s="1" t="s">
        <v>1600</v>
      </c>
      <c r="B384" s="1" t="n">
        <v>17381254</v>
      </c>
      <c r="C384" s="1" t="s">
        <v>1095</v>
      </c>
      <c r="D384" s="1" t="s">
        <v>1096</v>
      </c>
      <c r="E384" s="1" t="s">
        <v>1601</v>
      </c>
      <c r="F384" s="1" t="s">
        <v>1602</v>
      </c>
      <c r="G384" s="2" t="s">
        <v>28</v>
      </c>
      <c r="H384" s="1" t="n">
        <v>-1</v>
      </c>
      <c r="I384" s="1" t="n">
        <v>-1</v>
      </c>
      <c r="J384" s="1" t="n">
        <v>-1</v>
      </c>
      <c r="K384" s="1" t="n">
        <v>-1</v>
      </c>
      <c r="L384" s="2" t="n">
        <v>5</v>
      </c>
      <c r="M384" s="1" t="s">
        <v>65</v>
      </c>
      <c r="N384" s="1" t="s">
        <v>105</v>
      </c>
      <c r="O384" s="5" t="n">
        <v>46211.0944444445</v>
      </c>
      <c r="P384" s="5" t="n">
        <v>46224.6979166667</v>
      </c>
      <c r="Q384" s="1" t="n">
        <v>62.363</v>
      </c>
      <c r="R384" s="1" t="n">
        <v>-122.448</v>
      </c>
      <c r="S384" s="1" t="s">
        <v>1603</v>
      </c>
      <c r="T384" s="1" t="n">
        <v>2026</v>
      </c>
      <c r="U384" s="1" t="n">
        <v>2026</v>
      </c>
      <c r="V384" s="5" t="n">
        <v>46211.6145833333</v>
      </c>
      <c r="W384" s="6" t="n">
        <v>46387.9999999884</v>
      </c>
    </row>
    <row r="385" customFormat="false" ht="12.75" hidden="false" customHeight="false" outlineLevel="0" collapsed="false">
      <c r="A385" s="1" t="s">
        <v>1604</v>
      </c>
      <c r="B385" s="1" t="n">
        <v>17189939</v>
      </c>
      <c r="C385" s="1" t="s">
        <v>1095</v>
      </c>
      <c r="D385" s="1" t="s">
        <v>1096</v>
      </c>
      <c r="E385" s="1" t="s">
        <v>1605</v>
      </c>
      <c r="F385" s="1" t="s">
        <v>1606</v>
      </c>
      <c r="G385" s="2" t="s">
        <v>28</v>
      </c>
      <c r="H385" s="1" t="n">
        <v>-1</v>
      </c>
      <c r="I385" s="1" t="n">
        <v>-1</v>
      </c>
      <c r="J385" s="1" t="n">
        <v>-1</v>
      </c>
      <c r="K385" s="1" t="n">
        <v>-1</v>
      </c>
      <c r="L385" s="2" t="n">
        <v>3</v>
      </c>
      <c r="M385" s="1" t="s">
        <v>65</v>
      </c>
      <c r="N385" s="1" t="s">
        <v>105</v>
      </c>
      <c r="O385" s="5" t="n">
        <v>46208.9381944445</v>
      </c>
      <c r="P385" s="5" t="n">
        <v>46224.6979166667</v>
      </c>
      <c r="Q385" s="1" t="n">
        <v>62.0623</v>
      </c>
      <c r="R385" s="1" t="n">
        <v>-121.2752</v>
      </c>
      <c r="S385" s="1" t="s">
        <v>1607</v>
      </c>
      <c r="T385" s="1" t="n">
        <v>2026</v>
      </c>
      <c r="U385" s="1" t="n">
        <v>2026</v>
      </c>
      <c r="V385" s="5" t="n">
        <v>46208.9895833333</v>
      </c>
      <c r="W385" s="6" t="n">
        <v>46387.9999999884</v>
      </c>
    </row>
    <row r="386" customFormat="false" ht="12.75" hidden="false" customHeight="false" outlineLevel="0" collapsed="false">
      <c r="A386" s="1" t="s">
        <v>1608</v>
      </c>
      <c r="B386" s="1" t="n">
        <v>17188794</v>
      </c>
      <c r="C386" s="1" t="s">
        <v>1095</v>
      </c>
      <c r="D386" s="1" t="s">
        <v>1118</v>
      </c>
      <c r="E386" s="1" t="s">
        <v>1609</v>
      </c>
      <c r="F386" s="1" t="s">
        <v>1610</v>
      </c>
      <c r="G386" s="2" t="s">
        <v>28</v>
      </c>
      <c r="H386" s="1" t="n">
        <v>-1</v>
      </c>
      <c r="I386" s="1" t="n">
        <v>-1</v>
      </c>
      <c r="J386" s="1" t="n">
        <v>-1</v>
      </c>
      <c r="K386" s="1" t="n">
        <v>-1</v>
      </c>
      <c r="L386" s="2" t="n">
        <v>1.5</v>
      </c>
      <c r="M386" s="1" t="s">
        <v>65</v>
      </c>
      <c r="N386" s="1" t="s">
        <v>105</v>
      </c>
      <c r="O386" s="5" t="n">
        <v>46207.9</v>
      </c>
      <c r="P386" s="5" t="n">
        <v>46224.6979166667</v>
      </c>
      <c r="Q386" s="1" t="n">
        <v>65.7833</v>
      </c>
      <c r="R386" s="1" t="n">
        <v>-128.1544</v>
      </c>
      <c r="S386" s="1" t="s">
        <v>1611</v>
      </c>
      <c r="T386" s="1" t="n">
        <v>2026</v>
      </c>
      <c r="U386" s="1" t="n">
        <v>2026</v>
      </c>
      <c r="V386" s="5" t="n">
        <v>46208.9479166667</v>
      </c>
      <c r="W386" s="6" t="n">
        <v>46387.9999999884</v>
      </c>
    </row>
    <row r="387" customFormat="false" ht="12.75" hidden="false" customHeight="false" outlineLevel="0" collapsed="false">
      <c r="A387" s="1" t="s">
        <v>1612</v>
      </c>
      <c r="B387" s="1" t="n">
        <v>17188699</v>
      </c>
      <c r="C387" s="1" t="s">
        <v>1095</v>
      </c>
      <c r="D387" s="1" t="s">
        <v>1096</v>
      </c>
      <c r="E387" s="1" t="s">
        <v>1613</v>
      </c>
      <c r="F387" s="1" t="s">
        <v>1614</v>
      </c>
      <c r="G387" s="2" t="s">
        <v>28</v>
      </c>
      <c r="H387" s="1" t="n">
        <v>-1</v>
      </c>
      <c r="I387" s="1" t="n">
        <v>-1</v>
      </c>
      <c r="J387" s="1" t="n">
        <v>-1</v>
      </c>
      <c r="K387" s="1" t="n">
        <v>-1</v>
      </c>
      <c r="L387" s="2" t="n">
        <v>73</v>
      </c>
      <c r="M387" s="1" t="s">
        <v>65</v>
      </c>
      <c r="N387" s="1" t="s">
        <v>105</v>
      </c>
      <c r="O387" s="5" t="n">
        <v>46207.8284722222</v>
      </c>
      <c r="P387" s="5" t="n">
        <v>46224.6979166667</v>
      </c>
      <c r="Q387" s="1" t="n">
        <v>62.1117</v>
      </c>
      <c r="R387" s="1" t="n">
        <v>-121.5001</v>
      </c>
      <c r="S387" s="1" t="s">
        <v>1615</v>
      </c>
      <c r="T387" s="1" t="n">
        <v>2026</v>
      </c>
      <c r="U387" s="1" t="n">
        <v>2026</v>
      </c>
      <c r="V387" s="5" t="n">
        <v>46208.9479166667</v>
      </c>
      <c r="W387" s="6" t="n">
        <v>46387.9999999884</v>
      </c>
    </row>
    <row r="388" customFormat="false" ht="12.75" hidden="false" customHeight="false" outlineLevel="0" collapsed="false">
      <c r="A388" s="1" t="s">
        <v>1616</v>
      </c>
      <c r="B388" s="1" t="n">
        <v>17116331</v>
      </c>
      <c r="C388" s="1" t="s">
        <v>1095</v>
      </c>
      <c r="D388" s="1" t="s">
        <v>1118</v>
      </c>
      <c r="E388" s="1" t="s">
        <v>1617</v>
      </c>
      <c r="F388" s="1" t="s">
        <v>1618</v>
      </c>
      <c r="G388" s="2" t="s">
        <v>28</v>
      </c>
      <c r="H388" s="1" t="n">
        <v>-1</v>
      </c>
      <c r="I388" s="1" t="n">
        <v>-1</v>
      </c>
      <c r="J388" s="1" t="n">
        <v>-1</v>
      </c>
      <c r="K388" s="1" t="n">
        <v>-1</v>
      </c>
      <c r="L388" s="2" t="n">
        <v>2</v>
      </c>
      <c r="M388" s="1" t="s">
        <v>65</v>
      </c>
      <c r="N388" s="1" t="s">
        <v>105</v>
      </c>
      <c r="O388" s="5" t="n">
        <v>46201.60625</v>
      </c>
      <c r="P388" s="5" t="n">
        <v>46224.6979166667</v>
      </c>
      <c r="Q388" s="1" t="n">
        <v>67.1867</v>
      </c>
      <c r="R388" s="1" t="n">
        <v>-123.65</v>
      </c>
      <c r="S388" s="1" t="s">
        <v>1619</v>
      </c>
      <c r="T388" s="1" t="n">
        <v>2026</v>
      </c>
      <c r="U388" s="1" t="n">
        <v>2026</v>
      </c>
      <c r="V388" s="5" t="n">
        <v>46207.9479166667</v>
      </c>
      <c r="W388" s="6" t="n">
        <v>46387.9999999884</v>
      </c>
    </row>
    <row r="389" customFormat="false" ht="12.75" hidden="false" customHeight="false" outlineLevel="0" collapsed="false">
      <c r="A389" s="1" t="s">
        <v>1620</v>
      </c>
      <c r="B389" s="1" t="n">
        <v>17116271</v>
      </c>
      <c r="C389" s="1" t="s">
        <v>1095</v>
      </c>
      <c r="D389" s="1" t="s">
        <v>1101</v>
      </c>
      <c r="E389" s="1" t="s">
        <v>1621</v>
      </c>
      <c r="F389" s="1" t="s">
        <v>1622</v>
      </c>
      <c r="G389" s="2" t="s">
        <v>28</v>
      </c>
      <c r="H389" s="1" t="n">
        <v>-1</v>
      </c>
      <c r="I389" s="1" t="n">
        <v>-1</v>
      </c>
      <c r="J389" s="1" t="n">
        <v>-1</v>
      </c>
      <c r="K389" s="1" t="n">
        <v>-1</v>
      </c>
      <c r="L389" s="2" t="n">
        <v>8</v>
      </c>
      <c r="M389" s="1" t="s">
        <v>65</v>
      </c>
      <c r="N389" s="1" t="s">
        <v>105</v>
      </c>
      <c r="O389" s="5" t="n">
        <v>46206.9916666667</v>
      </c>
      <c r="P389" s="5" t="n">
        <v>46224.6979166667</v>
      </c>
      <c r="Q389" s="1" t="n">
        <v>60.5536</v>
      </c>
      <c r="R389" s="1" t="n">
        <v>-118.5322</v>
      </c>
      <c r="S389" s="1" t="s">
        <v>1623</v>
      </c>
      <c r="T389" s="1" t="n">
        <v>2026</v>
      </c>
      <c r="U389" s="1" t="n">
        <v>2026</v>
      </c>
      <c r="V389" s="5" t="n">
        <v>46207.9479166667</v>
      </c>
      <c r="W389" s="6" t="n">
        <v>46387.9999999884</v>
      </c>
    </row>
    <row r="390" customFormat="false" ht="12.75" hidden="false" customHeight="false" outlineLevel="0" collapsed="false">
      <c r="A390" s="1" t="s">
        <v>1624</v>
      </c>
      <c r="B390" s="1" t="n">
        <v>17116332</v>
      </c>
      <c r="C390" s="1" t="s">
        <v>1095</v>
      </c>
      <c r="D390" s="1" t="s">
        <v>1118</v>
      </c>
      <c r="E390" s="1" t="s">
        <v>1625</v>
      </c>
      <c r="F390" s="1" t="s">
        <v>1626</v>
      </c>
      <c r="G390" s="2" t="s">
        <v>28</v>
      </c>
      <c r="H390" s="1" t="n">
        <v>-1</v>
      </c>
      <c r="I390" s="1" t="n">
        <v>-1</v>
      </c>
      <c r="J390" s="1" t="n">
        <v>-1</v>
      </c>
      <c r="K390" s="1" t="n">
        <v>-1</v>
      </c>
      <c r="L390" s="2" t="n">
        <v>77</v>
      </c>
      <c r="M390" s="1" t="s">
        <v>65</v>
      </c>
      <c r="N390" s="1" t="s">
        <v>105</v>
      </c>
      <c r="O390" s="5" t="n">
        <v>46201.6694444444</v>
      </c>
      <c r="P390" s="5" t="n">
        <v>46224.6979166667</v>
      </c>
      <c r="Q390" s="1" t="n">
        <v>67.816</v>
      </c>
      <c r="R390" s="1" t="n">
        <v>-129.0535</v>
      </c>
      <c r="S390" s="1" t="s">
        <v>1627</v>
      </c>
      <c r="T390" s="1" t="n">
        <v>2026</v>
      </c>
      <c r="U390" s="1" t="n">
        <v>2026</v>
      </c>
      <c r="V390" s="5" t="n">
        <v>46207.9479166667</v>
      </c>
      <c r="W390" s="6" t="n">
        <v>46387.9999999884</v>
      </c>
    </row>
    <row r="391" customFormat="false" ht="12.75" hidden="false" customHeight="false" outlineLevel="0" collapsed="false">
      <c r="A391" s="1" t="s">
        <v>1628</v>
      </c>
      <c r="B391" s="1" t="n">
        <v>17116329</v>
      </c>
      <c r="C391" s="1" t="s">
        <v>1095</v>
      </c>
      <c r="D391" s="1" t="s">
        <v>1118</v>
      </c>
      <c r="E391" s="1" t="s">
        <v>1629</v>
      </c>
      <c r="F391" s="1" t="s">
        <v>1630</v>
      </c>
      <c r="G391" s="2" t="s">
        <v>28</v>
      </c>
      <c r="H391" s="1" t="n">
        <v>-1</v>
      </c>
      <c r="I391" s="1" t="n">
        <v>-1</v>
      </c>
      <c r="J391" s="1" t="n">
        <v>-1</v>
      </c>
      <c r="K391" s="1" t="n">
        <v>-1</v>
      </c>
      <c r="L391" s="2" t="n">
        <v>10</v>
      </c>
      <c r="M391" s="1" t="s">
        <v>65</v>
      </c>
      <c r="N391" s="1" t="s">
        <v>105</v>
      </c>
      <c r="O391" s="5" t="n">
        <v>46201.6041666667</v>
      </c>
      <c r="P391" s="5" t="n">
        <v>46224.6979166667</v>
      </c>
      <c r="Q391" s="1" t="n">
        <v>67.287</v>
      </c>
      <c r="R391" s="1" t="n">
        <v>-124.3003</v>
      </c>
      <c r="S391" s="1" t="s">
        <v>1631</v>
      </c>
      <c r="T391" s="1" t="n">
        <v>2026</v>
      </c>
      <c r="U391" s="1" t="n">
        <v>2026</v>
      </c>
      <c r="V391" s="5" t="n">
        <v>46207.9479166667</v>
      </c>
      <c r="W391" s="6" t="n">
        <v>46387.9999999884</v>
      </c>
    </row>
    <row r="392" customFormat="false" ht="12.75" hidden="false" customHeight="false" outlineLevel="0" collapsed="false">
      <c r="A392" s="1" t="s">
        <v>1632</v>
      </c>
      <c r="B392" s="1" t="n">
        <v>17112103</v>
      </c>
      <c r="C392" s="1" t="s">
        <v>1095</v>
      </c>
      <c r="D392" s="1" t="s">
        <v>1118</v>
      </c>
      <c r="E392" s="1" t="s">
        <v>1633</v>
      </c>
      <c r="F392" s="1" t="s">
        <v>1634</v>
      </c>
      <c r="G392" s="2" t="s">
        <v>28</v>
      </c>
      <c r="H392" s="1" t="n">
        <v>-1</v>
      </c>
      <c r="I392" s="1" t="n">
        <v>-1</v>
      </c>
      <c r="J392" s="1" t="n">
        <v>-1</v>
      </c>
      <c r="K392" s="1" t="n">
        <v>-1</v>
      </c>
      <c r="L392" s="2" t="n">
        <v>1</v>
      </c>
      <c r="M392" s="1" t="s">
        <v>65</v>
      </c>
      <c r="N392" s="1" t="s">
        <v>105</v>
      </c>
      <c r="O392" s="5" t="n">
        <v>46204.70625</v>
      </c>
      <c r="P392" s="5" t="n">
        <v>46224.6979166667</v>
      </c>
      <c r="Q392" s="1" t="n">
        <v>67.0663</v>
      </c>
      <c r="R392" s="1" t="n">
        <v>-122.9687</v>
      </c>
      <c r="S392" s="1" t="s">
        <v>1635</v>
      </c>
      <c r="T392" s="1" t="n">
        <v>2026</v>
      </c>
      <c r="U392" s="1" t="n">
        <v>2026</v>
      </c>
      <c r="V392" s="5" t="n">
        <v>46207.8645833333</v>
      </c>
      <c r="W392" s="6" t="n">
        <v>46387.9999999884</v>
      </c>
    </row>
    <row r="393" customFormat="false" ht="12.75" hidden="false" customHeight="false" outlineLevel="0" collapsed="false">
      <c r="A393" s="1" t="s">
        <v>1636</v>
      </c>
      <c r="B393" s="1" t="n">
        <v>17107860</v>
      </c>
      <c r="C393" s="1" t="s">
        <v>1095</v>
      </c>
      <c r="D393" s="1" t="s">
        <v>1118</v>
      </c>
      <c r="E393" s="1" t="s">
        <v>1637</v>
      </c>
      <c r="F393" s="1" t="s">
        <v>1638</v>
      </c>
      <c r="G393" s="2" t="s">
        <v>28</v>
      </c>
      <c r="H393" s="1" t="n">
        <v>-1</v>
      </c>
      <c r="I393" s="1" t="n">
        <v>-1</v>
      </c>
      <c r="J393" s="1" t="n">
        <v>-1</v>
      </c>
      <c r="K393" s="1" t="n">
        <v>-1</v>
      </c>
      <c r="L393" s="2" t="n">
        <v>10</v>
      </c>
      <c r="M393" s="1" t="s">
        <v>65</v>
      </c>
      <c r="N393" s="1" t="s">
        <v>105</v>
      </c>
      <c r="O393" s="5" t="n">
        <v>46204.7041666667</v>
      </c>
      <c r="P393" s="5" t="n">
        <v>46224.6979166667</v>
      </c>
      <c r="Q393" s="1" t="n">
        <v>65.9617</v>
      </c>
      <c r="R393" s="1" t="n">
        <v>-125.3836</v>
      </c>
      <c r="S393" s="1" t="s">
        <v>1639</v>
      </c>
      <c r="T393" s="1" t="n">
        <v>2026</v>
      </c>
      <c r="U393" s="1" t="n">
        <v>2026</v>
      </c>
      <c r="V393" s="5" t="n">
        <v>46207.8229166667</v>
      </c>
      <c r="W393" s="6" t="n">
        <v>46387.9999999884</v>
      </c>
    </row>
    <row r="394" customFormat="false" ht="12.75" hidden="false" customHeight="false" outlineLevel="0" collapsed="false">
      <c r="A394" s="1" t="s">
        <v>1640</v>
      </c>
      <c r="B394" s="1" t="n">
        <v>17057074</v>
      </c>
      <c r="C394" s="1" t="s">
        <v>1095</v>
      </c>
      <c r="D394" s="1" t="s">
        <v>1118</v>
      </c>
      <c r="E394" s="1" t="s">
        <v>1641</v>
      </c>
      <c r="F394" s="1" t="s">
        <v>1642</v>
      </c>
      <c r="G394" s="2" t="s">
        <v>28</v>
      </c>
      <c r="H394" s="1" t="n">
        <v>-1</v>
      </c>
      <c r="I394" s="1" t="n">
        <v>-1</v>
      </c>
      <c r="J394" s="1" t="n">
        <v>-1</v>
      </c>
      <c r="K394" s="1" t="n">
        <v>-1</v>
      </c>
      <c r="L394" s="2" t="n">
        <v>180</v>
      </c>
      <c r="M394" s="1" t="s">
        <v>65</v>
      </c>
      <c r="N394" s="1" t="s">
        <v>105</v>
      </c>
      <c r="O394" s="5" t="n">
        <v>46204.7048611111</v>
      </c>
      <c r="P394" s="5" t="n">
        <v>46224.6979166667</v>
      </c>
      <c r="Q394" s="1" t="n">
        <v>65.7123</v>
      </c>
      <c r="R394" s="1" t="n">
        <v>-124.5665</v>
      </c>
      <c r="S394" s="1" t="s">
        <v>1643</v>
      </c>
      <c r="T394" s="1" t="n">
        <v>2026</v>
      </c>
      <c r="U394" s="1" t="n">
        <v>2026</v>
      </c>
      <c r="V394" s="5" t="n">
        <v>46207.0729166667</v>
      </c>
      <c r="W394" s="6" t="n">
        <v>46387.9999999884</v>
      </c>
    </row>
    <row r="395" customFormat="false" ht="12.75" hidden="false" customHeight="false" outlineLevel="0" collapsed="false">
      <c r="A395" s="1" t="s">
        <v>1644</v>
      </c>
      <c r="B395" s="1" t="n">
        <v>17057075</v>
      </c>
      <c r="C395" s="1" t="s">
        <v>1095</v>
      </c>
      <c r="D395" s="1" t="s">
        <v>1118</v>
      </c>
      <c r="E395" s="1" t="s">
        <v>1645</v>
      </c>
      <c r="F395" s="1" t="s">
        <v>1646</v>
      </c>
      <c r="G395" s="2" t="s">
        <v>28</v>
      </c>
      <c r="H395" s="1" t="n">
        <v>-1</v>
      </c>
      <c r="I395" s="1" t="n">
        <v>-1</v>
      </c>
      <c r="J395" s="1" t="n">
        <v>-1</v>
      </c>
      <c r="K395" s="1" t="n">
        <v>-1</v>
      </c>
      <c r="L395" s="2" t="n">
        <v>50</v>
      </c>
      <c r="M395" s="1" t="s">
        <v>65</v>
      </c>
      <c r="N395" s="1" t="s">
        <v>105</v>
      </c>
      <c r="O395" s="5" t="n">
        <v>46204.7027777778</v>
      </c>
      <c r="P395" s="5" t="n">
        <v>46224.6979166667</v>
      </c>
      <c r="Q395" s="1" t="n">
        <v>65.8674</v>
      </c>
      <c r="R395" s="1" t="n">
        <v>-125.4787</v>
      </c>
      <c r="S395" s="1" t="s">
        <v>1647</v>
      </c>
      <c r="T395" s="1" t="n">
        <v>2026</v>
      </c>
      <c r="U395" s="1" t="n">
        <v>2026</v>
      </c>
      <c r="V395" s="5" t="n">
        <v>46207.0729166667</v>
      </c>
      <c r="W395" s="6" t="n">
        <v>46387.9999999884</v>
      </c>
    </row>
    <row r="396" customFormat="false" ht="12.75" hidden="false" customHeight="false" outlineLevel="0" collapsed="false">
      <c r="A396" s="1" t="s">
        <v>1648</v>
      </c>
      <c r="B396" s="1" t="n">
        <v>17051396</v>
      </c>
      <c r="C396" s="1" t="s">
        <v>1095</v>
      </c>
      <c r="D396" s="1" t="s">
        <v>1118</v>
      </c>
      <c r="E396" s="1" t="s">
        <v>1649</v>
      </c>
      <c r="F396" s="1" t="s">
        <v>1650</v>
      </c>
      <c r="G396" s="2" t="s">
        <v>28</v>
      </c>
      <c r="H396" s="1" t="n">
        <v>-1</v>
      </c>
      <c r="I396" s="1" t="n">
        <v>-1</v>
      </c>
      <c r="J396" s="1" t="n">
        <v>-1</v>
      </c>
      <c r="K396" s="1" t="n">
        <v>-1</v>
      </c>
      <c r="L396" s="2" t="n">
        <v>15</v>
      </c>
      <c r="M396" s="1" t="s">
        <v>65</v>
      </c>
      <c r="N396" s="1" t="s">
        <v>105</v>
      </c>
      <c r="O396" s="5" t="n">
        <v>46201.0652777778</v>
      </c>
      <c r="P396" s="5" t="n">
        <v>46224.6979166667</v>
      </c>
      <c r="Q396" s="1" t="n">
        <v>64.3053</v>
      </c>
      <c r="R396" s="1" t="n">
        <v>-123.3517</v>
      </c>
      <c r="S396" s="1" t="s">
        <v>1651</v>
      </c>
      <c r="T396" s="1" t="n">
        <v>2026</v>
      </c>
      <c r="U396" s="1" t="n">
        <v>2026</v>
      </c>
      <c r="V396" s="5" t="n">
        <v>46206.9895833333</v>
      </c>
      <c r="W396" s="6" t="n">
        <v>46387.9999999884</v>
      </c>
    </row>
    <row r="397" customFormat="false" ht="12.75" hidden="false" customHeight="false" outlineLevel="0" collapsed="false">
      <c r="A397" s="1" t="s">
        <v>1652</v>
      </c>
      <c r="B397" s="1" t="n">
        <v>17051395</v>
      </c>
      <c r="C397" s="1" t="s">
        <v>1095</v>
      </c>
      <c r="D397" s="1" t="s">
        <v>1118</v>
      </c>
      <c r="E397" s="1" t="s">
        <v>1653</v>
      </c>
      <c r="F397" s="1" t="s">
        <v>1654</v>
      </c>
      <c r="G397" s="2" t="s">
        <v>28</v>
      </c>
      <c r="H397" s="1" t="n">
        <v>-1</v>
      </c>
      <c r="I397" s="1" t="n">
        <v>-1</v>
      </c>
      <c r="J397" s="1" t="n">
        <v>-1</v>
      </c>
      <c r="K397" s="1" t="n">
        <v>-1</v>
      </c>
      <c r="L397" s="2" t="n">
        <v>1</v>
      </c>
      <c r="M397" s="1" t="s">
        <v>65</v>
      </c>
      <c r="N397" s="1" t="s">
        <v>105</v>
      </c>
      <c r="O397" s="5" t="n">
        <v>46201.0277777778</v>
      </c>
      <c r="P397" s="5" t="n">
        <v>46224.6979166667</v>
      </c>
      <c r="Q397" s="1" t="n">
        <v>64.3711</v>
      </c>
      <c r="R397" s="1" t="n">
        <v>-126.6057</v>
      </c>
      <c r="S397" s="1" t="s">
        <v>1655</v>
      </c>
      <c r="T397" s="1" t="n">
        <v>2026</v>
      </c>
      <c r="U397" s="1" t="n">
        <v>2026</v>
      </c>
      <c r="V397" s="5" t="n">
        <v>46206.9895833333</v>
      </c>
      <c r="W397" s="6" t="n">
        <v>46387.9999999884</v>
      </c>
    </row>
    <row r="398" customFormat="false" ht="12.75" hidden="false" customHeight="false" outlineLevel="0" collapsed="false">
      <c r="A398" s="1" t="s">
        <v>1656</v>
      </c>
      <c r="B398" s="1" t="n">
        <v>17048470</v>
      </c>
      <c r="C398" s="1" t="s">
        <v>1095</v>
      </c>
      <c r="D398" s="1" t="s">
        <v>1118</v>
      </c>
      <c r="E398" s="1" t="s">
        <v>1657</v>
      </c>
      <c r="F398" s="1" t="s">
        <v>1658</v>
      </c>
      <c r="G398" s="2" t="s">
        <v>28</v>
      </c>
      <c r="H398" s="1" t="n">
        <v>-1</v>
      </c>
      <c r="I398" s="1" t="n">
        <v>-1</v>
      </c>
      <c r="J398" s="1" t="n">
        <v>-1</v>
      </c>
      <c r="K398" s="1" t="n">
        <v>-1</v>
      </c>
      <c r="L398" s="2" t="n">
        <v>50</v>
      </c>
      <c r="M398" s="1" t="s">
        <v>65</v>
      </c>
      <c r="N398" s="1" t="s">
        <v>105</v>
      </c>
      <c r="O398" s="5" t="n">
        <v>46201.6236111111</v>
      </c>
      <c r="P398" s="5" t="n">
        <v>46224.6979166667</v>
      </c>
      <c r="Q398" s="1" t="n">
        <v>64.0587</v>
      </c>
      <c r="R398" s="1" t="n">
        <v>-126.4</v>
      </c>
      <c r="S398" s="1" t="s">
        <v>1659</v>
      </c>
      <c r="T398" s="1" t="n">
        <v>2026</v>
      </c>
      <c r="U398" s="1" t="n">
        <v>2026</v>
      </c>
      <c r="V398" s="5" t="n">
        <v>46206.9479166667</v>
      </c>
      <c r="W398" s="6" t="n">
        <v>46387.9999999884</v>
      </c>
    </row>
    <row r="399" customFormat="false" ht="12.75" hidden="false" customHeight="false" outlineLevel="0" collapsed="false">
      <c r="A399" s="1" t="s">
        <v>1660</v>
      </c>
      <c r="B399" s="1" t="n">
        <v>16977685</v>
      </c>
      <c r="C399" s="1" t="s">
        <v>1095</v>
      </c>
      <c r="D399" s="1" t="s">
        <v>1096</v>
      </c>
      <c r="E399" s="1" t="s">
        <v>1661</v>
      </c>
      <c r="F399" s="1" t="s">
        <v>1662</v>
      </c>
      <c r="G399" s="2" t="s">
        <v>28</v>
      </c>
      <c r="H399" s="1" t="n">
        <v>-1</v>
      </c>
      <c r="I399" s="1" t="n">
        <v>-1</v>
      </c>
      <c r="J399" s="1" t="n">
        <v>-1</v>
      </c>
      <c r="K399" s="1" t="n">
        <v>-1</v>
      </c>
      <c r="L399" s="2" t="n">
        <v>0.75</v>
      </c>
      <c r="M399" s="1" t="s">
        <v>65</v>
      </c>
      <c r="N399" s="1" t="s">
        <v>105</v>
      </c>
      <c r="O399" s="5" t="n">
        <v>46202.0152777778</v>
      </c>
      <c r="P399" s="5" t="n">
        <v>46224.6979166667</v>
      </c>
      <c r="Q399" s="1" t="n">
        <v>62.8667</v>
      </c>
      <c r="R399" s="1" t="n">
        <v>-123.1</v>
      </c>
      <c r="S399" s="1" t="s">
        <v>1663</v>
      </c>
      <c r="T399" s="1" t="n">
        <v>2026</v>
      </c>
      <c r="U399" s="1" t="n">
        <v>2026</v>
      </c>
      <c r="V399" s="5" t="n">
        <v>46205.9479166667</v>
      </c>
      <c r="W399" s="6" t="n">
        <v>46387.9999999884</v>
      </c>
    </row>
    <row r="400" customFormat="false" ht="12.75" hidden="false" customHeight="false" outlineLevel="0" collapsed="false">
      <c r="A400" s="1" t="s">
        <v>1664</v>
      </c>
      <c r="B400" s="1" t="n">
        <v>16977684</v>
      </c>
      <c r="C400" s="1" t="s">
        <v>1095</v>
      </c>
      <c r="D400" s="1" t="s">
        <v>1096</v>
      </c>
      <c r="E400" s="1" t="s">
        <v>1665</v>
      </c>
      <c r="F400" s="1" t="s">
        <v>1666</v>
      </c>
      <c r="G400" s="2" t="s">
        <v>28</v>
      </c>
      <c r="H400" s="1" t="n">
        <v>-1</v>
      </c>
      <c r="I400" s="1" t="n">
        <v>-1</v>
      </c>
      <c r="J400" s="1" t="n">
        <v>-1</v>
      </c>
      <c r="K400" s="1" t="n">
        <v>-1</v>
      </c>
      <c r="L400" s="2" t="n">
        <v>2</v>
      </c>
      <c r="M400" s="1" t="s">
        <v>65</v>
      </c>
      <c r="N400" s="1" t="s">
        <v>105</v>
      </c>
      <c r="O400" s="5" t="n">
        <v>46203.8645833333</v>
      </c>
      <c r="P400" s="5" t="n">
        <v>46224.6979166667</v>
      </c>
      <c r="Q400" s="1" t="n">
        <v>62.5925</v>
      </c>
      <c r="R400" s="1" t="n">
        <v>-123.0974</v>
      </c>
      <c r="S400" s="1" t="s">
        <v>1667</v>
      </c>
      <c r="T400" s="1" t="n">
        <v>2026</v>
      </c>
      <c r="U400" s="1" t="n">
        <v>2026</v>
      </c>
      <c r="V400" s="5" t="n">
        <v>46205.9479166667</v>
      </c>
      <c r="W400" s="6" t="n">
        <v>46387.9999999884</v>
      </c>
    </row>
    <row r="401" customFormat="false" ht="12.75" hidden="false" customHeight="false" outlineLevel="0" collapsed="false">
      <c r="A401" s="1" t="s">
        <v>1668</v>
      </c>
      <c r="B401" s="1" t="n">
        <v>16973048</v>
      </c>
      <c r="C401" s="1" t="s">
        <v>1095</v>
      </c>
      <c r="D401" s="1" t="s">
        <v>1096</v>
      </c>
      <c r="E401" s="1" t="s">
        <v>1669</v>
      </c>
      <c r="F401" s="1" t="s">
        <v>1670</v>
      </c>
      <c r="G401" s="2" t="s">
        <v>28</v>
      </c>
      <c r="H401" s="1" t="n">
        <v>-1</v>
      </c>
      <c r="I401" s="1" t="n">
        <v>-1</v>
      </c>
      <c r="J401" s="1" t="n">
        <v>-1</v>
      </c>
      <c r="K401" s="1" t="n">
        <v>-1</v>
      </c>
      <c r="L401" s="2" t="n">
        <v>1</v>
      </c>
      <c r="M401" s="1" t="s">
        <v>65</v>
      </c>
      <c r="N401" s="1" t="s">
        <v>105</v>
      </c>
      <c r="O401" s="5" t="n">
        <v>46201.0520833333</v>
      </c>
      <c r="P401" s="5" t="n">
        <v>46224.6979166667</v>
      </c>
      <c r="Q401" s="1" t="n">
        <v>61.5054</v>
      </c>
      <c r="R401" s="1" t="n">
        <v>-121.7542</v>
      </c>
      <c r="S401" s="1" t="s">
        <v>1671</v>
      </c>
      <c r="T401" s="1" t="n">
        <v>2026</v>
      </c>
      <c r="U401" s="1" t="n">
        <v>2026</v>
      </c>
      <c r="V401" s="5" t="n">
        <v>46205.90625</v>
      </c>
      <c r="W401" s="6" t="n">
        <v>46387.9999999884</v>
      </c>
    </row>
    <row r="402" customFormat="false" ht="12.75" hidden="false" customHeight="false" outlineLevel="0" collapsed="false">
      <c r="A402" s="1" t="s">
        <v>1672</v>
      </c>
      <c r="B402" s="1" t="n">
        <v>16913690</v>
      </c>
      <c r="C402" s="1" t="s">
        <v>1095</v>
      </c>
      <c r="D402" s="1" t="s">
        <v>1096</v>
      </c>
      <c r="E402" s="1" t="s">
        <v>1673</v>
      </c>
      <c r="F402" s="1" t="s">
        <v>1674</v>
      </c>
      <c r="G402" s="2" t="s">
        <v>28</v>
      </c>
      <c r="H402" s="1" t="n">
        <v>-1</v>
      </c>
      <c r="I402" s="1" t="n">
        <v>-1</v>
      </c>
      <c r="J402" s="1" t="n">
        <v>-1</v>
      </c>
      <c r="K402" s="1" t="n">
        <v>-1</v>
      </c>
      <c r="L402" s="2" t="n">
        <v>576</v>
      </c>
      <c r="M402" s="1" t="s">
        <v>65</v>
      </c>
      <c r="N402" s="1" t="s">
        <v>105</v>
      </c>
      <c r="O402" s="5" t="n">
        <v>46202.8541666667</v>
      </c>
      <c r="P402" s="5" t="n">
        <v>46224.6979166667</v>
      </c>
      <c r="Q402" s="1" t="n">
        <v>63.3732</v>
      </c>
      <c r="R402" s="1" t="n">
        <v>-123.2237</v>
      </c>
      <c r="S402" s="1" t="s">
        <v>1675</v>
      </c>
      <c r="T402" s="1" t="n">
        <v>2026</v>
      </c>
      <c r="U402" s="1" t="n">
        <v>2026</v>
      </c>
      <c r="V402" s="5" t="n">
        <v>46205.03125</v>
      </c>
      <c r="W402" s="6" t="n">
        <v>46387.9999999884</v>
      </c>
    </row>
    <row r="403" customFormat="false" ht="12.75" hidden="false" customHeight="false" outlineLevel="0" collapsed="false">
      <c r="A403" s="1" t="s">
        <v>1676</v>
      </c>
      <c r="B403" s="1" t="n">
        <v>16850705</v>
      </c>
      <c r="C403" s="1" t="s">
        <v>1095</v>
      </c>
      <c r="D403" s="1" t="s">
        <v>1101</v>
      </c>
      <c r="E403" s="1" t="s">
        <v>1677</v>
      </c>
      <c r="F403" s="1" t="s">
        <v>1678</v>
      </c>
      <c r="G403" s="2" t="s">
        <v>28</v>
      </c>
      <c r="H403" s="1" t="n">
        <v>-1</v>
      </c>
      <c r="I403" s="1" t="n">
        <v>-1</v>
      </c>
      <c r="J403" s="1" t="n">
        <v>-1</v>
      </c>
      <c r="K403" s="1" t="n">
        <v>-1</v>
      </c>
      <c r="L403" s="2" t="n">
        <v>156</v>
      </c>
      <c r="M403" s="1" t="s">
        <v>65</v>
      </c>
      <c r="N403" s="1" t="s">
        <v>105</v>
      </c>
      <c r="O403" s="5" t="n">
        <v>46197.8</v>
      </c>
      <c r="P403" s="5" t="n">
        <v>46224.6979166667</v>
      </c>
      <c r="Q403" s="1" t="n">
        <v>60.9446</v>
      </c>
      <c r="R403" s="1" t="n">
        <v>-105.3483</v>
      </c>
      <c r="S403" s="1" t="s">
        <v>1679</v>
      </c>
      <c r="T403" s="1" t="n">
        <v>2026</v>
      </c>
      <c r="U403" s="1" t="n">
        <v>2026</v>
      </c>
      <c r="V403" s="5" t="n">
        <v>46204.1145833333</v>
      </c>
      <c r="W403" s="6" t="n">
        <v>46387.9999999884</v>
      </c>
    </row>
    <row r="404" customFormat="false" ht="12.75" hidden="false" customHeight="false" outlineLevel="0" collapsed="false">
      <c r="A404" s="1" t="s">
        <v>1680</v>
      </c>
      <c r="B404" s="1" t="n">
        <v>16849403</v>
      </c>
      <c r="C404" s="1" t="s">
        <v>1095</v>
      </c>
      <c r="D404" s="1" t="s">
        <v>1101</v>
      </c>
      <c r="E404" s="1" t="s">
        <v>1681</v>
      </c>
      <c r="F404" s="1" t="s">
        <v>1682</v>
      </c>
      <c r="G404" s="2" t="s">
        <v>28</v>
      </c>
      <c r="H404" s="1" t="n">
        <v>-1</v>
      </c>
      <c r="I404" s="1" t="n">
        <v>-1</v>
      </c>
      <c r="J404" s="1" t="n">
        <v>-1</v>
      </c>
      <c r="K404" s="1" t="n">
        <v>-1</v>
      </c>
      <c r="L404" s="2" t="n">
        <v>60</v>
      </c>
      <c r="M404" s="1" t="s">
        <v>65</v>
      </c>
      <c r="N404" s="1" t="s">
        <v>105</v>
      </c>
      <c r="O404" s="5" t="n">
        <v>46199.6208333333</v>
      </c>
      <c r="P404" s="5" t="n">
        <v>46224.6979166667</v>
      </c>
      <c r="Q404" s="1" t="n">
        <v>60.265</v>
      </c>
      <c r="R404" s="1" t="n">
        <v>-103.3907</v>
      </c>
      <c r="S404" s="1" t="s">
        <v>1683</v>
      </c>
      <c r="T404" s="1" t="n">
        <v>2026</v>
      </c>
      <c r="U404" s="1" t="n">
        <v>2026</v>
      </c>
      <c r="V404" s="5" t="n">
        <v>46204.0729166667</v>
      </c>
      <c r="W404" s="6" t="n">
        <v>46387.9999999884</v>
      </c>
    </row>
    <row r="405" customFormat="false" ht="12.75" hidden="false" customHeight="false" outlineLevel="0" collapsed="false">
      <c r="A405" s="1" t="s">
        <v>1684</v>
      </c>
      <c r="B405" s="1" t="n">
        <v>16849402</v>
      </c>
      <c r="C405" s="1" t="s">
        <v>1095</v>
      </c>
      <c r="D405" s="1" t="s">
        <v>1101</v>
      </c>
      <c r="E405" s="1" t="s">
        <v>1685</v>
      </c>
      <c r="F405" s="1" t="s">
        <v>1686</v>
      </c>
      <c r="G405" s="2" t="s">
        <v>28</v>
      </c>
      <c r="H405" s="1" t="n">
        <v>-1</v>
      </c>
      <c r="I405" s="1" t="n">
        <v>-1</v>
      </c>
      <c r="J405" s="1" t="n">
        <v>-1</v>
      </c>
      <c r="K405" s="1" t="n">
        <v>-1</v>
      </c>
      <c r="L405" s="2" t="n">
        <v>57</v>
      </c>
      <c r="M405" s="1" t="s">
        <v>65</v>
      </c>
      <c r="N405" s="1" t="s">
        <v>105</v>
      </c>
      <c r="O405" s="5" t="n">
        <v>46203.0527777778</v>
      </c>
      <c r="P405" s="5" t="n">
        <v>46224.6979166667</v>
      </c>
      <c r="Q405" s="1" t="n">
        <v>60.3718</v>
      </c>
      <c r="R405" s="1" t="n">
        <v>-102.9532</v>
      </c>
      <c r="S405" s="1" t="s">
        <v>1687</v>
      </c>
      <c r="T405" s="1" t="n">
        <v>2026</v>
      </c>
      <c r="U405" s="1" t="n">
        <v>2026</v>
      </c>
      <c r="V405" s="5" t="n">
        <v>46204.0729166667</v>
      </c>
      <c r="W405" s="6" t="n">
        <v>46387.9999999884</v>
      </c>
    </row>
    <row r="406" customFormat="false" ht="12.75" hidden="false" customHeight="false" outlineLevel="0" collapsed="false">
      <c r="A406" s="1" t="s">
        <v>1688</v>
      </c>
      <c r="B406" s="1" t="n">
        <v>16845982</v>
      </c>
      <c r="C406" s="1" t="s">
        <v>1095</v>
      </c>
      <c r="D406" s="1" t="s">
        <v>1118</v>
      </c>
      <c r="E406" s="1" t="s">
        <v>1689</v>
      </c>
      <c r="F406" s="1" t="s">
        <v>1690</v>
      </c>
      <c r="G406" s="2" t="s">
        <v>28</v>
      </c>
      <c r="H406" s="1" t="n">
        <v>-1</v>
      </c>
      <c r="I406" s="1" t="n">
        <v>-1</v>
      </c>
      <c r="J406" s="1" t="n">
        <v>-1</v>
      </c>
      <c r="K406" s="1" t="n">
        <v>-1</v>
      </c>
      <c r="L406" s="2" t="n">
        <v>1</v>
      </c>
      <c r="M406" s="1" t="s">
        <v>65</v>
      </c>
      <c r="N406" s="1" t="s">
        <v>105</v>
      </c>
      <c r="O406" s="5" t="n">
        <v>46203.70625</v>
      </c>
      <c r="P406" s="5" t="n">
        <v>46224.6979166667</v>
      </c>
      <c r="Q406" s="1" t="n">
        <v>65.6847</v>
      </c>
      <c r="R406" s="1" t="n">
        <v>-118.8143</v>
      </c>
      <c r="S406" s="1" t="s">
        <v>1691</v>
      </c>
      <c r="T406" s="1" t="n">
        <v>2026</v>
      </c>
      <c r="U406" s="1" t="n">
        <v>2026</v>
      </c>
      <c r="V406" s="5" t="n">
        <v>46204.03125</v>
      </c>
      <c r="W406" s="6" t="n">
        <v>46387.9999999884</v>
      </c>
    </row>
    <row r="407" customFormat="false" ht="12.75" hidden="false" customHeight="false" outlineLevel="0" collapsed="false">
      <c r="A407" s="1" t="s">
        <v>1692</v>
      </c>
      <c r="B407" s="1" t="n">
        <v>16845981</v>
      </c>
      <c r="C407" s="1" t="s">
        <v>1095</v>
      </c>
      <c r="D407" s="1" t="s">
        <v>1118</v>
      </c>
      <c r="E407" s="1" t="s">
        <v>1693</v>
      </c>
      <c r="F407" s="1" t="s">
        <v>1694</v>
      </c>
      <c r="G407" s="2" t="s">
        <v>28</v>
      </c>
      <c r="H407" s="1" t="n">
        <v>-1</v>
      </c>
      <c r="I407" s="1" t="n">
        <v>-1</v>
      </c>
      <c r="J407" s="1" t="n">
        <v>-1</v>
      </c>
      <c r="K407" s="1" t="n">
        <v>-1</v>
      </c>
      <c r="L407" s="2" t="n">
        <v>200</v>
      </c>
      <c r="M407" s="1" t="s">
        <v>65</v>
      </c>
      <c r="N407" s="1" t="s">
        <v>105</v>
      </c>
      <c r="O407" s="5" t="n">
        <v>46197.125</v>
      </c>
      <c r="P407" s="5" t="n">
        <v>46224.6979166667</v>
      </c>
      <c r="Q407" s="1" t="n">
        <v>65.5519</v>
      </c>
      <c r="R407" s="1" t="n">
        <v>-118.851</v>
      </c>
      <c r="S407" s="1" t="s">
        <v>1695</v>
      </c>
      <c r="T407" s="1" t="n">
        <v>2026</v>
      </c>
      <c r="U407" s="1" t="n">
        <v>2026</v>
      </c>
      <c r="V407" s="5" t="n">
        <v>46204.03125</v>
      </c>
      <c r="W407" s="6" t="n">
        <v>46387.9999999884</v>
      </c>
    </row>
    <row r="408" customFormat="false" ht="12.75" hidden="false" customHeight="false" outlineLevel="0" collapsed="false">
      <c r="A408" s="1" t="s">
        <v>1696</v>
      </c>
      <c r="B408" s="1" t="n">
        <v>16820723</v>
      </c>
      <c r="C408" s="1" t="s">
        <v>1095</v>
      </c>
      <c r="D408" s="1" t="s">
        <v>1131</v>
      </c>
      <c r="E408" s="1" t="s">
        <v>1697</v>
      </c>
      <c r="F408" s="1" t="s">
        <v>1698</v>
      </c>
      <c r="G408" s="2" t="s">
        <v>28</v>
      </c>
      <c r="H408" s="1" t="n">
        <v>-1</v>
      </c>
      <c r="I408" s="1" t="n">
        <v>-1</v>
      </c>
      <c r="J408" s="1" t="n">
        <v>-1</v>
      </c>
      <c r="K408" s="1" t="n">
        <v>-1</v>
      </c>
      <c r="L408" s="2" t="n">
        <v>1640</v>
      </c>
      <c r="M408" s="1" t="s">
        <v>65</v>
      </c>
      <c r="N408" s="1" t="s">
        <v>105</v>
      </c>
      <c r="O408" s="5" t="n">
        <v>46200.7993055556</v>
      </c>
      <c r="P408" s="5" t="n">
        <v>46224.6979166667</v>
      </c>
      <c r="Q408" s="1" t="n">
        <v>63.0987</v>
      </c>
      <c r="R408" s="1" t="n">
        <v>-109.6764</v>
      </c>
      <c r="S408" s="1" t="s">
        <v>1699</v>
      </c>
      <c r="T408" s="1" t="n">
        <v>2026</v>
      </c>
      <c r="U408" s="1" t="n">
        <v>2026</v>
      </c>
      <c r="V408" s="5" t="n">
        <v>46203.65625</v>
      </c>
      <c r="W408" s="6" t="n">
        <v>46387.9999999884</v>
      </c>
    </row>
    <row r="409" customFormat="false" ht="12.75" hidden="false" customHeight="false" outlineLevel="0" collapsed="false">
      <c r="A409" s="1" t="s">
        <v>1700</v>
      </c>
      <c r="B409" s="1" t="n">
        <v>16820726</v>
      </c>
      <c r="C409" s="1" t="s">
        <v>1095</v>
      </c>
      <c r="D409" s="1" t="s">
        <v>1131</v>
      </c>
      <c r="E409" s="1" t="s">
        <v>1701</v>
      </c>
      <c r="F409" s="1" t="s">
        <v>1702</v>
      </c>
      <c r="G409" s="2" t="s">
        <v>28</v>
      </c>
      <c r="H409" s="1" t="n">
        <v>-1</v>
      </c>
      <c r="I409" s="1" t="n">
        <v>-1</v>
      </c>
      <c r="J409" s="1" t="n">
        <v>-1</v>
      </c>
      <c r="K409" s="1" t="n">
        <v>-1</v>
      </c>
      <c r="L409" s="2" t="n">
        <v>830</v>
      </c>
      <c r="M409" s="1" t="s">
        <v>65</v>
      </c>
      <c r="N409" s="1" t="s">
        <v>105</v>
      </c>
      <c r="O409" s="5" t="n">
        <v>46201.6451388889</v>
      </c>
      <c r="P409" s="5" t="n">
        <v>46224.6979166667</v>
      </c>
      <c r="Q409" s="1" t="n">
        <v>64.3469</v>
      </c>
      <c r="R409" s="1" t="n">
        <v>-120.3053</v>
      </c>
      <c r="S409" s="1" t="s">
        <v>1703</v>
      </c>
      <c r="T409" s="1" t="n">
        <v>2026</v>
      </c>
      <c r="U409" s="1" t="n">
        <v>2026</v>
      </c>
      <c r="V409" s="5" t="n">
        <v>46203.65625</v>
      </c>
      <c r="W409" s="6" t="n">
        <v>46387.9999999884</v>
      </c>
    </row>
    <row r="410" customFormat="false" ht="12.75" hidden="false" customHeight="false" outlineLevel="0" collapsed="false">
      <c r="A410" s="1" t="s">
        <v>1704</v>
      </c>
      <c r="B410" s="1" t="n">
        <v>16820711</v>
      </c>
      <c r="C410" s="1" t="s">
        <v>1095</v>
      </c>
      <c r="D410" s="1" t="s">
        <v>1131</v>
      </c>
      <c r="E410" s="1" t="s">
        <v>1705</v>
      </c>
      <c r="F410" s="1" t="s">
        <v>1706</v>
      </c>
      <c r="G410" s="2" t="s">
        <v>28</v>
      </c>
      <c r="H410" s="1" t="n">
        <v>-1</v>
      </c>
      <c r="I410" s="1" t="n">
        <v>-1</v>
      </c>
      <c r="J410" s="1" t="n">
        <v>-1</v>
      </c>
      <c r="K410" s="1" t="n">
        <v>-1</v>
      </c>
      <c r="L410" s="2" t="n">
        <v>60</v>
      </c>
      <c r="M410" s="1" t="s">
        <v>65</v>
      </c>
      <c r="N410" s="1" t="s">
        <v>105</v>
      </c>
      <c r="O410" s="5" t="n">
        <v>46197.8034722222</v>
      </c>
      <c r="P410" s="5" t="n">
        <v>46224.6979166667</v>
      </c>
      <c r="Q410" s="1" t="n">
        <v>62.208</v>
      </c>
      <c r="R410" s="1" t="n">
        <v>-104.8672</v>
      </c>
      <c r="S410" s="1" t="s">
        <v>1707</v>
      </c>
      <c r="T410" s="1" t="n">
        <v>2026</v>
      </c>
      <c r="U410" s="1" t="n">
        <v>2026</v>
      </c>
      <c r="V410" s="5" t="n">
        <v>46203.65625</v>
      </c>
      <c r="W410" s="6" t="n">
        <v>46387.9999999884</v>
      </c>
    </row>
    <row r="411" customFormat="false" ht="12.75" hidden="false" customHeight="false" outlineLevel="0" collapsed="false">
      <c r="A411" s="1" t="s">
        <v>1708</v>
      </c>
      <c r="B411" s="1" t="n">
        <v>16820629</v>
      </c>
      <c r="C411" s="1" t="s">
        <v>1095</v>
      </c>
      <c r="D411" s="1" t="s">
        <v>1096</v>
      </c>
      <c r="E411" s="1" t="s">
        <v>1709</v>
      </c>
      <c r="F411" s="1" t="s">
        <v>1710</v>
      </c>
      <c r="G411" s="2" t="s">
        <v>28</v>
      </c>
      <c r="H411" s="1" t="n">
        <v>-1</v>
      </c>
      <c r="I411" s="1" t="n">
        <v>-1</v>
      </c>
      <c r="J411" s="1" t="n">
        <v>-1</v>
      </c>
      <c r="K411" s="1" t="n">
        <v>-1</v>
      </c>
      <c r="L411" s="2" t="n">
        <v>9000</v>
      </c>
      <c r="M411" s="1" t="s">
        <v>29</v>
      </c>
      <c r="N411" s="1" t="s">
        <v>105</v>
      </c>
      <c r="O411" s="5" t="n">
        <v>46197.1333333333</v>
      </c>
      <c r="P411" s="5" t="n">
        <v>46224.6979166667</v>
      </c>
      <c r="Q411" s="1" t="n">
        <v>61.7853</v>
      </c>
      <c r="R411" s="1" t="n">
        <v>-122.1872</v>
      </c>
      <c r="S411" s="1" t="s">
        <v>1711</v>
      </c>
      <c r="T411" s="1" t="n">
        <v>2026</v>
      </c>
      <c r="U411" s="1" t="n">
        <v>2026</v>
      </c>
      <c r="V411" s="5" t="n">
        <v>46203.65625</v>
      </c>
      <c r="W411" s="6" t="n">
        <v>46387.9999999884</v>
      </c>
    </row>
    <row r="412" customFormat="false" ht="12.75" hidden="false" customHeight="false" outlineLevel="0" collapsed="false">
      <c r="A412" s="1" t="s">
        <v>1712</v>
      </c>
      <c r="B412" s="1" t="n">
        <v>16820729</v>
      </c>
      <c r="C412" s="1" t="s">
        <v>1095</v>
      </c>
      <c r="D412" s="1" t="s">
        <v>1131</v>
      </c>
      <c r="E412" s="1" t="s">
        <v>1713</v>
      </c>
      <c r="F412" s="1" t="s">
        <v>1714</v>
      </c>
      <c r="G412" s="2" t="s">
        <v>28</v>
      </c>
      <c r="H412" s="1" t="n">
        <v>-1</v>
      </c>
      <c r="I412" s="1" t="n">
        <v>-1</v>
      </c>
      <c r="J412" s="1" t="n">
        <v>-1</v>
      </c>
      <c r="K412" s="1" t="n">
        <v>-1</v>
      </c>
      <c r="L412" s="2" t="n">
        <v>155</v>
      </c>
      <c r="M412" s="1" t="s">
        <v>65</v>
      </c>
      <c r="N412" s="1" t="s">
        <v>105</v>
      </c>
      <c r="O412" s="5" t="n">
        <v>46201.6375</v>
      </c>
      <c r="P412" s="5" t="n">
        <v>46224.6979166667</v>
      </c>
      <c r="Q412" s="1" t="n">
        <v>62.8912</v>
      </c>
      <c r="R412" s="1" t="n">
        <v>-103.866</v>
      </c>
      <c r="S412" s="1" t="s">
        <v>1715</v>
      </c>
      <c r="T412" s="1" t="n">
        <v>2026</v>
      </c>
      <c r="U412" s="1" t="n">
        <v>2026</v>
      </c>
      <c r="V412" s="5" t="n">
        <v>46203.65625</v>
      </c>
      <c r="W412" s="6" t="n">
        <v>46387.9999999884</v>
      </c>
    </row>
    <row r="413" customFormat="false" ht="12.75" hidden="false" customHeight="false" outlineLevel="0" collapsed="false">
      <c r="A413" s="1" t="s">
        <v>1716</v>
      </c>
      <c r="B413" s="1" t="n">
        <v>16820657</v>
      </c>
      <c r="C413" s="1" t="s">
        <v>1095</v>
      </c>
      <c r="D413" s="1" t="s">
        <v>1101</v>
      </c>
      <c r="E413" s="1" t="s">
        <v>1717</v>
      </c>
      <c r="F413" s="1" t="s">
        <v>1718</v>
      </c>
      <c r="G413" s="2" t="s">
        <v>28</v>
      </c>
      <c r="H413" s="1" t="n">
        <v>-1</v>
      </c>
      <c r="I413" s="1" t="n">
        <v>-1</v>
      </c>
      <c r="J413" s="1" t="n">
        <v>-1</v>
      </c>
      <c r="K413" s="1" t="n">
        <v>-1</v>
      </c>
      <c r="L413" s="2" t="n">
        <v>275</v>
      </c>
      <c r="M413" s="1" t="s">
        <v>65</v>
      </c>
      <c r="N413" s="1" t="s">
        <v>105</v>
      </c>
      <c r="O413" s="5" t="n">
        <v>46196.8993055556</v>
      </c>
      <c r="P413" s="5" t="n">
        <v>46224.6979166667</v>
      </c>
      <c r="Q413" s="1" t="n">
        <v>61.2357</v>
      </c>
      <c r="R413" s="1" t="n">
        <v>-105.8129</v>
      </c>
      <c r="S413" s="1" t="s">
        <v>1719</v>
      </c>
      <c r="T413" s="1" t="n">
        <v>2026</v>
      </c>
      <c r="U413" s="1" t="n">
        <v>2026</v>
      </c>
      <c r="V413" s="5" t="n">
        <v>46203.65625</v>
      </c>
      <c r="W413" s="6" t="n">
        <v>46387.9999999884</v>
      </c>
    </row>
    <row r="414" customFormat="false" ht="12.75" hidden="false" customHeight="false" outlineLevel="0" collapsed="false">
      <c r="A414" s="1" t="s">
        <v>1720</v>
      </c>
      <c r="B414" s="1" t="n">
        <v>16820658</v>
      </c>
      <c r="C414" s="1" t="s">
        <v>1095</v>
      </c>
      <c r="D414" s="1" t="s">
        <v>1101</v>
      </c>
      <c r="E414" s="1" t="s">
        <v>1721</v>
      </c>
      <c r="F414" s="1" t="s">
        <v>1722</v>
      </c>
      <c r="G414" s="2" t="s">
        <v>28</v>
      </c>
      <c r="H414" s="1" t="n">
        <v>-1</v>
      </c>
      <c r="I414" s="1" t="n">
        <v>-1</v>
      </c>
      <c r="J414" s="1" t="n">
        <v>-1</v>
      </c>
      <c r="K414" s="1" t="n">
        <v>-1</v>
      </c>
      <c r="L414" s="2" t="n">
        <v>2000</v>
      </c>
      <c r="M414" s="1" t="s">
        <v>65</v>
      </c>
      <c r="N414" s="1" t="s">
        <v>105</v>
      </c>
      <c r="O414" s="5" t="n">
        <v>46198</v>
      </c>
      <c r="P414" s="5" t="n">
        <v>46224.6979166667</v>
      </c>
      <c r="Q414" s="1" t="n">
        <v>60.156</v>
      </c>
      <c r="R414" s="1" t="n">
        <v>-117.3193</v>
      </c>
      <c r="S414" s="1" t="s">
        <v>1723</v>
      </c>
      <c r="T414" s="1" t="n">
        <v>2026</v>
      </c>
      <c r="U414" s="1" t="n">
        <v>2026</v>
      </c>
      <c r="V414" s="5" t="n">
        <v>46203.65625</v>
      </c>
      <c r="W414" s="6" t="n">
        <v>46387.9999999884</v>
      </c>
    </row>
    <row r="415" customFormat="false" ht="12.75" hidden="false" customHeight="false" outlineLevel="0" collapsed="false">
      <c r="A415" s="1" t="s">
        <v>1724</v>
      </c>
      <c r="B415" s="1" t="n">
        <v>16778853</v>
      </c>
      <c r="C415" s="1" t="s">
        <v>1095</v>
      </c>
      <c r="D415" s="1" t="s">
        <v>1140</v>
      </c>
      <c r="E415" s="1" t="s">
        <v>1725</v>
      </c>
      <c r="F415" s="1" t="s">
        <v>1726</v>
      </c>
      <c r="G415" s="2" t="s">
        <v>28</v>
      </c>
      <c r="H415" s="1" t="n">
        <v>-1</v>
      </c>
      <c r="I415" s="1" t="n">
        <v>-1</v>
      </c>
      <c r="J415" s="1" t="n">
        <v>-1</v>
      </c>
      <c r="K415" s="1" t="n">
        <v>-1</v>
      </c>
      <c r="L415" s="2" t="n">
        <v>500</v>
      </c>
      <c r="M415" s="1" t="s">
        <v>65</v>
      </c>
      <c r="N415" s="1" t="s">
        <v>105</v>
      </c>
      <c r="O415" s="5" t="n">
        <v>46196.9020833333</v>
      </c>
      <c r="P415" s="5" t="n">
        <v>46224.6979166667</v>
      </c>
      <c r="Q415" s="1" t="n">
        <v>65.3428</v>
      </c>
      <c r="R415" s="1" t="n">
        <v>-131.1312</v>
      </c>
      <c r="S415" s="1" t="s">
        <v>1727</v>
      </c>
      <c r="T415" s="1" t="n">
        <v>2026</v>
      </c>
      <c r="U415" s="1" t="n">
        <v>2026</v>
      </c>
      <c r="V415" s="5" t="n">
        <v>46202.9895833333</v>
      </c>
      <c r="W415" s="6" t="n">
        <v>46387.9999999884</v>
      </c>
    </row>
    <row r="416" customFormat="false" ht="12.75" hidden="false" customHeight="false" outlineLevel="0" collapsed="false">
      <c r="A416" s="1" t="s">
        <v>1728</v>
      </c>
      <c r="B416" s="1" t="n">
        <v>16778935</v>
      </c>
      <c r="C416" s="1" t="s">
        <v>1095</v>
      </c>
      <c r="D416" s="1" t="s">
        <v>1118</v>
      </c>
      <c r="E416" s="1" t="s">
        <v>1729</v>
      </c>
      <c r="F416" s="1" t="s">
        <v>1730</v>
      </c>
      <c r="G416" s="2" t="s">
        <v>28</v>
      </c>
      <c r="H416" s="1" t="n">
        <v>-1</v>
      </c>
      <c r="I416" s="1" t="n">
        <v>-1</v>
      </c>
      <c r="J416" s="1" t="n">
        <v>-1</v>
      </c>
      <c r="K416" s="1" t="n">
        <v>-1</v>
      </c>
      <c r="L416" s="2" t="n">
        <v>55</v>
      </c>
      <c r="M416" s="1" t="s">
        <v>65</v>
      </c>
      <c r="N416" s="1" t="s">
        <v>105</v>
      </c>
      <c r="O416" s="5" t="n">
        <v>46201.6222222222</v>
      </c>
      <c r="P416" s="5" t="n">
        <v>46224.6979166667</v>
      </c>
      <c r="Q416" s="1" t="n">
        <v>64.1311</v>
      </c>
      <c r="R416" s="1" t="n">
        <v>-126.1608</v>
      </c>
      <c r="S416" s="1" t="s">
        <v>1731</v>
      </c>
      <c r="T416" s="1" t="n">
        <v>2026</v>
      </c>
      <c r="U416" s="1" t="n">
        <v>2026</v>
      </c>
      <c r="V416" s="5" t="n">
        <v>46202.9895833333</v>
      </c>
      <c r="W416" s="6" t="n">
        <v>46387.9999999884</v>
      </c>
    </row>
    <row r="417" customFormat="false" ht="12.75" hidden="false" customHeight="false" outlineLevel="0" collapsed="false">
      <c r="A417" s="1" t="s">
        <v>1732</v>
      </c>
      <c r="B417" s="1" t="n">
        <v>16773744</v>
      </c>
      <c r="C417" s="1" t="s">
        <v>1095</v>
      </c>
      <c r="D417" s="1" t="s">
        <v>1118</v>
      </c>
      <c r="E417" s="1" t="s">
        <v>1733</v>
      </c>
      <c r="F417" s="1" t="s">
        <v>1734</v>
      </c>
      <c r="G417" s="2" t="s">
        <v>28</v>
      </c>
      <c r="H417" s="1" t="n">
        <v>-1</v>
      </c>
      <c r="I417" s="1" t="n">
        <v>-1</v>
      </c>
      <c r="J417" s="1" t="n">
        <v>-1</v>
      </c>
      <c r="K417" s="1" t="n">
        <v>-1</v>
      </c>
      <c r="L417" s="2" t="n">
        <v>45</v>
      </c>
      <c r="M417" s="1" t="s">
        <v>65</v>
      </c>
      <c r="N417" s="1" t="s">
        <v>105</v>
      </c>
      <c r="O417" s="5" t="n">
        <v>46201.6680555556</v>
      </c>
      <c r="P417" s="5" t="n">
        <v>46224.6979166667</v>
      </c>
      <c r="Q417" s="1" t="n">
        <v>63.6746</v>
      </c>
      <c r="R417" s="1" t="n">
        <v>-125.8367</v>
      </c>
      <c r="S417" s="1" t="s">
        <v>1735</v>
      </c>
      <c r="T417" s="1" t="n">
        <v>2026</v>
      </c>
      <c r="U417" s="1" t="n">
        <v>2026</v>
      </c>
      <c r="V417" s="5" t="n">
        <v>46202.90625</v>
      </c>
      <c r="W417" s="6" t="n">
        <v>46387.9999999884</v>
      </c>
    </row>
    <row r="418" customFormat="false" ht="12.75" hidden="false" customHeight="false" outlineLevel="0" collapsed="false">
      <c r="A418" s="1" t="s">
        <v>1736</v>
      </c>
      <c r="B418" s="1" t="n">
        <v>16773743</v>
      </c>
      <c r="C418" s="1" t="s">
        <v>1095</v>
      </c>
      <c r="D418" s="1" t="s">
        <v>1118</v>
      </c>
      <c r="E418" s="1" t="s">
        <v>1737</v>
      </c>
      <c r="F418" s="1" t="s">
        <v>1738</v>
      </c>
      <c r="G418" s="2" t="s">
        <v>28</v>
      </c>
      <c r="H418" s="1" t="n">
        <v>-1</v>
      </c>
      <c r="I418" s="1" t="n">
        <v>-1</v>
      </c>
      <c r="J418" s="1" t="n">
        <v>-1</v>
      </c>
      <c r="K418" s="1" t="n">
        <v>-1</v>
      </c>
      <c r="L418" s="2" t="n">
        <v>3</v>
      </c>
      <c r="M418" s="1" t="s">
        <v>65</v>
      </c>
      <c r="N418" s="1" t="s">
        <v>105</v>
      </c>
      <c r="O418" s="5" t="n">
        <v>46202.6388888889</v>
      </c>
      <c r="P418" s="5" t="n">
        <v>46224.6979166667</v>
      </c>
      <c r="Q418" s="1" t="n">
        <v>65.9025</v>
      </c>
      <c r="R418" s="1" t="n">
        <v>-127.0598</v>
      </c>
      <c r="S418" s="1" t="s">
        <v>1739</v>
      </c>
      <c r="T418" s="1" t="n">
        <v>2026</v>
      </c>
      <c r="U418" s="1" t="n">
        <v>2026</v>
      </c>
      <c r="V418" s="5" t="n">
        <v>46202.90625</v>
      </c>
      <c r="W418" s="6" t="n">
        <v>46387.9999999884</v>
      </c>
    </row>
    <row r="419" customFormat="false" ht="12.75" hidden="false" customHeight="false" outlineLevel="0" collapsed="false">
      <c r="A419" s="1" t="s">
        <v>1740</v>
      </c>
      <c r="B419" s="1" t="n">
        <v>16768081</v>
      </c>
      <c r="C419" s="1" t="s">
        <v>1095</v>
      </c>
      <c r="D419" s="1" t="s">
        <v>1096</v>
      </c>
      <c r="E419" s="1" t="s">
        <v>1741</v>
      </c>
      <c r="F419" s="1" t="s">
        <v>1742</v>
      </c>
      <c r="G419" s="2" t="s">
        <v>28</v>
      </c>
      <c r="H419" s="1" t="n">
        <v>-1</v>
      </c>
      <c r="I419" s="1" t="n">
        <v>-1</v>
      </c>
      <c r="J419" s="1" t="n">
        <v>-1</v>
      </c>
      <c r="K419" s="1" t="n">
        <v>-1</v>
      </c>
      <c r="L419" s="2" t="n">
        <v>35</v>
      </c>
      <c r="M419" s="1" t="s">
        <v>65</v>
      </c>
      <c r="N419" s="1" t="s">
        <v>105</v>
      </c>
      <c r="O419" s="5" t="n">
        <v>46202.7993055556</v>
      </c>
      <c r="P419" s="5" t="n">
        <v>46224.6979166667</v>
      </c>
      <c r="Q419" s="1" t="n">
        <v>61.9531</v>
      </c>
      <c r="R419" s="1" t="n">
        <v>-123.5314</v>
      </c>
      <c r="S419" s="1" t="s">
        <v>1743</v>
      </c>
      <c r="T419" s="1" t="n">
        <v>2026</v>
      </c>
      <c r="U419" s="1" t="n">
        <v>2026</v>
      </c>
      <c r="V419" s="5" t="n">
        <v>46202.8229166667</v>
      </c>
      <c r="W419" s="6" t="n">
        <v>46387.9999999884</v>
      </c>
    </row>
    <row r="420" customFormat="false" ht="12.75" hidden="false" customHeight="false" outlineLevel="0" collapsed="false">
      <c r="A420" s="1" t="s">
        <v>1744</v>
      </c>
      <c r="B420" s="1" t="n">
        <v>16768080</v>
      </c>
      <c r="C420" s="1" t="s">
        <v>1095</v>
      </c>
      <c r="D420" s="1" t="s">
        <v>1096</v>
      </c>
      <c r="E420" s="1" t="s">
        <v>1745</v>
      </c>
      <c r="F420" s="1" t="s">
        <v>1746</v>
      </c>
      <c r="G420" s="2" t="s">
        <v>28</v>
      </c>
      <c r="H420" s="1" t="n">
        <v>-1</v>
      </c>
      <c r="I420" s="1" t="n">
        <v>-1</v>
      </c>
      <c r="J420" s="1" t="n">
        <v>-1</v>
      </c>
      <c r="K420" s="1" t="n">
        <v>-1</v>
      </c>
      <c r="L420" s="2" t="n">
        <v>400</v>
      </c>
      <c r="M420" s="1" t="s">
        <v>65</v>
      </c>
      <c r="N420" s="1" t="s">
        <v>105</v>
      </c>
      <c r="O420" s="5" t="n">
        <v>46202.7756944444</v>
      </c>
      <c r="P420" s="5" t="n">
        <v>46224.6979166667</v>
      </c>
      <c r="Q420" s="1" t="n">
        <v>63.7872</v>
      </c>
      <c r="R420" s="1" t="n">
        <v>-123.3458</v>
      </c>
      <c r="S420" s="1" t="s">
        <v>1747</v>
      </c>
      <c r="T420" s="1" t="n">
        <v>2026</v>
      </c>
      <c r="U420" s="1" t="n">
        <v>2026</v>
      </c>
      <c r="V420" s="5" t="n">
        <v>46202.8229166667</v>
      </c>
      <c r="W420" s="6" t="n">
        <v>46387.9999999884</v>
      </c>
    </row>
    <row r="421" customFormat="false" ht="12.75" hidden="false" customHeight="false" outlineLevel="0" collapsed="false">
      <c r="A421" s="1" t="s">
        <v>1748</v>
      </c>
      <c r="B421" s="1" t="n">
        <v>16763627</v>
      </c>
      <c r="C421" s="1" t="s">
        <v>1095</v>
      </c>
      <c r="D421" s="1" t="s">
        <v>1096</v>
      </c>
      <c r="E421" s="1" t="s">
        <v>1749</v>
      </c>
      <c r="F421" s="1" t="s">
        <v>1750</v>
      </c>
      <c r="G421" s="2" t="s">
        <v>28</v>
      </c>
      <c r="H421" s="1" t="n">
        <v>-1</v>
      </c>
      <c r="I421" s="1" t="n">
        <v>-1</v>
      </c>
      <c r="J421" s="1" t="n">
        <v>-1</v>
      </c>
      <c r="K421" s="1" t="n">
        <v>-1</v>
      </c>
      <c r="L421" s="2" t="n">
        <v>1200</v>
      </c>
      <c r="M421" s="1" t="s">
        <v>65</v>
      </c>
      <c r="N421" s="1" t="s">
        <v>105</v>
      </c>
      <c r="O421" s="5" t="n">
        <v>46202.7520833333</v>
      </c>
      <c r="P421" s="5" t="n">
        <v>46224.6979166667</v>
      </c>
      <c r="Q421" s="1" t="n">
        <v>62.2242</v>
      </c>
      <c r="R421" s="1" t="n">
        <v>-120.7956</v>
      </c>
      <c r="S421" s="1" t="s">
        <v>1751</v>
      </c>
      <c r="T421" s="1" t="n">
        <v>2026</v>
      </c>
      <c r="U421" s="1" t="n">
        <v>2026</v>
      </c>
      <c r="V421" s="5" t="n">
        <v>46202.78125</v>
      </c>
      <c r="W421" s="6" t="n">
        <v>46387.9999999884</v>
      </c>
    </row>
    <row r="422" customFormat="false" ht="12.75" hidden="false" customHeight="false" outlineLevel="0" collapsed="false">
      <c r="A422" s="1" t="s">
        <v>1752</v>
      </c>
      <c r="B422" s="1" t="n">
        <v>16763626</v>
      </c>
      <c r="C422" s="1" t="s">
        <v>1095</v>
      </c>
      <c r="D422" s="1" t="s">
        <v>1096</v>
      </c>
      <c r="E422" s="1" t="s">
        <v>1753</v>
      </c>
      <c r="F422" s="1" t="s">
        <v>1754</v>
      </c>
      <c r="G422" s="2" t="s">
        <v>28</v>
      </c>
      <c r="H422" s="1" t="n">
        <v>-1</v>
      </c>
      <c r="I422" s="1" t="n">
        <v>-1</v>
      </c>
      <c r="J422" s="1" t="n">
        <v>-1</v>
      </c>
      <c r="K422" s="1" t="n">
        <v>-1</v>
      </c>
      <c r="L422" s="2" t="n">
        <v>50</v>
      </c>
      <c r="M422" s="1" t="s">
        <v>65</v>
      </c>
      <c r="N422" s="1" t="s">
        <v>105</v>
      </c>
      <c r="O422" s="5" t="n">
        <v>46202.6888888889</v>
      </c>
      <c r="P422" s="5" t="n">
        <v>46224.6979166667</v>
      </c>
      <c r="Q422" s="1" t="n">
        <v>60.5188</v>
      </c>
      <c r="R422" s="1" t="n">
        <v>-122.2408</v>
      </c>
      <c r="S422" s="1" t="s">
        <v>1755</v>
      </c>
      <c r="T422" s="1" t="n">
        <v>2026</v>
      </c>
      <c r="U422" s="1" t="n">
        <v>2026</v>
      </c>
      <c r="V422" s="5" t="n">
        <v>46202.78125</v>
      </c>
      <c r="W422" s="6" t="n">
        <v>46387.9999999884</v>
      </c>
    </row>
    <row r="423" customFormat="false" ht="12.75" hidden="false" customHeight="false" outlineLevel="0" collapsed="false">
      <c r="A423" s="1" t="s">
        <v>1756</v>
      </c>
      <c r="B423" s="1" t="n">
        <v>16763628</v>
      </c>
      <c r="C423" s="1" t="s">
        <v>1095</v>
      </c>
      <c r="D423" s="1" t="s">
        <v>1096</v>
      </c>
      <c r="E423" s="1" t="s">
        <v>1757</v>
      </c>
      <c r="F423" s="1" t="s">
        <v>1758</v>
      </c>
      <c r="G423" s="2" t="s">
        <v>28</v>
      </c>
      <c r="H423" s="1" t="n">
        <v>-1</v>
      </c>
      <c r="I423" s="1" t="n">
        <v>-1</v>
      </c>
      <c r="J423" s="1" t="n">
        <v>-1</v>
      </c>
      <c r="K423" s="1" t="n">
        <v>-1</v>
      </c>
      <c r="L423" s="2" t="n">
        <v>5000</v>
      </c>
      <c r="M423" s="1" t="s">
        <v>65</v>
      </c>
      <c r="N423" s="1" t="s">
        <v>105</v>
      </c>
      <c r="O423" s="5" t="n">
        <v>46202.7569444444</v>
      </c>
      <c r="P423" s="5" t="n">
        <v>46224.6979166667</v>
      </c>
      <c r="Q423" s="1" t="n">
        <v>63.2425</v>
      </c>
      <c r="R423" s="1" t="n">
        <v>-121.8656</v>
      </c>
      <c r="S423" s="1" t="s">
        <v>1759</v>
      </c>
      <c r="T423" s="1" t="n">
        <v>2026</v>
      </c>
      <c r="U423" s="1" t="n">
        <v>2026</v>
      </c>
      <c r="V423" s="5" t="n">
        <v>46202.78125</v>
      </c>
      <c r="W423" s="6" t="n">
        <v>46387.9999999884</v>
      </c>
    </row>
    <row r="424" customFormat="false" ht="12.75" hidden="false" customHeight="false" outlineLevel="0" collapsed="false">
      <c r="A424" s="1" t="s">
        <v>1760</v>
      </c>
      <c r="B424" s="1" t="n">
        <v>16758388</v>
      </c>
      <c r="C424" s="1" t="s">
        <v>1095</v>
      </c>
      <c r="D424" s="1" t="s">
        <v>1096</v>
      </c>
      <c r="E424" s="1" t="s">
        <v>1761</v>
      </c>
      <c r="F424" s="1" t="s">
        <v>1762</v>
      </c>
      <c r="G424" s="2" t="s">
        <v>28</v>
      </c>
      <c r="H424" s="1" t="n">
        <v>-1</v>
      </c>
      <c r="I424" s="1" t="n">
        <v>-1</v>
      </c>
      <c r="J424" s="1" t="n">
        <v>-1</v>
      </c>
      <c r="K424" s="1" t="n">
        <v>-1</v>
      </c>
      <c r="L424" s="2" t="n">
        <v>226</v>
      </c>
      <c r="M424" s="1" t="s">
        <v>65</v>
      </c>
      <c r="N424" s="1" t="s">
        <v>105</v>
      </c>
      <c r="O424" s="5" t="n">
        <v>46202.6770833333</v>
      </c>
      <c r="P424" s="5" t="n">
        <v>46224.6979166667</v>
      </c>
      <c r="Q424" s="1" t="n">
        <v>61.2345</v>
      </c>
      <c r="R424" s="1" t="n">
        <v>-121.9746</v>
      </c>
      <c r="S424" s="1" t="s">
        <v>1763</v>
      </c>
      <c r="T424" s="1" t="n">
        <v>2026</v>
      </c>
      <c r="U424" s="1" t="n">
        <v>2026</v>
      </c>
      <c r="V424" s="5" t="n">
        <v>46202.6979166667</v>
      </c>
      <c r="W424" s="6" t="n">
        <v>46387.9999999884</v>
      </c>
    </row>
    <row r="425" customFormat="false" ht="12.75" hidden="false" customHeight="false" outlineLevel="0" collapsed="false">
      <c r="A425" s="1" t="s">
        <v>1764</v>
      </c>
      <c r="B425" s="1" t="n">
        <v>16758387</v>
      </c>
      <c r="C425" s="1" t="s">
        <v>1095</v>
      </c>
      <c r="D425" s="1" t="s">
        <v>1096</v>
      </c>
      <c r="E425" s="1" t="s">
        <v>1765</v>
      </c>
      <c r="F425" s="1" t="s">
        <v>1766</v>
      </c>
      <c r="G425" s="2" t="s">
        <v>28</v>
      </c>
      <c r="H425" s="1" t="n">
        <v>-1</v>
      </c>
      <c r="I425" s="1" t="n">
        <v>-1</v>
      </c>
      <c r="J425" s="1" t="n">
        <v>-1</v>
      </c>
      <c r="K425" s="1" t="n">
        <v>-1</v>
      </c>
      <c r="L425" s="2" t="n">
        <v>800</v>
      </c>
      <c r="M425" s="1" t="s">
        <v>65</v>
      </c>
      <c r="N425" s="1" t="s">
        <v>105</v>
      </c>
      <c r="O425" s="5" t="n">
        <v>46202.6527777778</v>
      </c>
      <c r="P425" s="5" t="n">
        <v>46224.6979166667</v>
      </c>
      <c r="Q425" s="1" t="n">
        <v>61.3088</v>
      </c>
      <c r="R425" s="1" t="n">
        <v>-121.7258</v>
      </c>
      <c r="S425" s="1" t="s">
        <v>1767</v>
      </c>
      <c r="T425" s="1" t="n">
        <v>2026</v>
      </c>
      <c r="U425" s="1" t="n">
        <v>2026</v>
      </c>
      <c r="V425" s="5" t="n">
        <v>46202.6979166667</v>
      </c>
      <c r="W425" s="6" t="n">
        <v>46387.9999999884</v>
      </c>
    </row>
    <row r="426" customFormat="false" ht="12.75" hidden="false" customHeight="false" outlineLevel="0" collapsed="false">
      <c r="A426" s="1" t="s">
        <v>1768</v>
      </c>
      <c r="B426" s="1" t="n">
        <v>16757186</v>
      </c>
      <c r="C426" s="1" t="s">
        <v>1095</v>
      </c>
      <c r="D426" s="1" t="s">
        <v>1131</v>
      </c>
      <c r="E426" s="1" t="s">
        <v>1769</v>
      </c>
      <c r="F426" s="1" t="s">
        <v>1770</v>
      </c>
      <c r="G426" s="2" t="s">
        <v>28</v>
      </c>
      <c r="H426" s="1" t="n">
        <v>-1</v>
      </c>
      <c r="I426" s="1" t="n">
        <v>-1</v>
      </c>
      <c r="J426" s="1" t="n">
        <v>-1</v>
      </c>
      <c r="K426" s="1" t="n">
        <v>-1</v>
      </c>
      <c r="L426" s="2" t="n">
        <v>2</v>
      </c>
      <c r="M426" s="1" t="s">
        <v>65</v>
      </c>
      <c r="N426" s="1" t="s">
        <v>105</v>
      </c>
      <c r="O426" s="5" t="n">
        <v>46200.0222222222</v>
      </c>
      <c r="P426" s="5" t="n">
        <v>46224.6979166667</v>
      </c>
      <c r="Q426" s="1" t="n">
        <v>63.1036</v>
      </c>
      <c r="R426" s="1" t="n">
        <v>-104.1323</v>
      </c>
      <c r="S426" s="1" t="s">
        <v>1771</v>
      </c>
      <c r="T426" s="1" t="n">
        <v>2026</v>
      </c>
      <c r="U426" s="1" t="n">
        <v>2026</v>
      </c>
      <c r="V426" s="5" t="n">
        <v>46202.65625</v>
      </c>
      <c r="W426" s="6" t="n">
        <v>46387.9999999884</v>
      </c>
    </row>
    <row r="427" customFormat="false" ht="12.75" hidden="false" customHeight="false" outlineLevel="0" collapsed="false">
      <c r="A427" s="1" t="s">
        <v>1772</v>
      </c>
      <c r="B427" s="1" t="n">
        <v>16757185</v>
      </c>
      <c r="C427" s="1" t="s">
        <v>1095</v>
      </c>
      <c r="D427" s="1" t="s">
        <v>1131</v>
      </c>
      <c r="E427" s="1" t="s">
        <v>1773</v>
      </c>
      <c r="F427" s="1" t="s">
        <v>1774</v>
      </c>
      <c r="G427" s="2" t="s">
        <v>28</v>
      </c>
      <c r="H427" s="1" t="n">
        <v>-1</v>
      </c>
      <c r="I427" s="1" t="n">
        <v>-1</v>
      </c>
      <c r="J427" s="1" t="n">
        <v>-1</v>
      </c>
      <c r="K427" s="1" t="n">
        <v>-1</v>
      </c>
      <c r="L427" s="2" t="n">
        <v>2</v>
      </c>
      <c r="M427" s="1" t="s">
        <v>65</v>
      </c>
      <c r="N427" s="1" t="s">
        <v>105</v>
      </c>
      <c r="O427" s="5" t="n">
        <v>46200.0208333333</v>
      </c>
      <c r="P427" s="5" t="n">
        <v>46224.6979166667</v>
      </c>
      <c r="Q427" s="1" t="n">
        <v>62.0243</v>
      </c>
      <c r="R427" s="1" t="n">
        <v>-103.8241</v>
      </c>
      <c r="S427" s="1" t="s">
        <v>1775</v>
      </c>
      <c r="T427" s="1" t="n">
        <v>2026</v>
      </c>
      <c r="U427" s="1" t="n">
        <v>2026</v>
      </c>
      <c r="V427" s="5" t="n">
        <v>46202.65625</v>
      </c>
      <c r="W427" s="6" t="n">
        <v>46387.9999999884</v>
      </c>
    </row>
    <row r="428" customFormat="false" ht="12.75" hidden="false" customHeight="false" outlineLevel="0" collapsed="false">
      <c r="A428" s="1" t="s">
        <v>1776</v>
      </c>
      <c r="B428" s="1" t="n">
        <v>16757115</v>
      </c>
      <c r="C428" s="1" t="s">
        <v>1095</v>
      </c>
      <c r="D428" s="1" t="s">
        <v>1096</v>
      </c>
      <c r="E428" s="1" t="s">
        <v>1777</v>
      </c>
      <c r="F428" s="1" t="s">
        <v>1778</v>
      </c>
      <c r="G428" s="2" t="s">
        <v>28</v>
      </c>
      <c r="H428" s="1" t="n">
        <v>-1</v>
      </c>
      <c r="I428" s="1" t="n">
        <v>-1</v>
      </c>
      <c r="J428" s="1" t="n">
        <v>-1</v>
      </c>
      <c r="K428" s="1" t="n">
        <v>-1</v>
      </c>
      <c r="L428" s="2" t="n">
        <v>57</v>
      </c>
      <c r="M428" s="1" t="s">
        <v>65</v>
      </c>
      <c r="N428" s="1" t="s">
        <v>105</v>
      </c>
      <c r="O428" s="5" t="n">
        <v>46202.6423611111</v>
      </c>
      <c r="P428" s="5" t="n">
        <v>46224.6979166667</v>
      </c>
      <c r="Q428" s="1" t="n">
        <v>61.3548</v>
      </c>
      <c r="R428" s="1" t="n">
        <v>-121.1201</v>
      </c>
      <c r="S428" s="1" t="s">
        <v>1779</v>
      </c>
      <c r="T428" s="1" t="n">
        <v>2026</v>
      </c>
      <c r="U428" s="1" t="n">
        <v>2026</v>
      </c>
      <c r="V428" s="5" t="n">
        <v>46202.65625</v>
      </c>
      <c r="W428" s="6" t="n">
        <v>46387.9999999884</v>
      </c>
    </row>
    <row r="429" customFormat="false" ht="12.75" hidden="false" customHeight="false" outlineLevel="0" collapsed="false">
      <c r="A429" s="1" t="s">
        <v>1780</v>
      </c>
      <c r="B429" s="1" t="n">
        <v>16727030</v>
      </c>
      <c r="C429" s="1" t="s">
        <v>1095</v>
      </c>
      <c r="D429" s="1" t="s">
        <v>1101</v>
      </c>
      <c r="E429" s="1" t="s">
        <v>1781</v>
      </c>
      <c r="F429" s="1" t="s">
        <v>1782</v>
      </c>
      <c r="G429" s="2" t="s">
        <v>28</v>
      </c>
      <c r="H429" s="1" t="n">
        <v>-1</v>
      </c>
      <c r="I429" s="1" t="n">
        <v>-1</v>
      </c>
      <c r="J429" s="1" t="n">
        <v>-1</v>
      </c>
      <c r="K429" s="1" t="n">
        <v>-1</v>
      </c>
      <c r="L429" s="2" t="n">
        <v>1</v>
      </c>
      <c r="M429" s="1" t="s">
        <v>29</v>
      </c>
      <c r="N429" s="1" t="s">
        <v>37</v>
      </c>
      <c r="O429" s="5" t="n">
        <v>46199.9520833333</v>
      </c>
      <c r="P429" s="5" t="n">
        <v>46224.6979166667</v>
      </c>
      <c r="Q429" s="1" t="n">
        <v>60.9833</v>
      </c>
      <c r="R429" s="1" t="n">
        <v>-118.4</v>
      </c>
      <c r="S429" s="1" t="s">
        <v>1783</v>
      </c>
      <c r="T429" s="1" t="n">
        <v>2026</v>
      </c>
      <c r="U429" s="1" t="n">
        <v>2026</v>
      </c>
      <c r="V429" s="5" t="n">
        <v>46202.15625</v>
      </c>
      <c r="W429" s="6" t="n">
        <v>46387.9999999884</v>
      </c>
    </row>
    <row r="430" customFormat="false" ht="12.75" hidden="false" customHeight="false" outlineLevel="0" collapsed="false">
      <c r="A430" s="1" t="s">
        <v>1784</v>
      </c>
      <c r="B430" s="1" t="n">
        <v>16713569</v>
      </c>
      <c r="C430" s="1" t="s">
        <v>1095</v>
      </c>
      <c r="D430" s="1" t="s">
        <v>1118</v>
      </c>
      <c r="E430" s="1" t="s">
        <v>1785</v>
      </c>
      <c r="F430" s="1" t="s">
        <v>1786</v>
      </c>
      <c r="G430" s="2" t="s">
        <v>28</v>
      </c>
      <c r="H430" s="1" t="n">
        <v>-1</v>
      </c>
      <c r="I430" s="1" t="n">
        <v>-1</v>
      </c>
      <c r="J430" s="1" t="n">
        <v>-1</v>
      </c>
      <c r="K430" s="1" t="n">
        <v>-1</v>
      </c>
      <c r="L430" s="2" t="n">
        <v>17878</v>
      </c>
      <c r="M430" s="1" t="s">
        <v>29</v>
      </c>
      <c r="N430" s="1" t="s">
        <v>105</v>
      </c>
      <c r="O430" s="5" t="n">
        <v>46187.0270833333</v>
      </c>
      <c r="P430" s="5" t="n">
        <v>46224.6979166667</v>
      </c>
      <c r="Q430" s="1" t="n">
        <v>65.1534</v>
      </c>
      <c r="R430" s="1" t="n">
        <v>-127.2627</v>
      </c>
      <c r="S430" s="1" t="s">
        <v>1787</v>
      </c>
      <c r="T430" s="1" t="n">
        <v>2026</v>
      </c>
      <c r="U430" s="1" t="n">
        <v>2026</v>
      </c>
      <c r="V430" s="5" t="n">
        <v>46201.9479166667</v>
      </c>
      <c r="W430" s="6" t="n">
        <v>46387.9999999884</v>
      </c>
    </row>
    <row r="431" customFormat="false" ht="12.75" hidden="false" customHeight="false" outlineLevel="0" collapsed="false">
      <c r="A431" s="1" t="s">
        <v>1788</v>
      </c>
      <c r="B431" s="1" t="n">
        <v>16713568</v>
      </c>
      <c r="C431" s="1" t="s">
        <v>1095</v>
      </c>
      <c r="D431" s="1" t="s">
        <v>1118</v>
      </c>
      <c r="E431" s="1" t="s">
        <v>1789</v>
      </c>
      <c r="F431" s="1" t="s">
        <v>1790</v>
      </c>
      <c r="G431" s="2" t="s">
        <v>28</v>
      </c>
      <c r="H431" s="1" t="n">
        <v>-1</v>
      </c>
      <c r="I431" s="1" t="n">
        <v>-1</v>
      </c>
      <c r="J431" s="1" t="n">
        <v>-1</v>
      </c>
      <c r="K431" s="1" t="n">
        <v>-1</v>
      </c>
      <c r="L431" s="2" t="n">
        <v>16006</v>
      </c>
      <c r="M431" s="1" t="s">
        <v>29</v>
      </c>
      <c r="N431" s="1" t="s">
        <v>105</v>
      </c>
      <c r="O431" s="5" t="n">
        <v>46186.9791666667</v>
      </c>
      <c r="P431" s="5" t="n">
        <v>46224.6979166667</v>
      </c>
      <c r="Q431" s="1" t="n">
        <v>64.998</v>
      </c>
      <c r="R431" s="1" t="n">
        <v>-127.1543</v>
      </c>
      <c r="S431" s="1" t="s">
        <v>1791</v>
      </c>
      <c r="T431" s="1" t="n">
        <v>2026</v>
      </c>
      <c r="U431" s="1" t="n">
        <v>2026</v>
      </c>
      <c r="V431" s="5" t="n">
        <v>46201.9479166667</v>
      </c>
      <c r="W431" s="6" t="n">
        <v>46387.9999999884</v>
      </c>
    </row>
    <row r="432" customFormat="false" ht="12.75" hidden="false" customHeight="false" outlineLevel="0" collapsed="false">
      <c r="A432" s="1" t="s">
        <v>1792</v>
      </c>
      <c r="B432" s="1" t="n">
        <v>16696777</v>
      </c>
      <c r="C432" s="1" t="s">
        <v>1095</v>
      </c>
      <c r="D432" s="1" t="s">
        <v>1096</v>
      </c>
      <c r="E432" s="1" t="s">
        <v>1793</v>
      </c>
      <c r="F432" s="1" t="s">
        <v>1794</v>
      </c>
      <c r="G432" s="2" t="s">
        <v>28</v>
      </c>
      <c r="H432" s="1" t="n">
        <v>-1</v>
      </c>
      <c r="I432" s="1" t="n">
        <v>-1</v>
      </c>
      <c r="J432" s="1" t="n">
        <v>-1</v>
      </c>
      <c r="K432" s="1" t="n">
        <v>-1</v>
      </c>
      <c r="L432" s="2" t="n">
        <v>30</v>
      </c>
      <c r="M432" s="1" t="s">
        <v>70</v>
      </c>
      <c r="N432" s="1" t="s">
        <v>105</v>
      </c>
      <c r="O432" s="5" t="n">
        <v>46200.625</v>
      </c>
      <c r="P432" s="5" t="n">
        <v>46224.6979166667</v>
      </c>
      <c r="Q432" s="1" t="n">
        <v>62.6195</v>
      </c>
      <c r="R432" s="1" t="n">
        <v>-122.989</v>
      </c>
      <c r="S432" s="1" t="s">
        <v>1795</v>
      </c>
      <c r="T432" s="1" t="n">
        <v>2026</v>
      </c>
      <c r="U432" s="1" t="n">
        <v>2026</v>
      </c>
      <c r="V432" s="5" t="n">
        <v>46201.65625</v>
      </c>
      <c r="W432" s="6" t="n">
        <v>46387.9999999884</v>
      </c>
    </row>
    <row r="433" customFormat="false" ht="12.75" hidden="false" customHeight="false" outlineLevel="0" collapsed="false">
      <c r="A433" s="1" t="s">
        <v>1796</v>
      </c>
      <c r="B433" s="1" t="n">
        <v>16692815</v>
      </c>
      <c r="C433" s="1" t="s">
        <v>1095</v>
      </c>
      <c r="D433" s="1" t="s">
        <v>1096</v>
      </c>
      <c r="E433" s="1" t="s">
        <v>1797</v>
      </c>
      <c r="F433" s="1" t="s">
        <v>1798</v>
      </c>
      <c r="G433" s="2" t="s">
        <v>28</v>
      </c>
      <c r="H433" s="1" t="n">
        <v>-1</v>
      </c>
      <c r="I433" s="1" t="n">
        <v>-1</v>
      </c>
      <c r="J433" s="1" t="n">
        <v>-1</v>
      </c>
      <c r="K433" s="1" t="n">
        <v>-1</v>
      </c>
      <c r="L433" s="2" t="n">
        <v>100</v>
      </c>
      <c r="M433" s="1" t="s">
        <v>29</v>
      </c>
      <c r="N433" s="1" t="s">
        <v>105</v>
      </c>
      <c r="O433" s="5" t="n">
        <v>46201.0104166667</v>
      </c>
      <c r="P433" s="5" t="n">
        <v>46224.6979166667</v>
      </c>
      <c r="Q433" s="1" t="n">
        <v>61.8934</v>
      </c>
      <c r="R433" s="1" t="n">
        <v>-123.0125</v>
      </c>
      <c r="S433" s="1" t="s">
        <v>1799</v>
      </c>
      <c r="T433" s="1" t="n">
        <v>2026</v>
      </c>
      <c r="U433" s="1" t="n">
        <v>2026</v>
      </c>
      <c r="V433" s="5" t="n">
        <v>46201.6145833333</v>
      </c>
      <c r="W433" s="6" t="n">
        <v>46387.9999999884</v>
      </c>
    </row>
    <row r="434" customFormat="false" ht="12.75" hidden="false" customHeight="false" outlineLevel="0" collapsed="false">
      <c r="A434" s="1" t="s">
        <v>1800</v>
      </c>
      <c r="B434" s="1" t="n">
        <v>16692814</v>
      </c>
      <c r="C434" s="1" t="s">
        <v>1095</v>
      </c>
      <c r="D434" s="1" t="s">
        <v>1096</v>
      </c>
      <c r="E434" s="1" t="s">
        <v>1801</v>
      </c>
      <c r="F434" s="1" t="s">
        <v>1802</v>
      </c>
      <c r="G434" s="2" t="s">
        <v>28</v>
      </c>
      <c r="H434" s="1" t="n">
        <v>-1</v>
      </c>
      <c r="I434" s="1" t="n">
        <v>-1</v>
      </c>
      <c r="J434" s="1" t="n">
        <v>-1</v>
      </c>
      <c r="K434" s="1" t="n">
        <v>-1</v>
      </c>
      <c r="L434" s="2" t="n">
        <v>25</v>
      </c>
      <c r="M434" s="1" t="s">
        <v>29</v>
      </c>
      <c r="N434" s="1" t="s">
        <v>105</v>
      </c>
      <c r="O434" s="5" t="n">
        <v>46200.5833333333</v>
      </c>
      <c r="P434" s="5" t="n">
        <v>46224.6979166667</v>
      </c>
      <c r="Q434" s="1" t="n">
        <v>60.9988</v>
      </c>
      <c r="R434" s="1" t="n">
        <v>-123.1382</v>
      </c>
      <c r="S434" s="1" t="s">
        <v>1803</v>
      </c>
      <c r="T434" s="1" t="n">
        <v>2026</v>
      </c>
      <c r="U434" s="1" t="n">
        <v>2026</v>
      </c>
      <c r="V434" s="5" t="n">
        <v>46201.6145833333</v>
      </c>
      <c r="W434" s="6" t="n">
        <v>46387.9999999884</v>
      </c>
    </row>
    <row r="435" customFormat="false" ht="12.75" hidden="false" customHeight="false" outlineLevel="0" collapsed="false">
      <c r="A435" s="1" t="s">
        <v>1804</v>
      </c>
      <c r="B435" s="1" t="n">
        <v>16659194</v>
      </c>
      <c r="C435" s="1" t="s">
        <v>1095</v>
      </c>
      <c r="D435" s="1" t="s">
        <v>1118</v>
      </c>
      <c r="E435" s="1" t="s">
        <v>1805</v>
      </c>
      <c r="F435" s="1" t="s">
        <v>1806</v>
      </c>
      <c r="G435" s="2" t="s">
        <v>28</v>
      </c>
      <c r="H435" s="1" t="n">
        <v>-1</v>
      </c>
      <c r="I435" s="1" t="n">
        <v>-1</v>
      </c>
      <c r="J435" s="1" t="n">
        <v>-1</v>
      </c>
      <c r="K435" s="1" t="n">
        <v>-1</v>
      </c>
      <c r="L435" s="2" t="n">
        <v>50</v>
      </c>
      <c r="M435" s="1" t="s">
        <v>65</v>
      </c>
      <c r="N435" s="1" t="s">
        <v>105</v>
      </c>
      <c r="O435" s="5" t="n">
        <v>46200.0388888889</v>
      </c>
      <c r="P435" s="5" t="n">
        <v>46224.6979166667</v>
      </c>
      <c r="Q435" s="1" t="n">
        <v>65.6247</v>
      </c>
      <c r="R435" s="1" t="n">
        <v>-127.7236</v>
      </c>
      <c r="S435" s="1" t="s">
        <v>1807</v>
      </c>
      <c r="T435" s="1" t="n">
        <v>2026</v>
      </c>
      <c r="U435" s="1" t="n">
        <v>2026</v>
      </c>
      <c r="V435" s="5" t="n">
        <v>46201.03125</v>
      </c>
      <c r="W435" s="6" t="n">
        <v>46387.9999999884</v>
      </c>
    </row>
    <row r="436" customFormat="false" ht="12.75" hidden="false" customHeight="false" outlineLevel="0" collapsed="false">
      <c r="A436" s="1" t="s">
        <v>1808</v>
      </c>
      <c r="B436" s="1" t="n">
        <v>16659195</v>
      </c>
      <c r="C436" s="1" t="s">
        <v>1095</v>
      </c>
      <c r="D436" s="1" t="s">
        <v>1118</v>
      </c>
      <c r="E436" s="1" t="s">
        <v>1809</v>
      </c>
      <c r="F436" s="1" t="s">
        <v>1810</v>
      </c>
      <c r="G436" s="2" t="s">
        <v>28</v>
      </c>
      <c r="H436" s="1" t="n">
        <v>-1</v>
      </c>
      <c r="I436" s="1" t="n">
        <v>-1</v>
      </c>
      <c r="J436" s="1" t="n">
        <v>-1</v>
      </c>
      <c r="K436" s="1" t="n">
        <v>-1</v>
      </c>
      <c r="L436" s="2" t="n">
        <v>1.5</v>
      </c>
      <c r="M436" s="1" t="s">
        <v>29</v>
      </c>
      <c r="N436" s="1" t="s">
        <v>105</v>
      </c>
      <c r="O436" s="5" t="n">
        <v>46200.0291666667</v>
      </c>
      <c r="P436" s="5" t="n">
        <v>46224.6979166667</v>
      </c>
      <c r="Q436" s="1" t="n">
        <v>65.2657</v>
      </c>
      <c r="R436" s="1" t="n">
        <v>-125.2875</v>
      </c>
      <c r="S436" s="1" t="s">
        <v>1811</v>
      </c>
      <c r="T436" s="1" t="n">
        <v>2026</v>
      </c>
      <c r="U436" s="1" t="n">
        <v>2026</v>
      </c>
      <c r="V436" s="5" t="n">
        <v>46201.03125</v>
      </c>
      <c r="W436" s="6" t="n">
        <v>46387.9999999884</v>
      </c>
    </row>
    <row r="437" customFormat="false" ht="12.75" hidden="false" customHeight="false" outlineLevel="0" collapsed="false">
      <c r="A437" s="1" t="s">
        <v>1812</v>
      </c>
      <c r="B437" s="1" t="n">
        <v>16659135</v>
      </c>
      <c r="C437" s="1" t="s">
        <v>1095</v>
      </c>
      <c r="D437" s="1" t="s">
        <v>1096</v>
      </c>
      <c r="E437" s="1" t="s">
        <v>1813</v>
      </c>
      <c r="F437" s="1" t="s">
        <v>1814</v>
      </c>
      <c r="G437" s="2" t="s">
        <v>28</v>
      </c>
      <c r="H437" s="1" t="n">
        <v>-1</v>
      </c>
      <c r="I437" s="1" t="n">
        <v>-1</v>
      </c>
      <c r="J437" s="1" t="n">
        <v>-1</v>
      </c>
      <c r="K437" s="1" t="n">
        <v>-1</v>
      </c>
      <c r="L437" s="2" t="n">
        <v>100</v>
      </c>
      <c r="M437" s="1" t="s">
        <v>65</v>
      </c>
      <c r="N437" s="1" t="s">
        <v>105</v>
      </c>
      <c r="O437" s="5" t="n">
        <v>46200.625</v>
      </c>
      <c r="P437" s="5" t="n">
        <v>46224.6979166667</v>
      </c>
      <c r="Q437" s="1" t="n">
        <v>62.9728</v>
      </c>
      <c r="R437" s="1" t="n">
        <v>-122.7937</v>
      </c>
      <c r="S437" s="1" t="s">
        <v>1815</v>
      </c>
      <c r="T437" s="1" t="n">
        <v>2026</v>
      </c>
      <c r="U437" s="1" t="n">
        <v>2026</v>
      </c>
      <c r="V437" s="5" t="n">
        <v>46201.03125</v>
      </c>
      <c r="W437" s="6" t="n">
        <v>46387.9999999884</v>
      </c>
    </row>
    <row r="438" customFormat="false" ht="12.75" hidden="false" customHeight="false" outlineLevel="0" collapsed="false">
      <c r="A438" s="1" t="s">
        <v>1816</v>
      </c>
      <c r="B438" s="1" t="n">
        <v>16659148</v>
      </c>
      <c r="C438" s="1" t="s">
        <v>1095</v>
      </c>
      <c r="D438" s="1" t="s">
        <v>1101</v>
      </c>
      <c r="E438" s="1" t="s">
        <v>1817</v>
      </c>
      <c r="F438" s="1" t="s">
        <v>1818</v>
      </c>
      <c r="G438" s="2" t="s">
        <v>28</v>
      </c>
      <c r="H438" s="1" t="n">
        <v>-1</v>
      </c>
      <c r="I438" s="1" t="n">
        <v>-1</v>
      </c>
      <c r="J438" s="1" t="n">
        <v>-1</v>
      </c>
      <c r="K438" s="1" t="n">
        <v>-1</v>
      </c>
      <c r="L438" s="2" t="n">
        <v>200</v>
      </c>
      <c r="M438" s="1" t="s">
        <v>29</v>
      </c>
      <c r="N438" s="1" t="s">
        <v>105</v>
      </c>
      <c r="O438" s="5" t="n">
        <v>46198.85625</v>
      </c>
      <c r="P438" s="5" t="n">
        <v>46224.6979166667</v>
      </c>
      <c r="Q438" s="1" t="n">
        <v>60.0259</v>
      </c>
      <c r="R438" s="1" t="n">
        <v>-116.9777</v>
      </c>
      <c r="S438" s="1" t="s">
        <v>1819</v>
      </c>
      <c r="T438" s="1" t="n">
        <v>2026</v>
      </c>
      <c r="U438" s="1" t="n">
        <v>2026</v>
      </c>
      <c r="V438" s="5" t="n">
        <v>46201.03125</v>
      </c>
      <c r="W438" s="6" t="n">
        <v>46387.9999999884</v>
      </c>
    </row>
    <row r="439" customFormat="false" ht="12.75" hidden="false" customHeight="false" outlineLevel="0" collapsed="false">
      <c r="A439" s="1" t="s">
        <v>1820</v>
      </c>
      <c r="B439" s="1" t="n">
        <v>16658510</v>
      </c>
      <c r="C439" s="1" t="s">
        <v>1095</v>
      </c>
      <c r="D439" s="1" t="s">
        <v>1096</v>
      </c>
      <c r="E439" s="1" t="s">
        <v>1821</v>
      </c>
      <c r="F439" s="1" t="s">
        <v>1822</v>
      </c>
      <c r="G439" s="2" t="s">
        <v>28</v>
      </c>
      <c r="H439" s="1" t="n">
        <v>-1</v>
      </c>
      <c r="I439" s="1" t="n">
        <v>-1</v>
      </c>
      <c r="J439" s="1" t="n">
        <v>-1</v>
      </c>
      <c r="K439" s="1" t="n">
        <v>-1</v>
      </c>
      <c r="L439" s="2" t="n">
        <v>0.5</v>
      </c>
      <c r="M439" s="1" t="s">
        <v>29</v>
      </c>
      <c r="N439" s="1" t="s">
        <v>105</v>
      </c>
      <c r="O439" s="5" t="n">
        <v>46200.6666666667</v>
      </c>
      <c r="P439" s="5" t="n">
        <v>46224.6979166667</v>
      </c>
      <c r="Q439" s="1" t="n">
        <v>63.1095</v>
      </c>
      <c r="R439" s="1" t="n">
        <v>-123.2362</v>
      </c>
      <c r="S439" s="1" t="s">
        <v>1823</v>
      </c>
      <c r="T439" s="1" t="n">
        <v>2026</v>
      </c>
      <c r="U439" s="1" t="n">
        <v>2026</v>
      </c>
      <c r="V439" s="5" t="n">
        <v>46200.9895833333</v>
      </c>
      <c r="W439" s="6" t="n">
        <v>46387.9999999884</v>
      </c>
    </row>
    <row r="440" customFormat="false" ht="12.75" hidden="false" customHeight="false" outlineLevel="0" collapsed="false">
      <c r="A440" s="1" t="s">
        <v>1824</v>
      </c>
      <c r="B440" s="1" t="n">
        <v>16655490</v>
      </c>
      <c r="C440" s="1" t="s">
        <v>1095</v>
      </c>
      <c r="D440" s="1" t="s">
        <v>1118</v>
      </c>
      <c r="E440" s="1" t="s">
        <v>1825</v>
      </c>
      <c r="F440" s="1" t="s">
        <v>1826</v>
      </c>
      <c r="G440" s="2" t="s">
        <v>28</v>
      </c>
      <c r="H440" s="1" t="n">
        <v>-1</v>
      </c>
      <c r="I440" s="1" t="n">
        <v>-1</v>
      </c>
      <c r="J440" s="1" t="n">
        <v>-1</v>
      </c>
      <c r="K440" s="1" t="n">
        <v>-1</v>
      </c>
      <c r="L440" s="2" t="n">
        <v>42</v>
      </c>
      <c r="M440" s="1" t="s">
        <v>70</v>
      </c>
      <c r="N440" s="1" t="s">
        <v>105</v>
      </c>
      <c r="O440" s="5" t="n">
        <v>46200.74375</v>
      </c>
      <c r="P440" s="5" t="n">
        <v>46224.6979166667</v>
      </c>
      <c r="Q440" s="1" t="n">
        <v>66.2365</v>
      </c>
      <c r="R440" s="1" t="n">
        <v>-128.8722</v>
      </c>
      <c r="S440" s="1" t="s">
        <v>1827</v>
      </c>
      <c r="T440" s="1" t="n">
        <v>2026</v>
      </c>
      <c r="U440" s="1" t="n">
        <v>2026</v>
      </c>
      <c r="V440" s="5" t="n">
        <v>46200.9479166667</v>
      </c>
      <c r="W440" s="6" t="n">
        <v>46387.9999999884</v>
      </c>
    </row>
    <row r="441" customFormat="false" ht="12.75" hidden="false" customHeight="false" outlineLevel="0" collapsed="false">
      <c r="A441" s="1" t="s">
        <v>1828</v>
      </c>
      <c r="B441" s="1" t="n">
        <v>16653072</v>
      </c>
      <c r="C441" s="1" t="s">
        <v>1095</v>
      </c>
      <c r="D441" s="1" t="s">
        <v>1101</v>
      </c>
      <c r="E441" s="1" t="s">
        <v>1829</v>
      </c>
      <c r="F441" s="1" t="s">
        <v>1830</v>
      </c>
      <c r="G441" s="2" t="s">
        <v>28</v>
      </c>
      <c r="H441" s="1" t="n">
        <v>-1</v>
      </c>
      <c r="I441" s="1" t="n">
        <v>-1</v>
      </c>
      <c r="J441" s="1" t="n">
        <v>-1</v>
      </c>
      <c r="K441" s="1" t="n">
        <v>-1</v>
      </c>
      <c r="L441" s="2" t="n">
        <v>0.5</v>
      </c>
      <c r="M441" s="1" t="s">
        <v>65</v>
      </c>
      <c r="N441" s="1" t="s">
        <v>105</v>
      </c>
      <c r="O441" s="5" t="n">
        <v>46199.96875</v>
      </c>
      <c r="P441" s="5" t="n">
        <v>46224.6979166667</v>
      </c>
      <c r="Q441" s="1" t="n">
        <v>61.0769</v>
      </c>
      <c r="R441" s="1" t="n">
        <v>-112.5641</v>
      </c>
      <c r="S441" s="1" t="s">
        <v>1831</v>
      </c>
      <c r="T441" s="1" t="n">
        <v>2026</v>
      </c>
      <c r="U441" s="1" t="n">
        <v>2026</v>
      </c>
      <c r="V441" s="5" t="n">
        <v>46200.90625</v>
      </c>
      <c r="W441" s="6" t="n">
        <v>46387.9999999884</v>
      </c>
    </row>
    <row r="442" customFormat="false" ht="12.75" hidden="false" customHeight="false" outlineLevel="0" collapsed="false">
      <c r="A442" s="1" t="s">
        <v>1832</v>
      </c>
      <c r="B442" s="1" t="n">
        <v>16597605</v>
      </c>
      <c r="C442" s="1" t="s">
        <v>1095</v>
      </c>
      <c r="D442" s="1" t="s">
        <v>1131</v>
      </c>
      <c r="E442" s="1" t="s">
        <v>1833</v>
      </c>
      <c r="F442" s="1" t="s">
        <v>1834</v>
      </c>
      <c r="G442" s="2" t="s">
        <v>28</v>
      </c>
      <c r="H442" s="1" t="n">
        <v>-1</v>
      </c>
      <c r="I442" s="1" t="n">
        <v>-1</v>
      </c>
      <c r="J442" s="1" t="n">
        <v>-1</v>
      </c>
      <c r="K442" s="1" t="n">
        <v>-1</v>
      </c>
      <c r="L442" s="2" t="n">
        <v>4</v>
      </c>
      <c r="M442" s="1" t="s">
        <v>65</v>
      </c>
      <c r="N442" s="1" t="s">
        <v>105</v>
      </c>
      <c r="O442" s="5" t="n">
        <v>46199.8784722222</v>
      </c>
      <c r="P442" s="5" t="n">
        <v>46224.6979166667</v>
      </c>
      <c r="Q442" s="1" t="n">
        <v>63.6605</v>
      </c>
      <c r="R442" s="1" t="n">
        <v>-103.8975</v>
      </c>
      <c r="S442" s="1" t="s">
        <v>1835</v>
      </c>
      <c r="T442" s="1" t="n">
        <v>2026</v>
      </c>
      <c r="U442" s="1" t="n">
        <v>2026</v>
      </c>
      <c r="V442" s="5" t="n">
        <v>46199.90625</v>
      </c>
      <c r="W442" s="6" t="n">
        <v>46387.9999999884</v>
      </c>
    </row>
    <row r="443" customFormat="false" ht="12.75" hidden="false" customHeight="false" outlineLevel="0" collapsed="false">
      <c r="A443" s="1" t="s">
        <v>1836</v>
      </c>
      <c r="B443" s="1" t="n">
        <v>16592788</v>
      </c>
      <c r="C443" s="1" t="s">
        <v>1095</v>
      </c>
      <c r="D443" s="1" t="s">
        <v>1131</v>
      </c>
      <c r="E443" s="1" t="s">
        <v>1837</v>
      </c>
      <c r="F443" s="1" t="s">
        <v>1838</v>
      </c>
      <c r="G443" s="2" t="s">
        <v>28</v>
      </c>
      <c r="H443" s="1" t="n">
        <v>-1</v>
      </c>
      <c r="I443" s="1" t="n">
        <v>-1</v>
      </c>
      <c r="J443" s="1" t="n">
        <v>-1</v>
      </c>
      <c r="K443" s="1" t="n">
        <v>-1</v>
      </c>
      <c r="L443" s="2" t="n">
        <v>5</v>
      </c>
      <c r="M443" s="1" t="s">
        <v>65</v>
      </c>
      <c r="N443" s="1" t="s">
        <v>105</v>
      </c>
      <c r="O443" s="5" t="n">
        <v>46198.5659722222</v>
      </c>
      <c r="P443" s="5" t="n">
        <v>46224.6979166667</v>
      </c>
      <c r="Q443" s="1" t="n">
        <v>62.342</v>
      </c>
      <c r="R443" s="1" t="n">
        <v>-102.3754</v>
      </c>
      <c r="S443" s="1" t="s">
        <v>1839</v>
      </c>
      <c r="T443" s="1" t="n">
        <v>2026</v>
      </c>
      <c r="U443" s="1" t="n">
        <v>2026</v>
      </c>
      <c r="V443" s="5" t="n">
        <v>46199.8229166667</v>
      </c>
      <c r="W443" s="6" t="n">
        <v>46387.9999999884</v>
      </c>
    </row>
    <row r="444" customFormat="false" ht="12.75" hidden="false" customHeight="false" outlineLevel="0" collapsed="false">
      <c r="A444" s="1" t="s">
        <v>1840</v>
      </c>
      <c r="B444" s="1" t="n">
        <v>16588149</v>
      </c>
      <c r="C444" s="1" t="s">
        <v>1095</v>
      </c>
      <c r="D444" s="1" t="s">
        <v>1131</v>
      </c>
      <c r="E444" s="1" t="s">
        <v>1841</v>
      </c>
      <c r="F444" s="1" t="s">
        <v>1842</v>
      </c>
      <c r="G444" s="2" t="s">
        <v>28</v>
      </c>
      <c r="H444" s="1" t="n">
        <v>-1</v>
      </c>
      <c r="I444" s="1" t="n">
        <v>-1</v>
      </c>
      <c r="J444" s="1" t="n">
        <v>-1</v>
      </c>
      <c r="K444" s="1" t="n">
        <v>-1</v>
      </c>
      <c r="L444" s="2" t="n">
        <v>86</v>
      </c>
      <c r="M444" s="1" t="s">
        <v>65</v>
      </c>
      <c r="N444" s="1" t="s">
        <v>105</v>
      </c>
      <c r="O444" s="5" t="n">
        <v>46197.8055555556</v>
      </c>
      <c r="P444" s="5" t="n">
        <v>46224.6979166667</v>
      </c>
      <c r="Q444" s="1" t="n">
        <v>62.3672</v>
      </c>
      <c r="R444" s="1" t="n">
        <v>-104.7579</v>
      </c>
      <c r="S444" s="1" t="s">
        <v>1843</v>
      </c>
      <c r="T444" s="1" t="n">
        <v>2026</v>
      </c>
      <c r="U444" s="1" t="n">
        <v>2026</v>
      </c>
      <c r="V444" s="5" t="n">
        <v>46199.7395833333</v>
      </c>
      <c r="W444" s="6" t="n">
        <v>46387.9999999884</v>
      </c>
    </row>
    <row r="445" customFormat="false" ht="12.75" hidden="false" customHeight="false" outlineLevel="0" collapsed="false">
      <c r="A445" s="1" t="s">
        <v>1844</v>
      </c>
      <c r="B445" s="1" t="n">
        <v>16588147</v>
      </c>
      <c r="C445" s="1" t="s">
        <v>1095</v>
      </c>
      <c r="D445" s="1" t="s">
        <v>1131</v>
      </c>
      <c r="E445" s="1" t="s">
        <v>1845</v>
      </c>
      <c r="F445" s="1" t="s">
        <v>1846</v>
      </c>
      <c r="G445" s="2" t="s">
        <v>28</v>
      </c>
      <c r="H445" s="1" t="n">
        <v>-1</v>
      </c>
      <c r="I445" s="1" t="n">
        <v>-1</v>
      </c>
      <c r="J445" s="1" t="n">
        <v>-1</v>
      </c>
      <c r="K445" s="1" t="n">
        <v>-1</v>
      </c>
      <c r="L445" s="2" t="n">
        <v>18</v>
      </c>
      <c r="M445" s="1" t="s">
        <v>65</v>
      </c>
      <c r="N445" s="1" t="s">
        <v>105</v>
      </c>
      <c r="O445" s="5" t="n">
        <v>46196.9090277778</v>
      </c>
      <c r="P445" s="5" t="n">
        <v>46224.6979166667</v>
      </c>
      <c r="Q445" s="1" t="n">
        <v>62.8371</v>
      </c>
      <c r="R445" s="1" t="n">
        <v>-102.6043</v>
      </c>
      <c r="S445" s="1" t="s">
        <v>1847</v>
      </c>
      <c r="T445" s="1" t="n">
        <v>2026</v>
      </c>
      <c r="U445" s="1" t="n">
        <v>2026</v>
      </c>
      <c r="V445" s="5" t="n">
        <v>46199.7395833333</v>
      </c>
      <c r="W445" s="6" t="n">
        <v>46387.9999999884</v>
      </c>
    </row>
    <row r="446" customFormat="false" ht="12.75" hidden="false" customHeight="false" outlineLevel="0" collapsed="false">
      <c r="A446" s="1" t="s">
        <v>1848</v>
      </c>
      <c r="B446" s="1" t="n">
        <v>16554424</v>
      </c>
      <c r="C446" s="1" t="s">
        <v>1095</v>
      </c>
      <c r="D446" s="1" t="s">
        <v>1118</v>
      </c>
      <c r="E446" s="1" t="s">
        <v>1849</v>
      </c>
      <c r="F446" s="1" t="s">
        <v>1850</v>
      </c>
      <c r="G446" s="2" t="s">
        <v>28</v>
      </c>
      <c r="H446" s="1" t="n">
        <v>-1</v>
      </c>
      <c r="I446" s="1" t="n">
        <v>-1</v>
      </c>
      <c r="J446" s="1" t="n">
        <v>-1</v>
      </c>
      <c r="K446" s="1" t="n">
        <v>-1</v>
      </c>
      <c r="L446" s="2" t="n">
        <v>50</v>
      </c>
      <c r="M446" s="1" t="s">
        <v>65</v>
      </c>
      <c r="N446" s="1" t="s">
        <v>105</v>
      </c>
      <c r="O446" s="5" t="n">
        <v>46197.0659722222</v>
      </c>
      <c r="P446" s="5" t="n">
        <v>46224.6979166667</v>
      </c>
      <c r="Q446" s="1" t="n">
        <v>64.5432</v>
      </c>
      <c r="R446" s="1" t="n">
        <v>-124.3381</v>
      </c>
      <c r="S446" s="1" t="s">
        <v>1851</v>
      </c>
      <c r="T446" s="1" t="n">
        <v>2026</v>
      </c>
      <c r="U446" s="1" t="n">
        <v>2026</v>
      </c>
      <c r="V446" s="5" t="n">
        <v>46199.1145833333</v>
      </c>
      <c r="W446" s="6" t="n">
        <v>46387.9999999884</v>
      </c>
    </row>
    <row r="447" customFormat="false" ht="12.75" hidden="false" customHeight="false" outlineLevel="0" collapsed="false">
      <c r="A447" s="1" t="s">
        <v>1852</v>
      </c>
      <c r="B447" s="1" t="n">
        <v>16543925</v>
      </c>
      <c r="C447" s="1" t="s">
        <v>1095</v>
      </c>
      <c r="D447" s="1" t="s">
        <v>1118</v>
      </c>
      <c r="E447" s="1" t="s">
        <v>1853</v>
      </c>
      <c r="F447" s="1" t="s">
        <v>1854</v>
      </c>
      <c r="G447" s="2" t="s">
        <v>28</v>
      </c>
      <c r="H447" s="1" t="n">
        <v>-1</v>
      </c>
      <c r="I447" s="1" t="n">
        <v>-1</v>
      </c>
      <c r="J447" s="1" t="n">
        <v>-1</v>
      </c>
      <c r="K447" s="1" t="n">
        <v>-1</v>
      </c>
      <c r="L447" s="2" t="n">
        <v>50</v>
      </c>
      <c r="M447" s="1" t="s">
        <v>65</v>
      </c>
      <c r="N447" s="1" t="s">
        <v>105</v>
      </c>
      <c r="O447" s="5" t="n">
        <v>46196.625</v>
      </c>
      <c r="P447" s="5" t="n">
        <v>46224.6979166667</v>
      </c>
      <c r="Q447" s="1" t="n">
        <v>65.9224</v>
      </c>
      <c r="R447" s="1" t="n">
        <v>-125.7598</v>
      </c>
      <c r="S447" s="1" t="s">
        <v>1855</v>
      </c>
      <c r="T447" s="1" t="n">
        <v>2026</v>
      </c>
      <c r="U447" s="1" t="n">
        <v>2026</v>
      </c>
      <c r="V447" s="5" t="n">
        <v>46198.90625</v>
      </c>
      <c r="W447" s="6" t="n">
        <v>46387.9999999884</v>
      </c>
    </row>
    <row r="448" customFormat="false" ht="12.75" hidden="false" customHeight="false" outlineLevel="0" collapsed="false">
      <c r="A448" s="1" t="s">
        <v>1856</v>
      </c>
      <c r="B448" s="1" t="n">
        <v>16543927</v>
      </c>
      <c r="C448" s="1" t="s">
        <v>1095</v>
      </c>
      <c r="D448" s="1" t="s">
        <v>1118</v>
      </c>
      <c r="E448" s="1" t="s">
        <v>1857</v>
      </c>
      <c r="F448" s="1" t="s">
        <v>1858</v>
      </c>
      <c r="G448" s="2" t="s">
        <v>28</v>
      </c>
      <c r="H448" s="1" t="n">
        <v>-1</v>
      </c>
      <c r="I448" s="1" t="n">
        <v>-1</v>
      </c>
      <c r="J448" s="1" t="n">
        <v>-1</v>
      </c>
      <c r="K448" s="1" t="n">
        <v>-1</v>
      </c>
      <c r="L448" s="2" t="n">
        <v>10</v>
      </c>
      <c r="M448" s="1" t="s">
        <v>65</v>
      </c>
      <c r="N448" s="1" t="s">
        <v>105</v>
      </c>
      <c r="O448" s="5" t="n">
        <v>46198.0527777778</v>
      </c>
      <c r="P448" s="5" t="n">
        <v>46224.6979166667</v>
      </c>
      <c r="Q448" s="1" t="n">
        <v>67.3834</v>
      </c>
      <c r="R448" s="1" t="n">
        <v>-127.8687</v>
      </c>
      <c r="S448" s="1" t="s">
        <v>1859</v>
      </c>
      <c r="T448" s="1" t="n">
        <v>2026</v>
      </c>
      <c r="U448" s="1" t="n">
        <v>2026</v>
      </c>
      <c r="V448" s="5" t="n">
        <v>46198.90625</v>
      </c>
      <c r="W448" s="6" t="n">
        <v>46387.9999999884</v>
      </c>
    </row>
    <row r="449" customFormat="false" ht="12.75" hidden="false" customHeight="false" outlineLevel="0" collapsed="false">
      <c r="A449" s="1" t="s">
        <v>1860</v>
      </c>
      <c r="B449" s="1" t="n">
        <v>16541458</v>
      </c>
      <c r="C449" s="1" t="s">
        <v>1095</v>
      </c>
      <c r="D449" s="1" t="s">
        <v>1096</v>
      </c>
      <c r="E449" s="1" t="s">
        <v>1861</v>
      </c>
      <c r="F449" s="1" t="s">
        <v>1862</v>
      </c>
      <c r="G449" s="2" t="s">
        <v>28</v>
      </c>
      <c r="H449" s="1" t="n">
        <v>-1</v>
      </c>
      <c r="I449" s="1" t="n">
        <v>-1</v>
      </c>
      <c r="J449" s="1" t="n">
        <v>-1</v>
      </c>
      <c r="K449" s="1" t="n">
        <v>-1</v>
      </c>
      <c r="L449" s="2" t="n">
        <v>0.1</v>
      </c>
      <c r="M449" s="1" t="s">
        <v>29</v>
      </c>
      <c r="N449" s="1" t="s">
        <v>105</v>
      </c>
      <c r="O449" s="5" t="n">
        <v>46198.83125</v>
      </c>
      <c r="P449" s="5" t="n">
        <v>46224.6979166667</v>
      </c>
      <c r="Q449" s="1" t="n">
        <v>61.4165</v>
      </c>
      <c r="R449" s="1" t="n">
        <v>-121.6966</v>
      </c>
      <c r="S449" s="1" t="s">
        <v>1863</v>
      </c>
      <c r="T449" s="1" t="n">
        <v>2026</v>
      </c>
      <c r="U449" s="1" t="n">
        <v>2026</v>
      </c>
      <c r="V449" s="5" t="n">
        <v>46198.8645833333</v>
      </c>
      <c r="W449" s="6" t="n">
        <v>46387.9999999884</v>
      </c>
    </row>
    <row r="450" customFormat="false" ht="12.75" hidden="false" customHeight="false" outlineLevel="0" collapsed="false">
      <c r="A450" s="1" t="s">
        <v>1864</v>
      </c>
      <c r="B450" s="1" t="n">
        <v>16541459</v>
      </c>
      <c r="C450" s="1" t="s">
        <v>1095</v>
      </c>
      <c r="D450" s="1" t="s">
        <v>1096</v>
      </c>
      <c r="E450" s="1" t="s">
        <v>1865</v>
      </c>
      <c r="F450" s="1" t="s">
        <v>1866</v>
      </c>
      <c r="G450" s="2" t="s">
        <v>28</v>
      </c>
      <c r="H450" s="1" t="n">
        <v>-1</v>
      </c>
      <c r="I450" s="1" t="n">
        <v>-1</v>
      </c>
      <c r="J450" s="1" t="n">
        <v>-1</v>
      </c>
      <c r="K450" s="1" t="n">
        <v>-1</v>
      </c>
      <c r="L450" s="2" t="n">
        <v>5</v>
      </c>
      <c r="M450" s="1" t="s">
        <v>70</v>
      </c>
      <c r="N450" s="1" t="s">
        <v>105</v>
      </c>
      <c r="O450" s="5" t="n">
        <v>46198.8409722222</v>
      </c>
      <c r="P450" s="5" t="n">
        <v>46224.6979166667</v>
      </c>
      <c r="Q450" s="1" t="n">
        <v>61.265</v>
      </c>
      <c r="R450" s="1" t="n">
        <v>-122.9675</v>
      </c>
      <c r="S450" s="1" t="s">
        <v>1867</v>
      </c>
      <c r="T450" s="1" t="n">
        <v>2026</v>
      </c>
      <c r="U450" s="1" t="n">
        <v>2026</v>
      </c>
      <c r="V450" s="5" t="n">
        <v>46198.8645833333</v>
      </c>
      <c r="W450" s="6" t="n">
        <v>46387.9999999884</v>
      </c>
    </row>
    <row r="451" customFormat="false" ht="12.75" hidden="false" customHeight="false" outlineLevel="0" collapsed="false">
      <c r="A451" s="1" t="s">
        <v>1868</v>
      </c>
      <c r="B451" s="1" t="n">
        <v>16500475</v>
      </c>
      <c r="C451" s="1" t="s">
        <v>1095</v>
      </c>
      <c r="D451" s="1" t="s">
        <v>1096</v>
      </c>
      <c r="E451" s="1" t="s">
        <v>1869</v>
      </c>
      <c r="F451" s="1" t="s">
        <v>1870</v>
      </c>
      <c r="G451" s="2" t="s">
        <v>28</v>
      </c>
      <c r="H451" s="1" t="n">
        <v>-1</v>
      </c>
      <c r="I451" s="1" t="n">
        <v>-1</v>
      </c>
      <c r="J451" s="1" t="n">
        <v>-1</v>
      </c>
      <c r="K451" s="1" t="n">
        <v>-1</v>
      </c>
      <c r="L451" s="2" t="n">
        <v>16.8</v>
      </c>
      <c r="M451" s="1" t="s">
        <v>29</v>
      </c>
      <c r="N451" s="1" t="s">
        <v>105</v>
      </c>
      <c r="O451" s="5" t="n">
        <v>46197.1416666667</v>
      </c>
      <c r="P451" s="5" t="n">
        <v>46224.6979166667</v>
      </c>
      <c r="Q451" s="1" t="n">
        <v>61.4044</v>
      </c>
      <c r="R451" s="1" t="n">
        <v>-122.9917</v>
      </c>
      <c r="S451" s="1" t="s">
        <v>1871</v>
      </c>
      <c r="T451" s="1" t="n">
        <v>2026</v>
      </c>
      <c r="U451" s="1" t="n">
        <v>2026</v>
      </c>
      <c r="V451" s="5" t="n">
        <v>46197.9895833333</v>
      </c>
      <c r="W451" s="6" t="n">
        <v>46387.9999999884</v>
      </c>
    </row>
    <row r="452" customFormat="false" ht="12.75" hidden="false" customHeight="false" outlineLevel="0" collapsed="false">
      <c r="A452" s="1" t="s">
        <v>1872</v>
      </c>
      <c r="B452" s="1" t="n">
        <v>16494546</v>
      </c>
      <c r="C452" s="1" t="s">
        <v>1095</v>
      </c>
      <c r="D452" s="1" t="s">
        <v>1096</v>
      </c>
      <c r="E452" s="1" t="s">
        <v>1873</v>
      </c>
      <c r="F452" s="1" t="s">
        <v>1874</v>
      </c>
      <c r="G452" s="2" t="s">
        <v>28</v>
      </c>
      <c r="H452" s="1" t="n">
        <v>-1</v>
      </c>
      <c r="I452" s="1" t="n">
        <v>-1</v>
      </c>
      <c r="J452" s="1" t="n">
        <v>-1</v>
      </c>
      <c r="K452" s="1" t="n">
        <v>-1</v>
      </c>
      <c r="L452" s="2" t="n">
        <v>0.1</v>
      </c>
      <c r="M452" s="1" t="s">
        <v>29</v>
      </c>
      <c r="N452" s="1" t="s">
        <v>105</v>
      </c>
      <c r="O452" s="5" t="n">
        <v>46197.8847222222</v>
      </c>
      <c r="P452" s="5" t="n">
        <v>46224.6979166667</v>
      </c>
      <c r="Q452" s="1" t="n">
        <v>61.3938</v>
      </c>
      <c r="R452" s="1" t="n">
        <v>-121.6993</v>
      </c>
      <c r="S452" s="1" t="s">
        <v>1875</v>
      </c>
      <c r="T452" s="1" t="n">
        <v>2026</v>
      </c>
      <c r="U452" s="1" t="n">
        <v>2026</v>
      </c>
      <c r="V452" s="5" t="n">
        <v>46197.90625</v>
      </c>
      <c r="W452" s="6" t="n">
        <v>46387.9999999884</v>
      </c>
    </row>
    <row r="453" customFormat="false" ht="12.75" hidden="false" customHeight="false" outlineLevel="0" collapsed="false">
      <c r="A453" s="1" t="s">
        <v>1876</v>
      </c>
      <c r="B453" s="1" t="n">
        <v>16482046</v>
      </c>
      <c r="C453" s="1" t="s">
        <v>1095</v>
      </c>
      <c r="D453" s="1" t="s">
        <v>1096</v>
      </c>
      <c r="E453" s="1" t="s">
        <v>1877</v>
      </c>
      <c r="F453" s="1" t="s">
        <v>1878</v>
      </c>
      <c r="G453" s="2" t="s">
        <v>28</v>
      </c>
      <c r="H453" s="1" t="n">
        <v>-1</v>
      </c>
      <c r="I453" s="1" t="n">
        <v>-1</v>
      </c>
      <c r="J453" s="1" t="n">
        <v>-1</v>
      </c>
      <c r="K453" s="1" t="n">
        <v>-1</v>
      </c>
      <c r="L453" s="2" t="n">
        <v>40</v>
      </c>
      <c r="M453" s="1" t="s">
        <v>29</v>
      </c>
      <c r="N453" s="1" t="s">
        <v>105</v>
      </c>
      <c r="O453" s="5" t="n">
        <v>46196.9333333333</v>
      </c>
      <c r="P453" s="5" t="n">
        <v>46224.6979166667</v>
      </c>
      <c r="Q453" s="1" t="n">
        <v>63.0755</v>
      </c>
      <c r="R453" s="1" t="n">
        <v>-124.0817</v>
      </c>
      <c r="S453" s="1" t="s">
        <v>1879</v>
      </c>
      <c r="T453" s="1" t="n">
        <v>2026</v>
      </c>
      <c r="U453" s="1" t="n">
        <v>2026</v>
      </c>
      <c r="V453" s="5" t="n">
        <v>46197.6145833333</v>
      </c>
      <c r="W453" s="6" t="n">
        <v>46387.9999999884</v>
      </c>
    </row>
    <row r="454" customFormat="false" ht="12.75" hidden="false" customHeight="false" outlineLevel="0" collapsed="false">
      <c r="A454" s="1" t="s">
        <v>1880</v>
      </c>
      <c r="B454" s="1" t="n">
        <v>16453592</v>
      </c>
      <c r="C454" s="1" t="s">
        <v>1095</v>
      </c>
      <c r="D454" s="1" t="s">
        <v>1096</v>
      </c>
      <c r="E454" s="1" t="s">
        <v>1881</v>
      </c>
      <c r="F454" s="1" t="s">
        <v>1882</v>
      </c>
      <c r="G454" s="2" t="s">
        <v>28</v>
      </c>
      <c r="H454" s="1" t="n">
        <v>-1</v>
      </c>
      <c r="I454" s="1" t="n">
        <v>-1</v>
      </c>
      <c r="J454" s="1" t="n">
        <v>-1</v>
      </c>
      <c r="K454" s="1" t="n">
        <v>-1</v>
      </c>
      <c r="L454" s="2" t="n">
        <v>150</v>
      </c>
      <c r="M454" s="1" t="s">
        <v>65</v>
      </c>
      <c r="N454" s="1" t="s">
        <v>105</v>
      </c>
      <c r="O454" s="5" t="n">
        <v>46196.98125</v>
      </c>
      <c r="P454" s="5" t="n">
        <v>46224.6979166667</v>
      </c>
      <c r="Q454" s="1" t="n">
        <v>63.5983</v>
      </c>
      <c r="R454" s="1" t="n">
        <v>-123.1605</v>
      </c>
      <c r="S454" s="1" t="s">
        <v>1883</v>
      </c>
      <c r="T454" s="1" t="n">
        <v>2026</v>
      </c>
      <c r="U454" s="1" t="n">
        <v>2026</v>
      </c>
      <c r="V454" s="5" t="n">
        <v>46197.03125</v>
      </c>
      <c r="W454" s="6" t="n">
        <v>46387.9999999884</v>
      </c>
    </row>
    <row r="455" customFormat="false" ht="12.75" hidden="false" customHeight="false" outlineLevel="0" collapsed="false">
      <c r="A455" s="1" t="s">
        <v>1884</v>
      </c>
      <c r="B455" s="1" t="n">
        <v>16448267</v>
      </c>
      <c r="C455" s="1" t="s">
        <v>1095</v>
      </c>
      <c r="D455" s="1" t="s">
        <v>1140</v>
      </c>
      <c r="E455" s="1" t="s">
        <v>1885</v>
      </c>
      <c r="F455" s="1" t="s">
        <v>1886</v>
      </c>
      <c r="G455" s="2" t="s">
        <v>28</v>
      </c>
      <c r="H455" s="1" t="n">
        <v>-1</v>
      </c>
      <c r="I455" s="1" t="n">
        <v>-1</v>
      </c>
      <c r="J455" s="1" t="n">
        <v>-1</v>
      </c>
      <c r="K455" s="1" t="n">
        <v>-1</v>
      </c>
      <c r="L455" s="2" t="n">
        <v>197.91</v>
      </c>
      <c r="M455" s="1" t="s">
        <v>65</v>
      </c>
      <c r="N455" s="1" t="s">
        <v>105</v>
      </c>
      <c r="O455" s="5" t="n">
        <v>46194.9493055556</v>
      </c>
      <c r="P455" s="5" t="n">
        <v>46224.6979166667</v>
      </c>
      <c r="Q455" s="1" t="n">
        <v>68.4578</v>
      </c>
      <c r="R455" s="1" t="n">
        <v>-131.1537</v>
      </c>
      <c r="S455" s="1" t="s">
        <v>1887</v>
      </c>
      <c r="T455" s="1" t="n">
        <v>2026</v>
      </c>
      <c r="U455" s="1" t="n">
        <v>2026</v>
      </c>
      <c r="V455" s="5" t="n">
        <v>46196.90625</v>
      </c>
      <c r="W455" s="6" t="n">
        <v>46387.9999999884</v>
      </c>
    </row>
    <row r="456" customFormat="false" ht="12.75" hidden="false" customHeight="false" outlineLevel="0" collapsed="false">
      <c r="A456" s="1" t="s">
        <v>1888</v>
      </c>
      <c r="B456" s="1" t="n">
        <v>16448272</v>
      </c>
      <c r="C456" s="1" t="s">
        <v>1095</v>
      </c>
      <c r="D456" s="1" t="s">
        <v>1140</v>
      </c>
      <c r="E456" s="1" t="s">
        <v>1889</v>
      </c>
      <c r="F456" s="1" t="s">
        <v>1890</v>
      </c>
      <c r="G456" s="2" t="s">
        <v>28</v>
      </c>
      <c r="H456" s="1" t="n">
        <v>-1</v>
      </c>
      <c r="I456" s="1" t="n">
        <v>-1</v>
      </c>
      <c r="J456" s="1" t="n">
        <v>-1</v>
      </c>
      <c r="K456" s="1" t="n">
        <v>-1</v>
      </c>
      <c r="L456" s="2" t="n">
        <v>0.25</v>
      </c>
      <c r="M456" s="1" t="s">
        <v>65</v>
      </c>
      <c r="N456" s="1" t="s">
        <v>105</v>
      </c>
      <c r="O456" s="5" t="n">
        <v>46196.7770833333</v>
      </c>
      <c r="P456" s="5" t="n">
        <v>46224.6979166667</v>
      </c>
      <c r="Q456" s="1" t="n">
        <v>68.456</v>
      </c>
      <c r="R456" s="1" t="n">
        <v>-131.1042</v>
      </c>
      <c r="S456" s="1" t="s">
        <v>1891</v>
      </c>
      <c r="T456" s="1" t="n">
        <v>2026</v>
      </c>
      <c r="U456" s="1" t="n">
        <v>2026</v>
      </c>
      <c r="V456" s="5" t="n">
        <v>46196.90625</v>
      </c>
      <c r="W456" s="6" t="n">
        <v>46387.9999999884</v>
      </c>
    </row>
    <row r="457" customFormat="false" ht="12.75" hidden="false" customHeight="false" outlineLevel="0" collapsed="false">
      <c r="A457" s="1" t="s">
        <v>1892</v>
      </c>
      <c r="B457" s="1" t="n">
        <v>16448268</v>
      </c>
      <c r="C457" s="1" t="s">
        <v>1095</v>
      </c>
      <c r="D457" s="1" t="s">
        <v>1140</v>
      </c>
      <c r="E457" s="1" t="s">
        <v>1893</v>
      </c>
      <c r="F457" s="1" t="s">
        <v>1894</v>
      </c>
      <c r="G457" s="2" t="s">
        <v>28</v>
      </c>
      <c r="H457" s="1" t="n">
        <v>-1</v>
      </c>
      <c r="I457" s="1" t="n">
        <v>-1</v>
      </c>
      <c r="J457" s="1" t="n">
        <v>-1</v>
      </c>
      <c r="K457" s="1" t="n">
        <v>-1</v>
      </c>
      <c r="L457" s="2" t="n">
        <v>102.26</v>
      </c>
      <c r="M457" s="1" t="s">
        <v>65</v>
      </c>
      <c r="N457" s="1" t="s">
        <v>105</v>
      </c>
      <c r="O457" s="5" t="n">
        <v>46194.9493055556</v>
      </c>
      <c r="P457" s="5" t="n">
        <v>46224.6979166667</v>
      </c>
      <c r="Q457" s="1" t="n">
        <v>68.4895</v>
      </c>
      <c r="R457" s="1" t="n">
        <v>-131.1347</v>
      </c>
      <c r="S457" s="1" t="s">
        <v>1895</v>
      </c>
      <c r="T457" s="1" t="n">
        <v>2026</v>
      </c>
      <c r="U457" s="1" t="n">
        <v>2026</v>
      </c>
      <c r="V457" s="5" t="n">
        <v>46196.90625</v>
      </c>
      <c r="W457" s="6" t="n">
        <v>46387.9999999884</v>
      </c>
    </row>
    <row r="458" customFormat="false" ht="12.75" hidden="false" customHeight="false" outlineLevel="0" collapsed="false">
      <c r="A458" s="1" t="s">
        <v>1896</v>
      </c>
      <c r="B458" s="1" t="n">
        <v>16448269</v>
      </c>
      <c r="C458" s="1" t="s">
        <v>1095</v>
      </c>
      <c r="D458" s="1" t="s">
        <v>1140</v>
      </c>
      <c r="E458" s="1" t="s">
        <v>1897</v>
      </c>
      <c r="F458" s="1" t="s">
        <v>1898</v>
      </c>
      <c r="G458" s="2" t="s">
        <v>28</v>
      </c>
      <c r="H458" s="1" t="n">
        <v>-1</v>
      </c>
      <c r="I458" s="1" t="n">
        <v>-1</v>
      </c>
      <c r="J458" s="1" t="n">
        <v>-1</v>
      </c>
      <c r="K458" s="1" t="n">
        <v>-1</v>
      </c>
      <c r="L458" s="2" t="n">
        <v>97.52</v>
      </c>
      <c r="M458" s="1" t="s">
        <v>65</v>
      </c>
      <c r="N458" s="1" t="s">
        <v>105</v>
      </c>
      <c r="O458" s="5" t="n">
        <v>46194.9493055556</v>
      </c>
      <c r="P458" s="5" t="n">
        <v>46224.6979166667</v>
      </c>
      <c r="Q458" s="1" t="n">
        <v>68.537</v>
      </c>
      <c r="R458" s="1" t="n">
        <v>-131.1143</v>
      </c>
      <c r="S458" s="1" t="s">
        <v>1899</v>
      </c>
      <c r="T458" s="1" t="n">
        <v>2026</v>
      </c>
      <c r="U458" s="1" t="n">
        <v>2026</v>
      </c>
      <c r="V458" s="5" t="n">
        <v>46196.90625</v>
      </c>
      <c r="W458" s="6" t="n">
        <v>46387.9999999884</v>
      </c>
    </row>
    <row r="459" customFormat="false" ht="12.75" hidden="false" customHeight="false" outlineLevel="0" collapsed="false">
      <c r="A459" s="1" t="s">
        <v>1900</v>
      </c>
      <c r="B459" s="1" t="n">
        <v>16400653</v>
      </c>
      <c r="C459" s="1" t="s">
        <v>1095</v>
      </c>
      <c r="D459" s="1" t="s">
        <v>1096</v>
      </c>
      <c r="E459" s="1" t="s">
        <v>1901</v>
      </c>
      <c r="F459" s="1" t="s">
        <v>1902</v>
      </c>
      <c r="G459" s="2" t="s">
        <v>28</v>
      </c>
      <c r="H459" s="1" t="n">
        <v>-1</v>
      </c>
      <c r="I459" s="1" t="n">
        <v>-1</v>
      </c>
      <c r="J459" s="1" t="n">
        <v>-1</v>
      </c>
      <c r="K459" s="1" t="n">
        <v>-1</v>
      </c>
      <c r="L459" s="2" t="n">
        <v>47</v>
      </c>
      <c r="M459" s="1" t="s">
        <v>65</v>
      </c>
      <c r="N459" s="1" t="s">
        <v>105</v>
      </c>
      <c r="O459" s="5" t="n">
        <v>46183.9381944445</v>
      </c>
      <c r="P459" s="5" t="n">
        <v>46224.6979166667</v>
      </c>
      <c r="Q459" s="1" t="n">
        <v>61.8479</v>
      </c>
      <c r="R459" s="1" t="n">
        <v>-123.4119</v>
      </c>
      <c r="S459" s="1" t="s">
        <v>1903</v>
      </c>
      <c r="T459" s="1" t="n">
        <v>2026</v>
      </c>
      <c r="U459" s="1" t="n">
        <v>2026</v>
      </c>
      <c r="V459" s="5" t="n">
        <v>46195.8645833333</v>
      </c>
      <c r="W459" s="6" t="n">
        <v>46387.9999999884</v>
      </c>
    </row>
    <row r="460" customFormat="false" ht="12.75" hidden="false" customHeight="false" outlineLevel="0" collapsed="false">
      <c r="A460" s="1" t="s">
        <v>1904</v>
      </c>
      <c r="B460" s="1" t="n">
        <v>16400651</v>
      </c>
      <c r="C460" s="1" t="s">
        <v>1095</v>
      </c>
      <c r="D460" s="1" t="s">
        <v>1140</v>
      </c>
      <c r="E460" s="1" t="s">
        <v>1905</v>
      </c>
      <c r="F460" s="1" t="s">
        <v>1906</v>
      </c>
      <c r="G460" s="2" t="s">
        <v>28</v>
      </c>
      <c r="H460" s="1" t="n">
        <v>-1</v>
      </c>
      <c r="I460" s="1" t="n">
        <v>-1</v>
      </c>
      <c r="J460" s="1" t="n">
        <v>-1</v>
      </c>
      <c r="K460" s="1" t="n">
        <v>-1</v>
      </c>
      <c r="L460" s="2" t="n">
        <v>10.766</v>
      </c>
      <c r="M460" s="1" t="s">
        <v>65</v>
      </c>
      <c r="N460" s="1" t="s">
        <v>105</v>
      </c>
      <c r="O460" s="5" t="n">
        <v>46194.9493055556</v>
      </c>
      <c r="P460" s="5" t="n">
        <v>46224.6979166667</v>
      </c>
      <c r="Q460" s="1" t="n">
        <v>68.5488</v>
      </c>
      <c r="R460" s="1" t="n">
        <v>-131.2035</v>
      </c>
      <c r="S460" s="1" t="s">
        <v>1907</v>
      </c>
      <c r="T460" s="1" t="n">
        <v>2026</v>
      </c>
      <c r="U460" s="1" t="n">
        <v>2026</v>
      </c>
      <c r="V460" s="5" t="n">
        <v>46195.8645833333</v>
      </c>
      <c r="W460" s="6" t="n">
        <v>46387.9999999884</v>
      </c>
    </row>
    <row r="461" customFormat="false" ht="12.75" hidden="false" customHeight="false" outlineLevel="0" collapsed="false">
      <c r="A461" s="1" t="s">
        <v>1908</v>
      </c>
      <c r="B461" s="1" t="n">
        <v>16396270</v>
      </c>
      <c r="C461" s="1" t="s">
        <v>1095</v>
      </c>
      <c r="D461" s="1" t="s">
        <v>1140</v>
      </c>
      <c r="E461" s="1" t="s">
        <v>1909</v>
      </c>
      <c r="F461" s="1" t="s">
        <v>1910</v>
      </c>
      <c r="G461" s="2" t="s">
        <v>28</v>
      </c>
      <c r="H461" s="1" t="n">
        <v>-1</v>
      </c>
      <c r="I461" s="1" t="n">
        <v>-1</v>
      </c>
      <c r="J461" s="1" t="n">
        <v>-1</v>
      </c>
      <c r="K461" s="1" t="n">
        <v>-1</v>
      </c>
      <c r="L461" s="2" t="n">
        <v>16</v>
      </c>
      <c r="M461" s="1" t="s">
        <v>65</v>
      </c>
      <c r="N461" s="1" t="s">
        <v>105</v>
      </c>
      <c r="O461" s="5" t="n">
        <v>46187.9673611111</v>
      </c>
      <c r="P461" s="5" t="n">
        <v>46224.6979166667</v>
      </c>
      <c r="Q461" s="1" t="n">
        <v>65.7252</v>
      </c>
      <c r="R461" s="1" t="n">
        <v>-131.6022</v>
      </c>
      <c r="S461" s="1" t="s">
        <v>1911</v>
      </c>
      <c r="T461" s="1" t="n">
        <v>2026</v>
      </c>
      <c r="U461" s="1" t="n">
        <v>2026</v>
      </c>
      <c r="V461" s="5" t="n">
        <v>46195.78125</v>
      </c>
      <c r="W461" s="6" t="n">
        <v>46387.9999999884</v>
      </c>
    </row>
    <row r="462" customFormat="false" ht="12.75" hidden="false" customHeight="false" outlineLevel="0" collapsed="false">
      <c r="A462" s="1" t="s">
        <v>1912</v>
      </c>
      <c r="B462" s="1" t="n">
        <v>16395249</v>
      </c>
      <c r="C462" s="1" t="s">
        <v>1095</v>
      </c>
      <c r="D462" s="1" t="s">
        <v>1140</v>
      </c>
      <c r="E462" s="1" t="s">
        <v>1913</v>
      </c>
      <c r="F462" s="1" t="s">
        <v>1914</v>
      </c>
      <c r="G462" s="2" t="s">
        <v>28</v>
      </c>
      <c r="H462" s="1" t="n">
        <v>-1</v>
      </c>
      <c r="I462" s="1" t="n">
        <v>-1</v>
      </c>
      <c r="J462" s="1" t="n">
        <v>-1</v>
      </c>
      <c r="K462" s="1" t="n">
        <v>-1</v>
      </c>
      <c r="L462" s="2" t="n">
        <v>79.809</v>
      </c>
      <c r="M462" s="1" t="s">
        <v>65</v>
      </c>
      <c r="N462" s="1" t="s">
        <v>105</v>
      </c>
      <c r="O462" s="5" t="n">
        <v>46194.9493055556</v>
      </c>
      <c r="P462" s="5" t="n">
        <v>46224.6979166667</v>
      </c>
      <c r="Q462" s="1" t="n">
        <v>68.434</v>
      </c>
      <c r="R462" s="1" t="n">
        <v>-131.1802</v>
      </c>
      <c r="S462" s="1" t="s">
        <v>1915</v>
      </c>
      <c r="T462" s="1" t="n">
        <v>2026</v>
      </c>
      <c r="U462" s="1" t="n">
        <v>2026</v>
      </c>
      <c r="V462" s="5" t="n">
        <v>46195.7395833333</v>
      </c>
      <c r="W462" s="6" t="n">
        <v>46387.9999999884</v>
      </c>
    </row>
    <row r="463" customFormat="false" ht="12.75" hidden="false" customHeight="false" outlineLevel="0" collapsed="false">
      <c r="A463" s="1" t="s">
        <v>1916</v>
      </c>
      <c r="B463" s="1" t="n">
        <v>16345362</v>
      </c>
      <c r="C463" s="1" t="s">
        <v>1095</v>
      </c>
      <c r="D463" s="1" t="s">
        <v>1118</v>
      </c>
      <c r="E463" s="1" t="s">
        <v>1917</v>
      </c>
      <c r="F463" s="1" t="s">
        <v>1918</v>
      </c>
      <c r="G463" s="2" t="s">
        <v>28</v>
      </c>
      <c r="H463" s="1" t="n">
        <v>-1</v>
      </c>
      <c r="I463" s="1" t="n">
        <v>-1</v>
      </c>
      <c r="J463" s="1" t="n">
        <v>-1</v>
      </c>
      <c r="K463" s="1" t="n">
        <v>-1</v>
      </c>
      <c r="L463" s="2" t="n">
        <v>2980</v>
      </c>
      <c r="M463" s="1" t="s">
        <v>70</v>
      </c>
      <c r="N463" s="1" t="s">
        <v>105</v>
      </c>
      <c r="O463" s="5" t="n">
        <v>46187.9819444444</v>
      </c>
      <c r="P463" s="5" t="n">
        <v>46224.6979166667</v>
      </c>
      <c r="Q463" s="1" t="n">
        <v>66.0554</v>
      </c>
      <c r="R463" s="1" t="n">
        <v>-125.4617</v>
      </c>
      <c r="S463" s="1" t="s">
        <v>1919</v>
      </c>
      <c r="T463" s="1" t="n">
        <v>2026</v>
      </c>
      <c r="U463" s="1" t="n">
        <v>2026</v>
      </c>
      <c r="V463" s="5" t="n">
        <v>46194.65625</v>
      </c>
      <c r="W463" s="6" t="n">
        <v>46387.9999999884</v>
      </c>
    </row>
    <row r="464" customFormat="false" ht="12.75" hidden="false" customHeight="false" outlineLevel="0" collapsed="false">
      <c r="A464" s="1" t="s">
        <v>1920</v>
      </c>
      <c r="B464" s="1" t="n">
        <v>16313508</v>
      </c>
      <c r="C464" s="1" t="s">
        <v>1095</v>
      </c>
      <c r="D464" s="1" t="s">
        <v>1096</v>
      </c>
      <c r="E464" s="1" t="s">
        <v>1921</v>
      </c>
      <c r="F464" s="1" t="s">
        <v>1922</v>
      </c>
      <c r="G464" s="2" t="s">
        <v>28</v>
      </c>
      <c r="H464" s="1" t="n">
        <v>-1</v>
      </c>
      <c r="I464" s="1" t="n">
        <v>-1</v>
      </c>
      <c r="J464" s="1" t="n">
        <v>-1</v>
      </c>
      <c r="K464" s="1" t="n">
        <v>-1</v>
      </c>
      <c r="L464" s="2" t="n">
        <v>10</v>
      </c>
      <c r="M464" s="1" t="s">
        <v>29</v>
      </c>
      <c r="N464" s="1" t="s">
        <v>30</v>
      </c>
      <c r="O464" s="5" t="n">
        <v>46187.0104166667</v>
      </c>
      <c r="P464" s="5" t="n">
        <v>46224.6979166667</v>
      </c>
      <c r="Q464" s="1" t="n">
        <v>63.205</v>
      </c>
      <c r="R464" s="1" t="n">
        <v>-121.5366</v>
      </c>
      <c r="S464" s="1" t="s">
        <v>1923</v>
      </c>
      <c r="T464" s="1" t="n">
        <v>2026</v>
      </c>
      <c r="U464" s="1" t="n">
        <v>2026</v>
      </c>
      <c r="V464" s="5" t="n">
        <v>46193.9479166667</v>
      </c>
      <c r="W464" s="6" t="n">
        <v>46387.9999999884</v>
      </c>
    </row>
    <row r="465" customFormat="false" ht="12.75" hidden="false" customHeight="false" outlineLevel="0" collapsed="false">
      <c r="A465" s="1" t="s">
        <v>1924</v>
      </c>
      <c r="B465" s="1" t="n">
        <v>16263803</v>
      </c>
      <c r="C465" s="1" t="s">
        <v>1095</v>
      </c>
      <c r="D465" s="1" t="s">
        <v>1101</v>
      </c>
      <c r="E465" s="1" t="s">
        <v>1925</v>
      </c>
      <c r="F465" s="1" t="s">
        <v>1926</v>
      </c>
      <c r="G465" s="2" t="s">
        <v>28</v>
      </c>
      <c r="H465" s="1" t="n">
        <v>-1</v>
      </c>
      <c r="I465" s="1" t="n">
        <v>-1</v>
      </c>
      <c r="J465" s="1" t="n">
        <v>-1</v>
      </c>
      <c r="K465" s="1" t="n">
        <v>-1</v>
      </c>
      <c r="L465" s="2" t="n">
        <v>737</v>
      </c>
      <c r="M465" s="1" t="s">
        <v>70</v>
      </c>
      <c r="N465" s="1" t="s">
        <v>30</v>
      </c>
      <c r="O465" s="5" t="n">
        <v>46176.9166666667</v>
      </c>
      <c r="P465" s="5" t="n">
        <v>46224.6979166667</v>
      </c>
      <c r="Q465" s="1" t="n">
        <v>60.539</v>
      </c>
      <c r="R465" s="1" t="n">
        <v>-113.0642</v>
      </c>
      <c r="S465" s="1" t="s">
        <v>1927</v>
      </c>
      <c r="T465" s="1" t="n">
        <v>2026</v>
      </c>
      <c r="U465" s="1" t="n">
        <v>2026</v>
      </c>
      <c r="V465" s="5" t="n">
        <v>46192.8229166667</v>
      </c>
      <c r="W465" s="6" t="n">
        <v>46387.9999999884</v>
      </c>
    </row>
    <row r="466" customFormat="false" ht="12.75" hidden="false" customHeight="false" outlineLevel="0" collapsed="false">
      <c r="A466" s="1" t="s">
        <v>1928</v>
      </c>
      <c r="B466" s="1" t="n">
        <v>16219014</v>
      </c>
      <c r="C466" s="1" t="s">
        <v>1095</v>
      </c>
      <c r="D466" s="1" t="s">
        <v>1118</v>
      </c>
      <c r="E466" s="1" t="s">
        <v>1929</v>
      </c>
      <c r="F466" s="1" t="s">
        <v>1930</v>
      </c>
      <c r="G466" s="2" t="s">
        <v>28</v>
      </c>
      <c r="H466" s="1" t="n">
        <v>-1</v>
      </c>
      <c r="I466" s="1" t="n">
        <v>-1</v>
      </c>
      <c r="J466" s="1" t="n">
        <v>-1</v>
      </c>
      <c r="K466" s="1" t="n">
        <v>-1</v>
      </c>
      <c r="L466" s="2" t="n">
        <v>0.5</v>
      </c>
      <c r="M466" s="1" t="s">
        <v>29</v>
      </c>
      <c r="N466" s="1" t="s">
        <v>37</v>
      </c>
      <c r="O466" s="5" t="n">
        <v>46190.0868055556</v>
      </c>
      <c r="P466" s="5" t="n">
        <v>46224.6979166667</v>
      </c>
      <c r="Q466" s="1" t="n">
        <v>66.7428</v>
      </c>
      <c r="R466" s="1" t="n">
        <v>-125.5003</v>
      </c>
      <c r="S466" s="1" t="s">
        <v>1931</v>
      </c>
      <c r="T466" s="1" t="n">
        <v>2026</v>
      </c>
      <c r="U466" s="1" t="n">
        <v>2026</v>
      </c>
      <c r="V466" s="5" t="n">
        <v>46191.8229166667</v>
      </c>
      <c r="W466" s="6" t="n">
        <v>46387.9999999884</v>
      </c>
    </row>
    <row r="467" customFormat="false" ht="12.75" hidden="false" customHeight="false" outlineLevel="0" collapsed="false">
      <c r="A467" s="1" t="s">
        <v>1932</v>
      </c>
      <c r="B467" s="1" t="n">
        <v>18447335</v>
      </c>
      <c r="C467" s="1" t="s">
        <v>1933</v>
      </c>
      <c r="D467" s="1" t="s">
        <v>1934</v>
      </c>
      <c r="E467" s="1" t="s">
        <v>1935</v>
      </c>
      <c r="F467" s="1" t="s">
        <v>1936</v>
      </c>
      <c r="G467" s="2" t="s">
        <v>84</v>
      </c>
      <c r="H467" s="1" t="n">
        <v>-1</v>
      </c>
      <c r="I467" s="1" t="n">
        <v>-1</v>
      </c>
      <c r="J467" s="1" t="n">
        <v>0</v>
      </c>
      <c r="K467" s="1" t="n">
        <v>-1</v>
      </c>
      <c r="L467" s="2" t="n">
        <v>0.1</v>
      </c>
      <c r="M467" s="1" t="s">
        <v>29</v>
      </c>
      <c r="N467" s="1" t="s">
        <v>37</v>
      </c>
      <c r="O467" s="5" t="n">
        <v>46223.9041666667</v>
      </c>
      <c r="P467" s="5" t="n">
        <v>46224.6388888889</v>
      </c>
      <c r="Q467" s="1" t="n">
        <v>51.4392</v>
      </c>
      <c r="R467" s="1" t="n">
        <v>-90.0279</v>
      </c>
      <c r="S467" s="1" t="s">
        <v>1937</v>
      </c>
      <c r="T467" s="1" t="n">
        <v>2026</v>
      </c>
      <c r="U467" s="1" t="n">
        <v>2026</v>
      </c>
      <c r="V467" s="5" t="n">
        <v>46224.6979166667</v>
      </c>
      <c r="W467" s="6" t="n">
        <v>46387.9999999884</v>
      </c>
    </row>
    <row r="468" customFormat="false" ht="12.75" hidden="false" customHeight="false" outlineLevel="0" collapsed="false">
      <c r="A468" s="1" t="s">
        <v>1938</v>
      </c>
      <c r="B468" s="1" t="n">
        <v>18447002</v>
      </c>
      <c r="C468" s="1" t="s">
        <v>1933</v>
      </c>
      <c r="D468" s="1" t="s">
        <v>1939</v>
      </c>
      <c r="E468" s="1" t="s">
        <v>1940</v>
      </c>
      <c r="F468" s="1" t="s">
        <v>1941</v>
      </c>
      <c r="G468" s="2" t="s">
        <v>84</v>
      </c>
      <c r="H468" s="1" t="n">
        <v>-1</v>
      </c>
      <c r="I468" s="1" t="n">
        <v>-1</v>
      </c>
      <c r="J468" s="1" t="n">
        <v>0</v>
      </c>
      <c r="K468" s="1" t="n">
        <v>-1</v>
      </c>
      <c r="L468" s="2" t="n">
        <v>3.5</v>
      </c>
      <c r="M468" s="1" t="s">
        <v>29</v>
      </c>
      <c r="N468" s="1" t="s">
        <v>30</v>
      </c>
      <c r="O468" s="5" t="n">
        <v>46222.7152777778</v>
      </c>
      <c r="P468" s="5" t="n">
        <v>46224.66875</v>
      </c>
      <c r="Q468" s="1" t="n">
        <v>50.0588</v>
      </c>
      <c r="R468" s="1" t="n">
        <v>-90.2245</v>
      </c>
      <c r="S468" s="1" t="s">
        <v>1942</v>
      </c>
      <c r="T468" s="1" t="n">
        <v>2026</v>
      </c>
      <c r="U468" s="1" t="n">
        <v>2026</v>
      </c>
      <c r="V468" s="5" t="n">
        <v>46224.6979166667</v>
      </c>
      <c r="W468" s="6" t="n">
        <v>46387.9999999884</v>
      </c>
    </row>
    <row r="469" customFormat="false" ht="12.75" hidden="false" customHeight="false" outlineLevel="0" collapsed="false">
      <c r="A469" s="1" t="s">
        <v>1943</v>
      </c>
      <c r="B469" s="1" t="n">
        <v>18443252</v>
      </c>
      <c r="C469" s="1" t="s">
        <v>1933</v>
      </c>
      <c r="D469" s="1" t="s">
        <v>1944</v>
      </c>
      <c r="E469" s="1" t="s">
        <v>1945</v>
      </c>
      <c r="F469" s="1" t="s">
        <v>1946</v>
      </c>
      <c r="G469" s="2" t="s">
        <v>84</v>
      </c>
      <c r="H469" s="1" t="n">
        <v>-1</v>
      </c>
      <c r="I469" s="1" t="n">
        <v>-1</v>
      </c>
      <c r="J469" s="1" t="n">
        <v>0</v>
      </c>
      <c r="K469" s="1" t="n">
        <v>-1</v>
      </c>
      <c r="L469" s="2" t="n">
        <v>0.1</v>
      </c>
      <c r="M469" s="1" t="s">
        <v>65</v>
      </c>
      <c r="N469" s="1" t="s">
        <v>105</v>
      </c>
      <c r="O469" s="5" t="n">
        <v>46224.5881944444</v>
      </c>
      <c r="P469" s="5" t="n">
        <v>46224.6194444444</v>
      </c>
      <c r="Q469" s="1" t="n">
        <v>49.1752</v>
      </c>
      <c r="R469" s="1" t="n">
        <v>-93.5069</v>
      </c>
      <c r="S469" s="1" t="s">
        <v>1947</v>
      </c>
      <c r="T469" s="1" t="n">
        <v>2026</v>
      </c>
      <c r="U469" s="1" t="n">
        <v>2026</v>
      </c>
      <c r="V469" s="5" t="n">
        <v>46224.65625</v>
      </c>
      <c r="W469" s="6" t="n">
        <v>46387.9999999884</v>
      </c>
    </row>
    <row r="470" customFormat="false" ht="12.75" hidden="false" customHeight="false" outlineLevel="0" collapsed="false">
      <c r="A470" s="1" t="s">
        <v>1948</v>
      </c>
      <c r="B470" s="1" t="n">
        <v>18439926</v>
      </c>
      <c r="C470" s="1" t="s">
        <v>1933</v>
      </c>
      <c r="D470" s="1" t="s">
        <v>1949</v>
      </c>
      <c r="E470" s="1" t="s">
        <v>1950</v>
      </c>
      <c r="F470" s="1" t="s">
        <v>1951</v>
      </c>
      <c r="G470" s="2" t="s">
        <v>28</v>
      </c>
      <c r="H470" s="1" t="n">
        <v>-1</v>
      </c>
      <c r="I470" s="1" t="n">
        <v>-1</v>
      </c>
      <c r="J470" s="1" t="n">
        <v>0</v>
      </c>
      <c r="K470" s="1" t="n">
        <v>-1</v>
      </c>
      <c r="L470" s="2" t="n">
        <v>4</v>
      </c>
      <c r="M470" s="1" t="s">
        <v>29</v>
      </c>
      <c r="N470" s="1" t="s">
        <v>37</v>
      </c>
      <c r="O470" s="5" t="n">
        <v>46217.7006944444</v>
      </c>
      <c r="P470" s="5" t="n">
        <v>46224.5833333333</v>
      </c>
      <c r="Q470" s="1" t="n">
        <v>50.827</v>
      </c>
      <c r="R470" s="1" t="n">
        <v>-87.7475</v>
      </c>
      <c r="S470" s="1" t="s">
        <v>1952</v>
      </c>
      <c r="T470" s="1" t="n">
        <v>2026</v>
      </c>
      <c r="U470" s="1" t="n">
        <v>2026</v>
      </c>
      <c r="V470" s="5" t="n">
        <v>46224.6145833333</v>
      </c>
      <c r="W470" s="6" t="n">
        <v>46387.9999999884</v>
      </c>
    </row>
    <row r="471" customFormat="false" ht="12.75" hidden="false" customHeight="false" outlineLevel="0" collapsed="false">
      <c r="A471" s="1" t="s">
        <v>1953</v>
      </c>
      <c r="B471" s="1" t="n">
        <v>18387125</v>
      </c>
      <c r="C471" s="1" t="s">
        <v>1933</v>
      </c>
      <c r="D471" s="1" t="s">
        <v>1939</v>
      </c>
      <c r="E471" s="1" t="s">
        <v>1954</v>
      </c>
      <c r="F471" s="1" t="s">
        <v>1955</v>
      </c>
      <c r="G471" s="2" t="s">
        <v>84</v>
      </c>
      <c r="H471" s="1" t="n">
        <v>-1</v>
      </c>
      <c r="I471" s="1" t="n">
        <v>-1</v>
      </c>
      <c r="J471" s="1" t="n">
        <v>0</v>
      </c>
      <c r="K471" s="1" t="n">
        <v>-1</v>
      </c>
      <c r="L471" s="2" t="n">
        <v>1803</v>
      </c>
      <c r="M471" s="1" t="s">
        <v>29</v>
      </c>
      <c r="N471" s="1" t="s">
        <v>105</v>
      </c>
      <c r="O471" s="5" t="n">
        <v>46216.9729166667</v>
      </c>
      <c r="P471" s="5" t="n">
        <v>46223.8076388889</v>
      </c>
      <c r="Q471" s="1" t="n">
        <v>49.2371</v>
      </c>
      <c r="R471" s="1" t="n">
        <v>-91.8508</v>
      </c>
      <c r="S471" s="1" t="s">
        <v>1956</v>
      </c>
      <c r="T471" s="1" t="n">
        <v>2026</v>
      </c>
      <c r="U471" s="1" t="n">
        <v>2026</v>
      </c>
      <c r="V471" s="5" t="n">
        <v>46223.9895833333</v>
      </c>
      <c r="W471" s="6" t="n">
        <v>46387.9999999884</v>
      </c>
    </row>
    <row r="472" customFormat="false" ht="12.75" hidden="false" customHeight="false" outlineLevel="0" collapsed="false">
      <c r="A472" s="1" t="s">
        <v>1957</v>
      </c>
      <c r="B472" s="1" t="n">
        <v>18379489</v>
      </c>
      <c r="C472" s="1" t="s">
        <v>1933</v>
      </c>
      <c r="D472" s="1" t="s">
        <v>1934</v>
      </c>
      <c r="E472" s="1" t="s">
        <v>1958</v>
      </c>
      <c r="F472" s="1" t="s">
        <v>1959</v>
      </c>
      <c r="G472" s="2" t="s">
        <v>28</v>
      </c>
      <c r="H472" s="1" t="n">
        <v>-1</v>
      </c>
      <c r="I472" s="1" t="n">
        <v>-1</v>
      </c>
      <c r="J472" s="1" t="n">
        <v>0</v>
      </c>
      <c r="K472" s="1" t="n">
        <v>-1</v>
      </c>
      <c r="L472" s="2" t="n">
        <v>23597</v>
      </c>
      <c r="M472" s="1" t="s">
        <v>29</v>
      </c>
      <c r="N472" s="1" t="s">
        <v>105</v>
      </c>
      <c r="O472" s="5" t="n">
        <v>46214.9569444444</v>
      </c>
      <c r="P472" s="5" t="n">
        <v>46223.8736111111</v>
      </c>
      <c r="Q472" s="1" t="n">
        <v>51.8318</v>
      </c>
      <c r="R472" s="1" t="n">
        <v>-92.1735</v>
      </c>
      <c r="S472" s="1" t="s">
        <v>1960</v>
      </c>
      <c r="T472" s="1" t="n">
        <v>2026</v>
      </c>
      <c r="U472" s="1" t="n">
        <v>2026</v>
      </c>
      <c r="V472" s="5" t="n">
        <v>46223.90625</v>
      </c>
      <c r="W472" s="6" t="n">
        <v>46387.9999999884</v>
      </c>
    </row>
    <row r="473" customFormat="false" ht="12.75" hidden="false" customHeight="false" outlineLevel="0" collapsed="false">
      <c r="A473" s="1" t="s">
        <v>1961</v>
      </c>
      <c r="B473" s="1" t="n">
        <v>18376155</v>
      </c>
      <c r="C473" s="1" t="s">
        <v>1933</v>
      </c>
      <c r="D473" s="1" t="s">
        <v>1962</v>
      </c>
      <c r="E473" s="1" t="s">
        <v>1963</v>
      </c>
      <c r="F473" s="1" t="s">
        <v>1964</v>
      </c>
      <c r="G473" s="2" t="s">
        <v>28</v>
      </c>
      <c r="H473" s="1" t="n">
        <v>-1</v>
      </c>
      <c r="I473" s="1" t="n">
        <v>-1</v>
      </c>
      <c r="J473" s="1" t="n">
        <v>0</v>
      </c>
      <c r="K473" s="1" t="n">
        <v>-1</v>
      </c>
      <c r="L473" s="2" t="n">
        <v>638</v>
      </c>
      <c r="M473" s="1" t="s">
        <v>65</v>
      </c>
      <c r="N473" s="1" t="s">
        <v>105</v>
      </c>
      <c r="O473" s="5" t="n">
        <v>46215.8729166667</v>
      </c>
      <c r="P473" s="5" t="n">
        <v>46223.7916666667</v>
      </c>
      <c r="Q473" s="1" t="n">
        <v>52.1932</v>
      </c>
      <c r="R473" s="1" t="n">
        <v>-92.7637</v>
      </c>
      <c r="S473" s="1" t="s">
        <v>1965</v>
      </c>
      <c r="T473" s="1" t="n">
        <v>2026</v>
      </c>
      <c r="U473" s="1" t="n">
        <v>2026</v>
      </c>
      <c r="V473" s="5" t="n">
        <v>46223.8645833333</v>
      </c>
      <c r="W473" s="6" t="n">
        <v>46387.9999999884</v>
      </c>
    </row>
    <row r="474" customFormat="false" ht="12.75" hidden="false" customHeight="false" outlineLevel="0" collapsed="false">
      <c r="A474" s="1" t="s">
        <v>1966</v>
      </c>
      <c r="B474" s="1" t="n">
        <v>18368431</v>
      </c>
      <c r="C474" s="1" t="s">
        <v>1933</v>
      </c>
      <c r="D474" s="1" t="s">
        <v>1939</v>
      </c>
      <c r="E474" s="1" t="s">
        <v>1967</v>
      </c>
      <c r="F474" s="1" t="s">
        <v>1968</v>
      </c>
      <c r="G474" s="2" t="s">
        <v>28</v>
      </c>
      <c r="H474" s="1" t="n">
        <v>-1</v>
      </c>
      <c r="I474" s="1" t="n">
        <v>-1</v>
      </c>
      <c r="J474" s="1" t="n">
        <v>0</v>
      </c>
      <c r="K474" s="1" t="n">
        <v>-1</v>
      </c>
      <c r="L474" s="2" t="n">
        <v>0.5</v>
      </c>
      <c r="M474" s="1" t="s">
        <v>29</v>
      </c>
      <c r="N474" s="1" t="s">
        <v>105</v>
      </c>
      <c r="O474" s="5" t="n">
        <v>46222.93125</v>
      </c>
      <c r="P474" s="5" t="n">
        <v>46223.7375</v>
      </c>
      <c r="Q474" s="1" t="n">
        <v>50.0999</v>
      </c>
      <c r="R474" s="1" t="n">
        <v>-90.1047</v>
      </c>
      <c r="S474" s="1" t="s">
        <v>1969</v>
      </c>
      <c r="T474" s="1" t="n">
        <v>2026</v>
      </c>
      <c r="U474" s="1" t="n">
        <v>2026</v>
      </c>
      <c r="V474" s="5" t="n">
        <v>46223.78125</v>
      </c>
      <c r="W474" s="6" t="n">
        <v>46387.9999999884</v>
      </c>
    </row>
    <row r="475" customFormat="false" ht="12.75" hidden="false" customHeight="false" outlineLevel="0" collapsed="false">
      <c r="A475" s="1" t="s">
        <v>1970</v>
      </c>
      <c r="B475" s="1" t="n">
        <v>18361584</v>
      </c>
      <c r="C475" s="1" t="s">
        <v>1933</v>
      </c>
      <c r="D475" s="1" t="s">
        <v>1934</v>
      </c>
      <c r="E475" s="1" t="s">
        <v>1971</v>
      </c>
      <c r="F475" s="1" t="s">
        <v>1972</v>
      </c>
      <c r="G475" s="2" t="s">
        <v>28</v>
      </c>
      <c r="H475" s="1" t="n">
        <v>-1</v>
      </c>
      <c r="I475" s="1" t="n">
        <v>-1</v>
      </c>
      <c r="J475" s="1" t="n">
        <v>0</v>
      </c>
      <c r="K475" s="1" t="n">
        <v>-1</v>
      </c>
      <c r="L475" s="2" t="n">
        <v>2.5</v>
      </c>
      <c r="M475" s="1" t="s">
        <v>29</v>
      </c>
      <c r="N475" s="1" t="s">
        <v>37</v>
      </c>
      <c r="O475" s="5" t="n">
        <v>46216.8534722222</v>
      </c>
      <c r="P475" s="5" t="n">
        <v>46223.5833333333</v>
      </c>
      <c r="Q475" s="1" t="n">
        <v>51.173</v>
      </c>
      <c r="R475" s="1" t="n">
        <v>-90.2883</v>
      </c>
      <c r="S475" s="1" t="s">
        <v>1973</v>
      </c>
      <c r="T475" s="1" t="n">
        <v>2026</v>
      </c>
      <c r="U475" s="1" t="n">
        <v>2026</v>
      </c>
      <c r="V475" s="5" t="n">
        <v>46223.6979166667</v>
      </c>
      <c r="W475" s="6" t="n">
        <v>46387.9999999884</v>
      </c>
    </row>
    <row r="476" customFormat="false" ht="12.75" hidden="false" customHeight="false" outlineLevel="0" collapsed="false">
      <c r="A476" s="1" t="s">
        <v>1974</v>
      </c>
      <c r="B476" s="1" t="n">
        <v>18359214</v>
      </c>
      <c r="C476" s="1" t="s">
        <v>1933</v>
      </c>
      <c r="D476" s="1" t="s">
        <v>1934</v>
      </c>
      <c r="E476" s="1" t="s">
        <v>1975</v>
      </c>
      <c r="F476" s="1" t="s">
        <v>1976</v>
      </c>
      <c r="G476" s="2" t="s">
        <v>28</v>
      </c>
      <c r="H476" s="1" t="n">
        <v>-1</v>
      </c>
      <c r="I476" s="1" t="n">
        <v>-1</v>
      </c>
      <c r="J476" s="1" t="n">
        <v>0</v>
      </c>
      <c r="K476" s="1" t="n">
        <v>-1</v>
      </c>
      <c r="L476" s="2" t="n">
        <v>25</v>
      </c>
      <c r="M476" s="1" t="s">
        <v>70</v>
      </c>
      <c r="N476" s="1" t="s">
        <v>105</v>
      </c>
      <c r="O476" s="5" t="n">
        <v>46182.7861111111</v>
      </c>
      <c r="P476" s="5" t="n">
        <v>46183.5652777778</v>
      </c>
      <c r="Q476" s="1" t="n">
        <v>54.4933</v>
      </c>
      <c r="R476" s="1" t="n">
        <v>-91.3665</v>
      </c>
      <c r="S476" s="1" t="s">
        <v>1977</v>
      </c>
      <c r="T476" s="1" t="n">
        <v>2026</v>
      </c>
      <c r="U476" s="1" t="n">
        <v>2026</v>
      </c>
      <c r="V476" s="5" t="n">
        <v>46223.65625</v>
      </c>
      <c r="W476" s="6" t="n">
        <v>46387.9999999884</v>
      </c>
    </row>
    <row r="477" customFormat="false" ht="12.75" hidden="false" customHeight="false" outlineLevel="0" collapsed="false">
      <c r="A477" s="1" t="s">
        <v>1978</v>
      </c>
      <c r="B477" s="1" t="n">
        <v>18349365</v>
      </c>
      <c r="C477" s="1" t="s">
        <v>1933</v>
      </c>
      <c r="D477" s="1" t="s">
        <v>1949</v>
      </c>
      <c r="E477" s="1" t="s">
        <v>1979</v>
      </c>
      <c r="F477" s="1" t="s">
        <v>1980</v>
      </c>
      <c r="G477" s="2" t="s">
        <v>28</v>
      </c>
      <c r="H477" s="1" t="n">
        <v>-1</v>
      </c>
      <c r="I477" s="1" t="n">
        <v>-1</v>
      </c>
      <c r="J477" s="1" t="n">
        <v>0</v>
      </c>
      <c r="K477" s="1" t="n">
        <v>-1</v>
      </c>
      <c r="L477" s="2" t="n">
        <v>9</v>
      </c>
      <c r="M477" s="1" t="s">
        <v>29</v>
      </c>
      <c r="N477" s="1" t="s">
        <v>37</v>
      </c>
      <c r="O477" s="5" t="n">
        <v>46218.8243055556</v>
      </c>
      <c r="P477" s="5" t="n">
        <v>46223.5</v>
      </c>
      <c r="Q477" s="1" t="n">
        <v>50.224</v>
      </c>
      <c r="R477" s="1" t="n">
        <v>-86.824</v>
      </c>
      <c r="S477" s="1" t="s">
        <v>1981</v>
      </c>
      <c r="T477" s="1" t="n">
        <v>2026</v>
      </c>
      <c r="U477" s="1" t="n">
        <v>2026</v>
      </c>
      <c r="V477" s="5" t="n">
        <v>46223.5729166667</v>
      </c>
      <c r="W477" s="6" t="n">
        <v>46387.9999999884</v>
      </c>
    </row>
    <row r="478" customFormat="false" ht="12.75" hidden="false" customHeight="false" outlineLevel="0" collapsed="false">
      <c r="A478" s="1" t="s">
        <v>1982</v>
      </c>
      <c r="B478" s="1" t="n">
        <v>18306135</v>
      </c>
      <c r="C478" s="1" t="s">
        <v>1933</v>
      </c>
      <c r="D478" s="1" t="s">
        <v>1939</v>
      </c>
      <c r="E478" s="1" t="s">
        <v>1983</v>
      </c>
      <c r="F478" s="1" t="s">
        <v>1984</v>
      </c>
      <c r="G478" s="2" t="s">
        <v>84</v>
      </c>
      <c r="H478" s="1" t="n">
        <v>-1</v>
      </c>
      <c r="I478" s="1" t="n">
        <v>-1</v>
      </c>
      <c r="J478" s="1" t="n">
        <v>0</v>
      </c>
      <c r="K478" s="1" t="n">
        <v>-1</v>
      </c>
      <c r="L478" s="2" t="n">
        <v>1</v>
      </c>
      <c r="M478" s="1" t="s">
        <v>29</v>
      </c>
      <c r="N478" s="1" t="s">
        <v>105</v>
      </c>
      <c r="O478" s="5" t="n">
        <v>46223.0277777778</v>
      </c>
      <c r="P478" s="5" t="n">
        <v>46224.6694444444</v>
      </c>
      <c r="Q478" s="1" t="n">
        <v>50.1874</v>
      </c>
      <c r="R478" s="1" t="n">
        <v>-89.8851</v>
      </c>
      <c r="S478" s="1" t="s">
        <v>1985</v>
      </c>
      <c r="T478" s="1" t="n">
        <v>2026</v>
      </c>
      <c r="U478" s="1" t="n">
        <v>2026</v>
      </c>
      <c r="V478" s="5" t="n">
        <v>46223.0729166667</v>
      </c>
      <c r="W478" s="6" t="n">
        <v>46387.9999999884</v>
      </c>
    </row>
    <row r="479" customFormat="false" ht="12.75" hidden="false" customHeight="false" outlineLevel="0" collapsed="false">
      <c r="A479" s="1" t="s">
        <v>1986</v>
      </c>
      <c r="B479" s="1" t="n">
        <v>18301796</v>
      </c>
      <c r="C479" s="1" t="s">
        <v>1933</v>
      </c>
      <c r="D479" s="1" t="s">
        <v>1949</v>
      </c>
      <c r="E479" s="1" t="s">
        <v>1987</v>
      </c>
      <c r="F479" s="1" t="s">
        <v>1988</v>
      </c>
      <c r="G479" s="2" t="s">
        <v>28</v>
      </c>
      <c r="H479" s="1" t="n">
        <v>-1</v>
      </c>
      <c r="I479" s="1" t="n">
        <v>-1</v>
      </c>
      <c r="J479" s="1" t="n">
        <v>0</v>
      </c>
      <c r="K479" s="1" t="n">
        <v>-1</v>
      </c>
      <c r="L479" s="2" t="n">
        <v>200</v>
      </c>
      <c r="M479" s="1" t="s">
        <v>65</v>
      </c>
      <c r="N479" s="1" t="s">
        <v>105</v>
      </c>
      <c r="O479" s="5" t="n">
        <v>46217.9631944444</v>
      </c>
      <c r="P479" s="5" t="n">
        <v>46222.9583333333</v>
      </c>
      <c r="Q479" s="1" t="n">
        <v>50.4924</v>
      </c>
      <c r="R479" s="1" t="n">
        <v>-86.386</v>
      </c>
      <c r="S479" s="1" t="s">
        <v>1989</v>
      </c>
      <c r="T479" s="1" t="n">
        <v>2026</v>
      </c>
      <c r="U479" s="1" t="n">
        <v>2026</v>
      </c>
      <c r="V479" s="5" t="n">
        <v>46223.0319444445</v>
      </c>
      <c r="W479" s="6" t="n">
        <v>46387.9999999884</v>
      </c>
    </row>
    <row r="480" customFormat="false" ht="12.75" hidden="false" customHeight="false" outlineLevel="0" collapsed="false">
      <c r="A480" s="1" t="s">
        <v>1990</v>
      </c>
      <c r="B480" s="1" t="n">
        <v>18301819</v>
      </c>
      <c r="C480" s="1" t="s">
        <v>1933</v>
      </c>
      <c r="D480" s="1" t="s">
        <v>1949</v>
      </c>
      <c r="E480" s="1" t="s">
        <v>1991</v>
      </c>
      <c r="F480" s="1" t="s">
        <v>1992</v>
      </c>
      <c r="G480" s="2" t="s">
        <v>84</v>
      </c>
      <c r="H480" s="1" t="n">
        <v>-1</v>
      </c>
      <c r="I480" s="1" t="n">
        <v>-1</v>
      </c>
      <c r="J480" s="1" t="n">
        <v>0</v>
      </c>
      <c r="K480" s="1" t="n">
        <v>-1</v>
      </c>
      <c r="L480" s="2" t="n">
        <v>40</v>
      </c>
      <c r="M480" s="1" t="s">
        <v>65</v>
      </c>
      <c r="N480" s="1" t="s">
        <v>105</v>
      </c>
      <c r="O480" s="5" t="n">
        <v>46221.9201388889</v>
      </c>
      <c r="P480" s="5" t="n">
        <v>46222.9583333333</v>
      </c>
      <c r="Q480" s="1" t="n">
        <v>51.9287</v>
      </c>
      <c r="R480" s="1" t="n">
        <v>-86.0321</v>
      </c>
      <c r="S480" s="1" t="s">
        <v>1993</v>
      </c>
      <c r="T480" s="1" t="n">
        <v>2026</v>
      </c>
      <c r="U480" s="1" t="n">
        <v>2026</v>
      </c>
      <c r="V480" s="5" t="n">
        <v>46223.0319444445</v>
      </c>
      <c r="W480" s="6" t="n">
        <v>46387.9999999884</v>
      </c>
    </row>
    <row r="481" customFormat="false" ht="12.75" hidden="false" customHeight="false" outlineLevel="0" collapsed="false">
      <c r="A481" s="1" t="s">
        <v>1994</v>
      </c>
      <c r="B481" s="1" t="n">
        <v>18301802</v>
      </c>
      <c r="C481" s="1" t="s">
        <v>1933</v>
      </c>
      <c r="D481" s="1" t="s">
        <v>1949</v>
      </c>
      <c r="E481" s="1" t="s">
        <v>1995</v>
      </c>
      <c r="F481" s="1" t="s">
        <v>1996</v>
      </c>
      <c r="G481" s="2" t="s">
        <v>28</v>
      </c>
      <c r="H481" s="1" t="n">
        <v>-1</v>
      </c>
      <c r="I481" s="1" t="n">
        <v>-1</v>
      </c>
      <c r="J481" s="1" t="n">
        <v>0</v>
      </c>
      <c r="K481" s="1" t="n">
        <v>-1</v>
      </c>
      <c r="L481" s="2" t="n">
        <v>0.6</v>
      </c>
      <c r="M481" s="1" t="s">
        <v>65</v>
      </c>
      <c r="N481" s="1" t="s">
        <v>105</v>
      </c>
      <c r="O481" s="5" t="n">
        <v>46218.6875</v>
      </c>
      <c r="P481" s="5" t="n">
        <v>46222.9583333333</v>
      </c>
      <c r="Q481" s="1" t="n">
        <v>51.4987</v>
      </c>
      <c r="R481" s="1" t="n">
        <v>-87.9904</v>
      </c>
      <c r="S481" s="1" t="s">
        <v>1997</v>
      </c>
      <c r="T481" s="1" t="n">
        <v>2026</v>
      </c>
      <c r="U481" s="1" t="n">
        <v>2026</v>
      </c>
      <c r="V481" s="5" t="n">
        <v>46223.0319444445</v>
      </c>
      <c r="W481" s="6" t="n">
        <v>46387.9999999884</v>
      </c>
    </row>
    <row r="482" customFormat="false" ht="12.75" hidden="false" customHeight="false" outlineLevel="0" collapsed="false">
      <c r="A482" s="1" t="s">
        <v>1998</v>
      </c>
      <c r="B482" s="1" t="n">
        <v>18301779</v>
      </c>
      <c r="C482" s="1" t="s">
        <v>1933</v>
      </c>
      <c r="D482" s="1" t="s">
        <v>1949</v>
      </c>
      <c r="E482" s="1" t="s">
        <v>1999</v>
      </c>
      <c r="F482" s="1" t="s">
        <v>2000</v>
      </c>
      <c r="G482" s="2" t="s">
        <v>28</v>
      </c>
      <c r="H482" s="1" t="n">
        <v>-1</v>
      </c>
      <c r="I482" s="1" t="n">
        <v>-1</v>
      </c>
      <c r="J482" s="1" t="n">
        <v>0</v>
      </c>
      <c r="K482" s="1" t="n">
        <v>-1</v>
      </c>
      <c r="L482" s="2" t="n">
        <v>1200</v>
      </c>
      <c r="M482" s="1" t="s">
        <v>65</v>
      </c>
      <c r="N482" s="1" t="s">
        <v>105</v>
      </c>
      <c r="O482" s="5" t="n">
        <v>46216.88125</v>
      </c>
      <c r="P482" s="5" t="n">
        <v>46222.9583333333</v>
      </c>
      <c r="Q482" s="1" t="n">
        <v>51.5966</v>
      </c>
      <c r="R482" s="1" t="n">
        <v>-88.7101</v>
      </c>
      <c r="S482" s="1" t="s">
        <v>2001</v>
      </c>
      <c r="T482" s="1" t="n">
        <v>2026</v>
      </c>
      <c r="U482" s="1" t="n">
        <v>2026</v>
      </c>
      <c r="V482" s="5" t="n">
        <v>46223.0319444445</v>
      </c>
      <c r="W482" s="6" t="n">
        <v>46387.9999999884</v>
      </c>
    </row>
    <row r="483" customFormat="false" ht="12.75" hidden="false" customHeight="false" outlineLevel="0" collapsed="false">
      <c r="A483" s="1" t="s">
        <v>2002</v>
      </c>
      <c r="B483" s="1" t="n">
        <v>18301775</v>
      </c>
      <c r="C483" s="1" t="s">
        <v>1933</v>
      </c>
      <c r="D483" s="1" t="s">
        <v>1949</v>
      </c>
      <c r="E483" s="1" t="s">
        <v>2003</v>
      </c>
      <c r="F483" s="1" t="s">
        <v>2004</v>
      </c>
      <c r="G483" s="2" t="s">
        <v>28</v>
      </c>
      <c r="H483" s="1" t="n">
        <v>-1</v>
      </c>
      <c r="I483" s="1" t="n">
        <v>-1</v>
      </c>
      <c r="J483" s="1" t="n">
        <v>0</v>
      </c>
      <c r="K483" s="1" t="n">
        <v>-1</v>
      </c>
      <c r="L483" s="2" t="n">
        <v>1811</v>
      </c>
      <c r="M483" s="1" t="s">
        <v>65</v>
      </c>
      <c r="N483" s="1" t="s">
        <v>105</v>
      </c>
      <c r="O483" s="5" t="n">
        <v>46214.7756944444</v>
      </c>
      <c r="P483" s="5" t="n">
        <v>46222.9583333333</v>
      </c>
      <c r="Q483" s="1" t="n">
        <v>51.3036</v>
      </c>
      <c r="R483" s="1" t="n">
        <v>-88.1841</v>
      </c>
      <c r="S483" s="1" t="s">
        <v>2005</v>
      </c>
      <c r="T483" s="1" t="n">
        <v>2026</v>
      </c>
      <c r="U483" s="1" t="n">
        <v>2026</v>
      </c>
      <c r="V483" s="5" t="n">
        <v>46223.0319444445</v>
      </c>
      <c r="W483" s="6" t="n">
        <v>46387.9999999884</v>
      </c>
    </row>
    <row r="484" customFormat="false" ht="12.75" hidden="false" customHeight="false" outlineLevel="0" collapsed="false">
      <c r="A484" s="1" t="s">
        <v>2006</v>
      </c>
      <c r="B484" s="1" t="n">
        <v>18301805</v>
      </c>
      <c r="C484" s="1" t="s">
        <v>1933</v>
      </c>
      <c r="D484" s="1" t="s">
        <v>1949</v>
      </c>
      <c r="E484" s="1" t="s">
        <v>2007</v>
      </c>
      <c r="F484" s="1" t="s">
        <v>2008</v>
      </c>
      <c r="G484" s="2" t="s">
        <v>28</v>
      </c>
      <c r="H484" s="1" t="n">
        <v>-1</v>
      </c>
      <c r="I484" s="1" t="n">
        <v>-1</v>
      </c>
      <c r="J484" s="1" t="n">
        <v>0</v>
      </c>
      <c r="K484" s="1" t="n">
        <v>-1</v>
      </c>
      <c r="L484" s="2" t="n">
        <v>36</v>
      </c>
      <c r="M484" s="1" t="s">
        <v>65</v>
      </c>
      <c r="N484" s="1" t="s">
        <v>105</v>
      </c>
      <c r="O484" s="5" t="n">
        <v>46218.9597222222</v>
      </c>
      <c r="P484" s="5" t="n">
        <v>46222.9583333333</v>
      </c>
      <c r="Q484" s="1" t="n">
        <v>51.1565</v>
      </c>
      <c r="R484" s="1" t="n">
        <v>-87.8229</v>
      </c>
      <c r="S484" s="1" t="s">
        <v>2009</v>
      </c>
      <c r="T484" s="1" t="n">
        <v>2026</v>
      </c>
      <c r="U484" s="1" t="n">
        <v>2026</v>
      </c>
      <c r="V484" s="5" t="n">
        <v>46223.0319444445</v>
      </c>
      <c r="W484" s="6" t="n">
        <v>46387.9999999884</v>
      </c>
    </row>
    <row r="485" customFormat="false" ht="12.75" hidden="false" customHeight="false" outlineLevel="0" collapsed="false">
      <c r="A485" s="1" t="s">
        <v>2010</v>
      </c>
      <c r="B485" s="1" t="n">
        <v>18301689</v>
      </c>
      <c r="C485" s="1" t="s">
        <v>1933</v>
      </c>
      <c r="D485" s="1" t="s">
        <v>1944</v>
      </c>
      <c r="E485" s="1" t="s">
        <v>2011</v>
      </c>
      <c r="F485" s="1" t="s">
        <v>2012</v>
      </c>
      <c r="G485" s="2" t="s">
        <v>28</v>
      </c>
      <c r="H485" s="1" t="n">
        <v>-1</v>
      </c>
      <c r="I485" s="1" t="n">
        <v>-1</v>
      </c>
      <c r="J485" s="1" t="n">
        <v>0</v>
      </c>
      <c r="K485" s="1" t="n">
        <v>-1</v>
      </c>
      <c r="L485" s="2" t="n">
        <v>3448</v>
      </c>
      <c r="M485" s="1" t="s">
        <v>65</v>
      </c>
      <c r="N485" s="1" t="s">
        <v>105</v>
      </c>
      <c r="O485" s="5" t="n">
        <v>46216.7701388889</v>
      </c>
      <c r="P485" s="5" t="n">
        <v>46222.9861111111</v>
      </c>
      <c r="Q485" s="1" t="n">
        <v>48.249</v>
      </c>
      <c r="R485" s="1" t="n">
        <v>-91.9014</v>
      </c>
      <c r="S485" s="1" t="s">
        <v>2013</v>
      </c>
      <c r="T485" s="1" t="n">
        <v>2026</v>
      </c>
      <c r="U485" s="1" t="n">
        <v>2026</v>
      </c>
      <c r="V485" s="5" t="n">
        <v>46223.0319444445</v>
      </c>
      <c r="W485" s="6" t="n">
        <v>46387.9999999884</v>
      </c>
    </row>
    <row r="486" customFormat="false" ht="12.75" hidden="false" customHeight="false" outlineLevel="0" collapsed="false">
      <c r="A486" s="1" t="s">
        <v>2014</v>
      </c>
      <c r="B486" s="1" t="n">
        <v>18301785</v>
      </c>
      <c r="C486" s="1" t="s">
        <v>1933</v>
      </c>
      <c r="D486" s="1" t="s">
        <v>1949</v>
      </c>
      <c r="E486" s="1" t="s">
        <v>2015</v>
      </c>
      <c r="F486" s="1" t="s">
        <v>2016</v>
      </c>
      <c r="G486" s="2" t="s">
        <v>28</v>
      </c>
      <c r="H486" s="1" t="n">
        <v>-1</v>
      </c>
      <c r="I486" s="1" t="n">
        <v>-1</v>
      </c>
      <c r="J486" s="1" t="n">
        <v>0</v>
      </c>
      <c r="K486" s="1" t="n">
        <v>-1</v>
      </c>
      <c r="L486" s="2" t="n">
        <v>15</v>
      </c>
      <c r="M486" s="1" t="s">
        <v>65</v>
      </c>
      <c r="N486" s="1" t="s">
        <v>105</v>
      </c>
      <c r="O486" s="5" t="n">
        <v>46217.6243055556</v>
      </c>
      <c r="P486" s="5" t="n">
        <v>46222.9618055556</v>
      </c>
      <c r="Q486" s="1" t="n">
        <v>50.1288</v>
      </c>
      <c r="R486" s="1" t="n">
        <v>-87.647</v>
      </c>
      <c r="S486" s="1" t="s">
        <v>2017</v>
      </c>
      <c r="T486" s="1" t="n">
        <v>2026</v>
      </c>
      <c r="U486" s="1" t="n">
        <v>2026</v>
      </c>
      <c r="V486" s="5" t="n">
        <v>46223.0319444445</v>
      </c>
      <c r="W486" s="6" t="n">
        <v>46387.9999999884</v>
      </c>
    </row>
    <row r="487" customFormat="false" ht="12.75" hidden="false" customHeight="false" outlineLevel="0" collapsed="false">
      <c r="A487" s="1" t="s">
        <v>2018</v>
      </c>
      <c r="B487" s="1" t="n">
        <v>18301788</v>
      </c>
      <c r="C487" s="1" t="s">
        <v>1933</v>
      </c>
      <c r="D487" s="1" t="s">
        <v>1949</v>
      </c>
      <c r="E487" s="1" t="s">
        <v>2019</v>
      </c>
      <c r="F487" s="1" t="s">
        <v>2020</v>
      </c>
      <c r="G487" s="2" t="s">
        <v>28</v>
      </c>
      <c r="H487" s="1" t="n">
        <v>-1</v>
      </c>
      <c r="I487" s="1" t="n">
        <v>-1</v>
      </c>
      <c r="J487" s="1" t="n">
        <v>0</v>
      </c>
      <c r="K487" s="1" t="n">
        <v>-1</v>
      </c>
      <c r="L487" s="2" t="n">
        <v>9922</v>
      </c>
      <c r="M487" s="1" t="s">
        <v>65</v>
      </c>
      <c r="N487" s="1" t="s">
        <v>105</v>
      </c>
      <c r="O487" s="5" t="n">
        <v>46217.7819444445</v>
      </c>
      <c r="P487" s="5" t="n">
        <v>46222.9583333333</v>
      </c>
      <c r="Q487" s="1" t="n">
        <v>51.4711</v>
      </c>
      <c r="R487" s="1" t="n">
        <v>-87.8415</v>
      </c>
      <c r="S487" s="1" t="s">
        <v>2021</v>
      </c>
      <c r="T487" s="1" t="n">
        <v>2026</v>
      </c>
      <c r="U487" s="1" t="n">
        <v>2026</v>
      </c>
      <c r="V487" s="5" t="n">
        <v>46223.0319444445</v>
      </c>
      <c r="W487" s="6" t="n">
        <v>46387.9999999884</v>
      </c>
    </row>
    <row r="488" customFormat="false" ht="12.75" hidden="false" customHeight="false" outlineLevel="0" collapsed="false">
      <c r="A488" s="1" t="s">
        <v>2022</v>
      </c>
      <c r="B488" s="1" t="n">
        <v>18301790</v>
      </c>
      <c r="C488" s="1" t="s">
        <v>1933</v>
      </c>
      <c r="D488" s="1" t="s">
        <v>1949</v>
      </c>
      <c r="E488" s="1" t="s">
        <v>2023</v>
      </c>
      <c r="F488" s="1" t="s">
        <v>2024</v>
      </c>
      <c r="G488" s="2" t="s">
        <v>28</v>
      </c>
      <c r="H488" s="1" t="n">
        <v>-1</v>
      </c>
      <c r="I488" s="1" t="n">
        <v>-1</v>
      </c>
      <c r="J488" s="1" t="n">
        <v>0</v>
      </c>
      <c r="K488" s="1" t="n">
        <v>-1</v>
      </c>
      <c r="L488" s="2" t="n">
        <v>108</v>
      </c>
      <c r="M488" s="1" t="s">
        <v>65</v>
      </c>
      <c r="N488" s="1" t="s">
        <v>105</v>
      </c>
      <c r="O488" s="5" t="n">
        <v>46217.8868055556</v>
      </c>
      <c r="P488" s="5" t="n">
        <v>46222.9583333333</v>
      </c>
      <c r="Q488" s="1" t="n">
        <v>51.3497</v>
      </c>
      <c r="R488" s="1" t="n">
        <v>-87.2821</v>
      </c>
      <c r="S488" s="1" t="s">
        <v>2025</v>
      </c>
      <c r="T488" s="1" t="n">
        <v>2026</v>
      </c>
      <c r="U488" s="1" t="n">
        <v>2026</v>
      </c>
      <c r="V488" s="5" t="n">
        <v>46223.0319444445</v>
      </c>
      <c r="W488" s="6" t="n">
        <v>46387.9999999884</v>
      </c>
    </row>
    <row r="489" customFormat="false" ht="12.75" hidden="false" customHeight="false" outlineLevel="0" collapsed="false">
      <c r="A489" s="1" t="s">
        <v>2026</v>
      </c>
      <c r="B489" s="1" t="n">
        <v>18301783</v>
      </c>
      <c r="C489" s="1" t="s">
        <v>1933</v>
      </c>
      <c r="D489" s="1" t="s">
        <v>1949</v>
      </c>
      <c r="E489" s="1" t="s">
        <v>2027</v>
      </c>
      <c r="F489" s="1" t="s">
        <v>2028</v>
      </c>
      <c r="G489" s="2" t="s">
        <v>28</v>
      </c>
      <c r="H489" s="1" t="n">
        <v>-1</v>
      </c>
      <c r="I489" s="1" t="n">
        <v>-1</v>
      </c>
      <c r="J489" s="1" t="n">
        <v>0</v>
      </c>
      <c r="K489" s="1" t="n">
        <v>-1</v>
      </c>
      <c r="L489" s="2" t="n">
        <v>102</v>
      </c>
      <c r="M489" s="1" t="s">
        <v>65</v>
      </c>
      <c r="N489" s="1" t="s">
        <v>105</v>
      </c>
      <c r="O489" s="5" t="n">
        <v>46217.0458333333</v>
      </c>
      <c r="P489" s="5" t="n">
        <v>46222.9583333333</v>
      </c>
      <c r="Q489" s="1" t="n">
        <v>51.2017</v>
      </c>
      <c r="R489" s="1" t="n">
        <v>-87.7936</v>
      </c>
      <c r="S489" s="1" t="s">
        <v>2029</v>
      </c>
      <c r="T489" s="1" t="n">
        <v>2026</v>
      </c>
      <c r="U489" s="1" t="n">
        <v>2026</v>
      </c>
      <c r="V489" s="5" t="n">
        <v>46223.0319444445</v>
      </c>
      <c r="W489" s="6" t="n">
        <v>46387.9999999884</v>
      </c>
    </row>
    <row r="490" customFormat="false" ht="12.75" hidden="false" customHeight="false" outlineLevel="0" collapsed="false">
      <c r="A490" s="1" t="s">
        <v>2030</v>
      </c>
      <c r="B490" s="1" t="n">
        <v>18301791</v>
      </c>
      <c r="C490" s="1" t="s">
        <v>1933</v>
      </c>
      <c r="D490" s="1" t="s">
        <v>1949</v>
      </c>
      <c r="E490" s="1" t="s">
        <v>2031</v>
      </c>
      <c r="F490" s="1" t="s">
        <v>2032</v>
      </c>
      <c r="G490" s="2" t="s">
        <v>28</v>
      </c>
      <c r="H490" s="1" t="n">
        <v>-1</v>
      </c>
      <c r="I490" s="1" t="n">
        <v>-1</v>
      </c>
      <c r="J490" s="1" t="n">
        <v>0</v>
      </c>
      <c r="K490" s="1" t="n">
        <v>-1</v>
      </c>
      <c r="L490" s="2" t="n">
        <v>52</v>
      </c>
      <c r="M490" s="1" t="s">
        <v>65</v>
      </c>
      <c r="N490" s="1" t="s">
        <v>105</v>
      </c>
      <c r="O490" s="5" t="n">
        <v>46217.9041666667</v>
      </c>
      <c r="P490" s="5" t="n">
        <v>46222.9583333333</v>
      </c>
      <c r="Q490" s="1" t="n">
        <v>51.3557</v>
      </c>
      <c r="R490" s="1" t="n">
        <v>-87.3927</v>
      </c>
      <c r="S490" s="1" t="s">
        <v>2033</v>
      </c>
      <c r="T490" s="1" t="n">
        <v>2026</v>
      </c>
      <c r="U490" s="1" t="n">
        <v>2026</v>
      </c>
      <c r="V490" s="5" t="n">
        <v>46223.0319444445</v>
      </c>
      <c r="W490" s="6" t="n">
        <v>46387.9999999884</v>
      </c>
    </row>
    <row r="491" customFormat="false" ht="12.75" hidden="false" customHeight="false" outlineLevel="0" collapsed="false">
      <c r="A491" s="1" t="s">
        <v>2034</v>
      </c>
      <c r="B491" s="1" t="n">
        <v>18301759</v>
      </c>
      <c r="C491" s="1" t="s">
        <v>1933</v>
      </c>
      <c r="D491" s="1" t="s">
        <v>1949</v>
      </c>
      <c r="E491" s="1" t="s">
        <v>2035</v>
      </c>
      <c r="F491" s="1" t="s">
        <v>2036</v>
      </c>
      <c r="G491" s="2" t="s">
        <v>28</v>
      </c>
      <c r="H491" s="1" t="n">
        <v>-1</v>
      </c>
      <c r="I491" s="1" t="n">
        <v>-1</v>
      </c>
      <c r="J491" s="1" t="n">
        <v>0</v>
      </c>
      <c r="K491" s="1" t="n">
        <v>-1</v>
      </c>
      <c r="L491" s="2" t="n">
        <v>11674</v>
      </c>
      <c r="M491" s="1" t="s">
        <v>70</v>
      </c>
      <c r="N491" s="1" t="s">
        <v>105</v>
      </c>
      <c r="O491" s="5" t="n">
        <v>46200.9909722222</v>
      </c>
      <c r="P491" s="5" t="n">
        <v>46220.8333333333</v>
      </c>
      <c r="Q491" s="1" t="n">
        <v>51.7393</v>
      </c>
      <c r="R491" s="1" t="n">
        <v>-88.7879</v>
      </c>
      <c r="S491" s="1" t="s">
        <v>2037</v>
      </c>
      <c r="T491" s="1" t="n">
        <v>2026</v>
      </c>
      <c r="U491" s="1" t="n">
        <v>2026</v>
      </c>
      <c r="V491" s="5" t="n">
        <v>46223.0319444445</v>
      </c>
      <c r="W491" s="6" t="n">
        <v>46387.9999999884</v>
      </c>
    </row>
    <row r="492" customFormat="false" ht="12.75" hidden="false" customHeight="false" outlineLevel="0" collapsed="false">
      <c r="A492" s="1" t="s">
        <v>2038</v>
      </c>
      <c r="B492" s="1" t="n">
        <v>18301815</v>
      </c>
      <c r="C492" s="1" t="s">
        <v>1933</v>
      </c>
      <c r="D492" s="1" t="s">
        <v>1949</v>
      </c>
      <c r="E492" s="1" t="s">
        <v>2039</v>
      </c>
      <c r="F492" s="1" t="s">
        <v>2040</v>
      </c>
      <c r="G492" s="2" t="s">
        <v>84</v>
      </c>
      <c r="H492" s="1" t="n">
        <v>-1</v>
      </c>
      <c r="I492" s="1" t="n">
        <v>-1</v>
      </c>
      <c r="J492" s="1" t="n">
        <v>0</v>
      </c>
      <c r="K492" s="1" t="n">
        <v>-1</v>
      </c>
      <c r="L492" s="2" t="n">
        <v>6</v>
      </c>
      <c r="M492" s="1" t="s">
        <v>65</v>
      </c>
      <c r="N492" s="1" t="s">
        <v>105</v>
      </c>
      <c r="O492" s="5" t="n">
        <v>46221.8805555556</v>
      </c>
      <c r="P492" s="5" t="n">
        <v>46222.9583333333</v>
      </c>
      <c r="Q492" s="1" t="n">
        <v>51.9488</v>
      </c>
      <c r="R492" s="1" t="n">
        <v>-87.6758</v>
      </c>
      <c r="S492" s="1" t="s">
        <v>2041</v>
      </c>
      <c r="T492" s="1" t="n">
        <v>2026</v>
      </c>
      <c r="U492" s="1" t="n">
        <v>2026</v>
      </c>
      <c r="V492" s="5" t="n">
        <v>46223.0319444445</v>
      </c>
      <c r="W492" s="6" t="n">
        <v>46387.9999999884</v>
      </c>
    </row>
    <row r="493" customFormat="false" ht="12.75" hidden="false" customHeight="false" outlineLevel="0" collapsed="false">
      <c r="A493" s="1" t="s">
        <v>2042</v>
      </c>
      <c r="B493" s="1" t="n">
        <v>18302061</v>
      </c>
      <c r="C493" s="1" t="s">
        <v>1933</v>
      </c>
      <c r="D493" s="1" t="s">
        <v>2043</v>
      </c>
      <c r="E493" s="1" t="s">
        <v>2044</v>
      </c>
      <c r="F493" s="1" t="s">
        <v>2045</v>
      </c>
      <c r="G493" s="2" t="s">
        <v>84</v>
      </c>
      <c r="H493" s="1" t="n">
        <v>-1</v>
      </c>
      <c r="I493" s="1" t="n">
        <v>-1</v>
      </c>
      <c r="J493" s="1" t="n">
        <v>0</v>
      </c>
      <c r="K493" s="1" t="n">
        <v>-1</v>
      </c>
      <c r="L493" s="2" t="n">
        <v>29</v>
      </c>
      <c r="M493" s="1" t="s">
        <v>29</v>
      </c>
      <c r="N493" s="1" t="s">
        <v>30</v>
      </c>
      <c r="O493" s="5" t="n">
        <v>46216.6243055556</v>
      </c>
      <c r="P493" s="5" t="n">
        <v>46222.9166666667</v>
      </c>
      <c r="Q493" s="1" t="n">
        <v>48.2852</v>
      </c>
      <c r="R493" s="1" t="n">
        <v>-90.1022</v>
      </c>
      <c r="S493" s="1" t="s">
        <v>2046</v>
      </c>
      <c r="T493" s="1" t="n">
        <v>2026</v>
      </c>
      <c r="U493" s="1" t="n">
        <v>2026</v>
      </c>
      <c r="V493" s="5" t="n">
        <v>46223.0319444445</v>
      </c>
      <c r="W493" s="6" t="n">
        <v>46387.9999999884</v>
      </c>
    </row>
    <row r="494" customFormat="false" ht="12.75" hidden="false" customHeight="false" outlineLevel="0" collapsed="false">
      <c r="A494" s="1" t="s">
        <v>2047</v>
      </c>
      <c r="B494" s="1" t="n">
        <v>18301816</v>
      </c>
      <c r="C494" s="1" t="s">
        <v>1933</v>
      </c>
      <c r="D494" s="1" t="s">
        <v>1949</v>
      </c>
      <c r="E494" s="1" t="s">
        <v>2048</v>
      </c>
      <c r="F494" s="1" t="s">
        <v>2049</v>
      </c>
      <c r="G494" s="2" t="s">
        <v>84</v>
      </c>
      <c r="H494" s="1" t="n">
        <v>-1</v>
      </c>
      <c r="I494" s="1" t="n">
        <v>-1</v>
      </c>
      <c r="J494" s="1" t="n">
        <v>0</v>
      </c>
      <c r="K494" s="1" t="n">
        <v>-1</v>
      </c>
      <c r="L494" s="2" t="n">
        <v>8</v>
      </c>
      <c r="M494" s="1" t="s">
        <v>65</v>
      </c>
      <c r="N494" s="1" t="s">
        <v>105</v>
      </c>
      <c r="O494" s="5" t="n">
        <v>46221.8888888889</v>
      </c>
      <c r="P494" s="5" t="n">
        <v>46222.9583333333</v>
      </c>
      <c r="Q494" s="1" t="n">
        <v>52.2985</v>
      </c>
      <c r="R494" s="1" t="n">
        <v>-87.8131</v>
      </c>
      <c r="S494" s="1" t="s">
        <v>2050</v>
      </c>
      <c r="T494" s="1" t="n">
        <v>2026</v>
      </c>
      <c r="U494" s="1" t="n">
        <v>2026</v>
      </c>
      <c r="V494" s="5" t="n">
        <v>46223.0319444445</v>
      </c>
      <c r="W494" s="6" t="n">
        <v>46387.9999999884</v>
      </c>
    </row>
    <row r="495" customFormat="false" ht="12.75" hidden="false" customHeight="false" outlineLevel="0" collapsed="false">
      <c r="A495" s="1" t="s">
        <v>2051</v>
      </c>
      <c r="B495" s="1" t="n">
        <v>18301817</v>
      </c>
      <c r="C495" s="1" t="s">
        <v>1933</v>
      </c>
      <c r="D495" s="1" t="s">
        <v>1949</v>
      </c>
      <c r="E495" s="1" t="s">
        <v>2052</v>
      </c>
      <c r="F495" s="1" t="s">
        <v>2053</v>
      </c>
      <c r="G495" s="2" t="s">
        <v>84</v>
      </c>
      <c r="H495" s="1" t="n">
        <v>-1</v>
      </c>
      <c r="I495" s="1" t="n">
        <v>-1</v>
      </c>
      <c r="J495" s="1" t="n">
        <v>0</v>
      </c>
      <c r="K495" s="1" t="n">
        <v>-1</v>
      </c>
      <c r="L495" s="2" t="n">
        <v>2</v>
      </c>
      <c r="M495" s="1" t="s">
        <v>65</v>
      </c>
      <c r="N495" s="1" t="s">
        <v>105</v>
      </c>
      <c r="O495" s="5" t="n">
        <v>46221.8965277778</v>
      </c>
      <c r="P495" s="5" t="n">
        <v>46222.9583333333</v>
      </c>
      <c r="Q495" s="1" t="n">
        <v>52.3267</v>
      </c>
      <c r="R495" s="1" t="n">
        <v>-87.6082</v>
      </c>
      <c r="S495" s="1" t="s">
        <v>2054</v>
      </c>
      <c r="T495" s="1" t="n">
        <v>2026</v>
      </c>
      <c r="U495" s="1" t="n">
        <v>2026</v>
      </c>
      <c r="V495" s="5" t="n">
        <v>46223.0319444445</v>
      </c>
      <c r="W495" s="6" t="n">
        <v>46387.9999999884</v>
      </c>
    </row>
    <row r="496" customFormat="false" ht="12.75" hidden="false" customHeight="false" outlineLevel="0" collapsed="false">
      <c r="A496" s="1" t="s">
        <v>2055</v>
      </c>
      <c r="B496" s="1" t="n">
        <v>18301800</v>
      </c>
      <c r="C496" s="1" t="s">
        <v>1933</v>
      </c>
      <c r="D496" s="1" t="s">
        <v>1949</v>
      </c>
      <c r="E496" s="1" t="s">
        <v>2056</v>
      </c>
      <c r="F496" s="1" t="s">
        <v>2057</v>
      </c>
      <c r="G496" s="2" t="s">
        <v>28</v>
      </c>
      <c r="H496" s="1" t="n">
        <v>-1</v>
      </c>
      <c r="I496" s="1" t="n">
        <v>-1</v>
      </c>
      <c r="J496" s="1" t="n">
        <v>0</v>
      </c>
      <c r="K496" s="1" t="n">
        <v>-1</v>
      </c>
      <c r="L496" s="2" t="n">
        <v>0.3</v>
      </c>
      <c r="M496" s="1" t="s">
        <v>65</v>
      </c>
      <c r="N496" s="1" t="s">
        <v>105</v>
      </c>
      <c r="O496" s="5" t="n">
        <v>46218.0444444444</v>
      </c>
      <c r="P496" s="5" t="n">
        <v>46222.9583333333</v>
      </c>
      <c r="Q496" s="1" t="n">
        <v>50.9134</v>
      </c>
      <c r="R496" s="1" t="n">
        <v>-87.8698</v>
      </c>
      <c r="S496" s="1" t="s">
        <v>2058</v>
      </c>
      <c r="T496" s="1" t="n">
        <v>2026</v>
      </c>
      <c r="U496" s="1" t="n">
        <v>2026</v>
      </c>
      <c r="V496" s="5" t="n">
        <v>46223.0319444445</v>
      </c>
      <c r="W496" s="6" t="n">
        <v>46387.9999999884</v>
      </c>
    </row>
    <row r="497" customFormat="false" ht="12.75" hidden="false" customHeight="false" outlineLevel="0" collapsed="false">
      <c r="A497" s="1" t="s">
        <v>2059</v>
      </c>
      <c r="B497" s="1" t="n">
        <v>18301799</v>
      </c>
      <c r="C497" s="1" t="s">
        <v>1933</v>
      </c>
      <c r="D497" s="1" t="s">
        <v>1949</v>
      </c>
      <c r="E497" s="1" t="s">
        <v>2060</v>
      </c>
      <c r="F497" s="1" t="s">
        <v>2061</v>
      </c>
      <c r="G497" s="2" t="s">
        <v>28</v>
      </c>
      <c r="H497" s="1" t="n">
        <v>-1</v>
      </c>
      <c r="I497" s="1" t="n">
        <v>-1</v>
      </c>
      <c r="J497" s="1" t="n">
        <v>0</v>
      </c>
      <c r="K497" s="1" t="n">
        <v>-1</v>
      </c>
      <c r="L497" s="2" t="n">
        <v>1</v>
      </c>
      <c r="M497" s="1" t="s">
        <v>65</v>
      </c>
      <c r="N497" s="1" t="s">
        <v>105</v>
      </c>
      <c r="O497" s="5" t="n">
        <v>46218.0388888889</v>
      </c>
      <c r="P497" s="5" t="n">
        <v>46222.9583333333</v>
      </c>
      <c r="Q497" s="1" t="n">
        <v>51.2501</v>
      </c>
      <c r="R497" s="1" t="n">
        <v>-88.3103</v>
      </c>
      <c r="S497" s="1" t="s">
        <v>2062</v>
      </c>
      <c r="T497" s="1" t="n">
        <v>2026</v>
      </c>
      <c r="U497" s="1" t="n">
        <v>2026</v>
      </c>
      <c r="V497" s="5" t="n">
        <v>46223.0319444445</v>
      </c>
      <c r="W497" s="6" t="n">
        <v>46387.9999999884</v>
      </c>
    </row>
    <row r="498" customFormat="false" ht="12.75" hidden="false" customHeight="false" outlineLevel="0" collapsed="false">
      <c r="A498" s="1" t="s">
        <v>2063</v>
      </c>
      <c r="B498" s="1" t="n">
        <v>18301797</v>
      </c>
      <c r="C498" s="1" t="s">
        <v>1933</v>
      </c>
      <c r="D498" s="1" t="s">
        <v>1949</v>
      </c>
      <c r="E498" s="1" t="s">
        <v>2064</v>
      </c>
      <c r="F498" s="1" t="s">
        <v>2065</v>
      </c>
      <c r="G498" s="2" t="s">
        <v>28</v>
      </c>
      <c r="H498" s="1" t="n">
        <v>-1</v>
      </c>
      <c r="I498" s="1" t="n">
        <v>-1</v>
      </c>
      <c r="J498" s="1" t="n">
        <v>0</v>
      </c>
      <c r="K498" s="1" t="n">
        <v>-1</v>
      </c>
      <c r="L498" s="2" t="n">
        <v>2</v>
      </c>
      <c r="M498" s="1" t="s">
        <v>65</v>
      </c>
      <c r="N498" s="1" t="s">
        <v>105</v>
      </c>
      <c r="O498" s="5" t="n">
        <v>46217.9659722222</v>
      </c>
      <c r="P498" s="5" t="n">
        <v>46222.9583333333</v>
      </c>
      <c r="Q498" s="1" t="n">
        <v>50.448</v>
      </c>
      <c r="R498" s="1" t="n">
        <v>-86.5274</v>
      </c>
      <c r="S498" s="1" t="s">
        <v>2066</v>
      </c>
      <c r="T498" s="1" t="n">
        <v>2026</v>
      </c>
      <c r="U498" s="1" t="n">
        <v>2026</v>
      </c>
      <c r="V498" s="5" t="n">
        <v>46223.0319444445</v>
      </c>
      <c r="W498" s="6" t="n">
        <v>46387.9999999884</v>
      </c>
    </row>
    <row r="499" customFormat="false" ht="12.75" hidden="false" customHeight="false" outlineLevel="0" collapsed="false">
      <c r="A499" s="1" t="s">
        <v>2067</v>
      </c>
      <c r="B499" s="1" t="n">
        <v>18301795</v>
      </c>
      <c r="C499" s="1" t="s">
        <v>1933</v>
      </c>
      <c r="D499" s="1" t="s">
        <v>1949</v>
      </c>
      <c r="E499" s="1" t="s">
        <v>2068</v>
      </c>
      <c r="F499" s="1" t="s">
        <v>2069</v>
      </c>
      <c r="G499" s="2" t="s">
        <v>28</v>
      </c>
      <c r="H499" s="1" t="n">
        <v>-1</v>
      </c>
      <c r="I499" s="1" t="n">
        <v>-1</v>
      </c>
      <c r="J499" s="1" t="n">
        <v>0</v>
      </c>
      <c r="K499" s="1" t="n">
        <v>-1</v>
      </c>
      <c r="L499" s="2" t="n">
        <v>10</v>
      </c>
      <c r="M499" s="1" t="s">
        <v>65</v>
      </c>
      <c r="N499" s="1" t="s">
        <v>105</v>
      </c>
      <c r="O499" s="5" t="n">
        <v>46217.9493055556</v>
      </c>
      <c r="P499" s="5" t="n">
        <v>46222.9583333333</v>
      </c>
      <c r="Q499" s="1" t="n">
        <v>50.502</v>
      </c>
      <c r="R499" s="1" t="n">
        <v>-86.5268</v>
      </c>
      <c r="S499" s="1" t="s">
        <v>2070</v>
      </c>
      <c r="T499" s="1" t="n">
        <v>2026</v>
      </c>
      <c r="U499" s="1" t="n">
        <v>2026</v>
      </c>
      <c r="V499" s="5" t="n">
        <v>46223.0319444445</v>
      </c>
      <c r="W499" s="6" t="n">
        <v>46387.9999999884</v>
      </c>
    </row>
    <row r="500" customFormat="false" ht="12.75" hidden="false" customHeight="false" outlineLevel="0" collapsed="false">
      <c r="A500" s="1" t="s">
        <v>2071</v>
      </c>
      <c r="B500" s="1" t="n">
        <v>18301818</v>
      </c>
      <c r="C500" s="1" t="s">
        <v>1933</v>
      </c>
      <c r="D500" s="1" t="s">
        <v>1949</v>
      </c>
      <c r="E500" s="1" t="s">
        <v>2072</v>
      </c>
      <c r="F500" s="1" t="s">
        <v>2073</v>
      </c>
      <c r="G500" s="2" t="s">
        <v>84</v>
      </c>
      <c r="H500" s="1" t="n">
        <v>-1</v>
      </c>
      <c r="I500" s="1" t="n">
        <v>-1</v>
      </c>
      <c r="J500" s="1" t="n">
        <v>0</v>
      </c>
      <c r="K500" s="1" t="n">
        <v>-1</v>
      </c>
      <c r="L500" s="2" t="n">
        <v>15</v>
      </c>
      <c r="M500" s="1" t="s">
        <v>65</v>
      </c>
      <c r="N500" s="1" t="s">
        <v>105</v>
      </c>
      <c r="O500" s="5" t="n">
        <v>46221.9097222222</v>
      </c>
      <c r="P500" s="5" t="n">
        <v>46222.9583333333</v>
      </c>
      <c r="Q500" s="1" t="n">
        <v>52.6762</v>
      </c>
      <c r="R500" s="1" t="n">
        <v>-86.1931</v>
      </c>
      <c r="S500" s="1" t="s">
        <v>2074</v>
      </c>
      <c r="T500" s="1" t="n">
        <v>2026</v>
      </c>
      <c r="U500" s="1" t="n">
        <v>2026</v>
      </c>
      <c r="V500" s="5" t="n">
        <v>46223.0319444445</v>
      </c>
      <c r="W500" s="6" t="n">
        <v>46387.9999999884</v>
      </c>
    </row>
    <row r="501" customFormat="false" ht="12.75" hidden="false" customHeight="false" outlineLevel="0" collapsed="false">
      <c r="A501" s="1" t="s">
        <v>2075</v>
      </c>
      <c r="B501" s="1" t="n">
        <v>18296089</v>
      </c>
      <c r="C501" s="1" t="s">
        <v>1933</v>
      </c>
      <c r="D501" s="1" t="s">
        <v>1944</v>
      </c>
      <c r="E501" s="1" t="s">
        <v>2076</v>
      </c>
      <c r="F501" s="1" t="s">
        <v>2077</v>
      </c>
      <c r="G501" s="2" t="s">
        <v>84</v>
      </c>
      <c r="H501" s="1" t="n">
        <v>-1</v>
      </c>
      <c r="I501" s="1" t="n">
        <v>-1</v>
      </c>
      <c r="J501" s="1" t="n">
        <v>0</v>
      </c>
      <c r="K501" s="1" t="n">
        <v>-1</v>
      </c>
      <c r="L501" s="2" t="n">
        <v>44.2</v>
      </c>
      <c r="M501" s="1" t="s">
        <v>29</v>
      </c>
      <c r="N501" s="1" t="s">
        <v>37</v>
      </c>
      <c r="O501" s="5" t="n">
        <v>46217.0159722222</v>
      </c>
      <c r="P501" s="5" t="n">
        <v>46222.9597222222</v>
      </c>
      <c r="Q501" s="1" t="n">
        <v>48.7195</v>
      </c>
      <c r="R501" s="1" t="n">
        <v>-91.2736</v>
      </c>
      <c r="S501" s="1" t="s">
        <v>2078</v>
      </c>
      <c r="T501" s="1" t="n">
        <v>2026</v>
      </c>
      <c r="U501" s="1" t="n">
        <v>2026</v>
      </c>
      <c r="V501" s="5" t="n">
        <v>46222.9895833333</v>
      </c>
      <c r="W501" s="6" t="n">
        <v>46387.9999999884</v>
      </c>
    </row>
    <row r="502" customFormat="false" ht="12.75" hidden="false" customHeight="false" outlineLevel="0" collapsed="false">
      <c r="A502" s="1" t="s">
        <v>2079</v>
      </c>
      <c r="B502" s="1" t="n">
        <v>18296049</v>
      </c>
      <c r="C502" s="1" t="s">
        <v>1933</v>
      </c>
      <c r="D502" s="1" t="s">
        <v>1939</v>
      </c>
      <c r="E502" s="1" t="s">
        <v>2080</v>
      </c>
      <c r="F502" s="1" t="s">
        <v>2081</v>
      </c>
      <c r="G502" s="2" t="s">
        <v>28</v>
      </c>
      <c r="H502" s="1" t="n">
        <v>-1</v>
      </c>
      <c r="I502" s="1" t="n">
        <v>-1</v>
      </c>
      <c r="J502" s="1" t="n">
        <v>0</v>
      </c>
      <c r="K502" s="1" t="n">
        <v>-1</v>
      </c>
      <c r="L502" s="2" t="n">
        <v>0.1</v>
      </c>
      <c r="M502" s="1" t="s">
        <v>29</v>
      </c>
      <c r="N502" s="1" t="s">
        <v>105</v>
      </c>
      <c r="O502" s="5" t="n">
        <v>46222.9340277778</v>
      </c>
      <c r="P502" s="5" t="n">
        <v>46222.9340277778</v>
      </c>
      <c r="Q502" s="1" t="n">
        <v>50.1242</v>
      </c>
      <c r="R502" s="1" t="n">
        <v>-90.1032</v>
      </c>
      <c r="S502" s="1" t="s">
        <v>2082</v>
      </c>
      <c r="T502" s="1" t="n">
        <v>2026</v>
      </c>
      <c r="U502" s="1" t="n">
        <v>2026</v>
      </c>
      <c r="V502" s="5" t="n">
        <v>46222.9895833333</v>
      </c>
      <c r="W502" s="6" t="n">
        <v>46387.9999999884</v>
      </c>
    </row>
    <row r="503" customFormat="false" ht="12.75" hidden="false" customHeight="false" outlineLevel="0" collapsed="false">
      <c r="A503" s="1" t="s">
        <v>2083</v>
      </c>
      <c r="B503" s="1" t="n">
        <v>18292242</v>
      </c>
      <c r="C503" s="1" t="s">
        <v>1933</v>
      </c>
      <c r="D503" s="1" t="s">
        <v>1944</v>
      </c>
      <c r="E503" s="1" t="s">
        <v>2084</v>
      </c>
      <c r="F503" s="1" t="s">
        <v>2085</v>
      </c>
      <c r="G503" s="2" t="s">
        <v>28</v>
      </c>
      <c r="H503" s="1" t="n">
        <v>-1</v>
      </c>
      <c r="I503" s="1" t="n">
        <v>-1</v>
      </c>
      <c r="J503" s="1" t="n">
        <v>0</v>
      </c>
      <c r="K503" s="1" t="n">
        <v>-1</v>
      </c>
      <c r="L503" s="2" t="n">
        <v>41830.2</v>
      </c>
      <c r="M503" s="1" t="s">
        <v>29</v>
      </c>
      <c r="N503" s="1" t="s">
        <v>105</v>
      </c>
      <c r="O503" s="5" t="n">
        <v>46203.9743055556</v>
      </c>
      <c r="P503" s="5" t="n">
        <v>46222.9166666667</v>
      </c>
      <c r="Q503" s="1" t="n">
        <v>48.5429</v>
      </c>
      <c r="R503" s="1" t="n">
        <v>-91.4154</v>
      </c>
      <c r="S503" s="1" t="s">
        <v>2086</v>
      </c>
      <c r="T503" s="1" t="n">
        <v>2026</v>
      </c>
      <c r="U503" s="1" t="n">
        <v>2026</v>
      </c>
      <c r="V503" s="5" t="n">
        <v>46222.9479166667</v>
      </c>
      <c r="W503" s="6" t="n">
        <v>46387.9999999884</v>
      </c>
    </row>
    <row r="504" customFormat="false" ht="12.75" hidden="false" customHeight="false" outlineLevel="0" collapsed="false">
      <c r="A504" s="1" t="s">
        <v>2087</v>
      </c>
      <c r="B504" s="1" t="n">
        <v>18292240</v>
      </c>
      <c r="C504" s="1" t="s">
        <v>1933</v>
      </c>
      <c r="D504" s="1" t="s">
        <v>1944</v>
      </c>
      <c r="E504" s="1" t="s">
        <v>2088</v>
      </c>
      <c r="F504" s="1" t="s">
        <v>2089</v>
      </c>
      <c r="G504" s="2" t="s">
        <v>28</v>
      </c>
      <c r="H504" s="1" t="n">
        <v>-1</v>
      </c>
      <c r="I504" s="1" t="n">
        <v>-1</v>
      </c>
      <c r="J504" s="1" t="n">
        <v>0</v>
      </c>
      <c r="K504" s="1" t="n">
        <v>-1</v>
      </c>
      <c r="L504" s="2" t="n">
        <v>25279</v>
      </c>
      <c r="M504" s="1" t="s">
        <v>70</v>
      </c>
      <c r="N504" s="1" t="s">
        <v>105</v>
      </c>
      <c r="O504" s="5" t="n">
        <v>46193.7979166667</v>
      </c>
      <c r="P504" s="5" t="n">
        <v>46222.91875</v>
      </c>
      <c r="Q504" s="1" t="n">
        <v>48.2768</v>
      </c>
      <c r="R504" s="1" t="n">
        <v>-91.3078</v>
      </c>
      <c r="S504" s="1" t="s">
        <v>2090</v>
      </c>
      <c r="T504" s="1" t="n">
        <v>2026</v>
      </c>
      <c r="U504" s="1" t="n">
        <v>2026</v>
      </c>
      <c r="V504" s="5" t="n">
        <v>46222.9479166667</v>
      </c>
      <c r="W504" s="6" t="n">
        <v>46387.9999999884</v>
      </c>
    </row>
    <row r="505" customFormat="false" ht="12.75" hidden="false" customHeight="false" outlineLevel="0" collapsed="false">
      <c r="A505" s="1" t="s">
        <v>2091</v>
      </c>
      <c r="B505" s="1" t="n">
        <v>18292632</v>
      </c>
      <c r="C505" s="1" t="s">
        <v>1933</v>
      </c>
      <c r="D505" s="1" t="s">
        <v>2043</v>
      </c>
      <c r="E505" s="1" t="s">
        <v>2092</v>
      </c>
      <c r="F505" s="1" t="s">
        <v>2093</v>
      </c>
      <c r="G505" s="2" t="s">
        <v>84</v>
      </c>
      <c r="H505" s="1" t="n">
        <v>-1</v>
      </c>
      <c r="I505" s="1" t="n">
        <v>-1</v>
      </c>
      <c r="J505" s="1" t="n">
        <v>0</v>
      </c>
      <c r="K505" s="1" t="n">
        <v>-1</v>
      </c>
      <c r="L505" s="2" t="n">
        <v>0.5</v>
      </c>
      <c r="M505" s="1" t="s">
        <v>65</v>
      </c>
      <c r="N505" s="1" t="s">
        <v>105</v>
      </c>
      <c r="O505" s="5" t="n">
        <v>46215.9854166667</v>
      </c>
      <c r="P505" s="5" t="n">
        <v>46222.88125</v>
      </c>
      <c r="Q505" s="1" t="n">
        <v>50.9699</v>
      </c>
      <c r="R505" s="1" t="n">
        <v>-89.9262</v>
      </c>
      <c r="S505" s="1" t="s">
        <v>2094</v>
      </c>
      <c r="T505" s="1" t="n">
        <v>2026</v>
      </c>
      <c r="U505" s="1" t="n">
        <v>2026</v>
      </c>
      <c r="V505" s="5" t="n">
        <v>46222.9479166667</v>
      </c>
      <c r="W505" s="6" t="n">
        <v>46387.9999999884</v>
      </c>
    </row>
    <row r="506" customFormat="false" ht="12.75" hidden="false" customHeight="false" outlineLevel="0" collapsed="false">
      <c r="A506" s="1" t="s">
        <v>2095</v>
      </c>
      <c r="B506" s="1" t="n">
        <v>18290490</v>
      </c>
      <c r="C506" s="1" t="s">
        <v>1933</v>
      </c>
      <c r="D506" s="1" t="s">
        <v>2096</v>
      </c>
      <c r="E506" s="1" t="s">
        <v>2097</v>
      </c>
      <c r="F506" s="1" t="s">
        <v>2098</v>
      </c>
      <c r="G506" s="2" t="s">
        <v>28</v>
      </c>
      <c r="H506" s="1" t="n">
        <v>-1</v>
      </c>
      <c r="I506" s="1" t="n">
        <v>-1</v>
      </c>
      <c r="J506" s="1" t="n">
        <v>0</v>
      </c>
      <c r="K506" s="1" t="n">
        <v>-1</v>
      </c>
      <c r="L506" s="2" t="n">
        <v>13.8</v>
      </c>
      <c r="M506" s="1" t="s">
        <v>29</v>
      </c>
      <c r="N506" s="1" t="s">
        <v>30</v>
      </c>
      <c r="O506" s="5" t="n">
        <v>46219.5888888889</v>
      </c>
      <c r="P506" s="5" t="n">
        <v>46222.8645833333</v>
      </c>
      <c r="Q506" s="1" t="n">
        <v>46.6854</v>
      </c>
      <c r="R506" s="1" t="n">
        <v>-80.1221</v>
      </c>
      <c r="S506" s="1" t="s">
        <v>2099</v>
      </c>
      <c r="T506" s="1" t="n">
        <v>2026</v>
      </c>
      <c r="U506" s="1" t="n">
        <v>2026</v>
      </c>
      <c r="V506" s="5" t="n">
        <v>46222.90625</v>
      </c>
      <c r="W506" s="6" t="n">
        <v>46387.9999999884</v>
      </c>
    </row>
    <row r="507" customFormat="false" ht="12.75" hidden="false" customHeight="false" outlineLevel="0" collapsed="false">
      <c r="A507" s="1" t="s">
        <v>2100</v>
      </c>
      <c r="B507" s="1" t="n">
        <v>18290596</v>
      </c>
      <c r="C507" s="1" t="s">
        <v>1933</v>
      </c>
      <c r="D507" s="1" t="s">
        <v>1934</v>
      </c>
      <c r="E507" s="1" t="s">
        <v>2101</v>
      </c>
      <c r="F507" s="1" t="s">
        <v>2102</v>
      </c>
      <c r="G507" s="2" t="s">
        <v>28</v>
      </c>
      <c r="H507" s="1" t="n">
        <v>-1</v>
      </c>
      <c r="I507" s="1" t="n">
        <v>-1</v>
      </c>
      <c r="J507" s="1" t="n">
        <v>0</v>
      </c>
      <c r="K507" s="1" t="n">
        <v>-1</v>
      </c>
      <c r="L507" s="2" t="n">
        <v>3334</v>
      </c>
      <c r="M507" s="1" t="s">
        <v>70</v>
      </c>
      <c r="N507" s="1" t="s">
        <v>105</v>
      </c>
      <c r="O507" s="5" t="n">
        <v>46215.5881944444</v>
      </c>
      <c r="P507" s="5" t="n">
        <v>46222.8486111111</v>
      </c>
      <c r="Q507" s="1" t="n">
        <v>51.2026</v>
      </c>
      <c r="R507" s="1" t="n">
        <v>-90.026</v>
      </c>
      <c r="S507" s="1" t="s">
        <v>2103</v>
      </c>
      <c r="T507" s="1" t="n">
        <v>2026</v>
      </c>
      <c r="U507" s="1" t="n">
        <v>2026</v>
      </c>
      <c r="V507" s="5" t="n">
        <v>46222.90625</v>
      </c>
      <c r="W507" s="6" t="n">
        <v>46387.9999999884</v>
      </c>
    </row>
    <row r="508" customFormat="false" ht="12.75" hidden="false" customHeight="false" outlineLevel="0" collapsed="false">
      <c r="A508" s="1" t="s">
        <v>2104</v>
      </c>
      <c r="B508" s="1" t="n">
        <v>18285407</v>
      </c>
      <c r="C508" s="1" t="s">
        <v>1933</v>
      </c>
      <c r="D508" s="1" t="s">
        <v>2105</v>
      </c>
      <c r="E508" s="1" t="s">
        <v>2106</v>
      </c>
      <c r="F508" s="1" t="s">
        <v>2107</v>
      </c>
      <c r="G508" s="2" t="s">
        <v>28</v>
      </c>
      <c r="H508" s="1" t="n">
        <v>-1</v>
      </c>
      <c r="I508" s="1" t="n">
        <v>-1</v>
      </c>
      <c r="J508" s="1" t="n">
        <v>0</v>
      </c>
      <c r="K508" s="1" t="n">
        <v>-1</v>
      </c>
      <c r="L508" s="2" t="n">
        <v>0.2</v>
      </c>
      <c r="M508" s="1" t="s">
        <v>70</v>
      </c>
      <c r="N508" s="1" t="s">
        <v>105</v>
      </c>
      <c r="O508" s="5" t="n">
        <v>46220.0055555556</v>
      </c>
      <c r="P508" s="5" t="n">
        <v>46222.8180555556</v>
      </c>
      <c r="Q508" s="1" t="n">
        <v>49.6345</v>
      </c>
      <c r="R508" s="1" t="n">
        <v>-85.691</v>
      </c>
      <c r="S508" s="1" t="s">
        <v>2108</v>
      </c>
      <c r="T508" s="1" t="n">
        <v>2026</v>
      </c>
      <c r="U508" s="1" t="n">
        <v>2026</v>
      </c>
      <c r="V508" s="5" t="n">
        <v>46222.8645833333</v>
      </c>
      <c r="W508" s="6" t="n">
        <v>46387.9999999884</v>
      </c>
    </row>
    <row r="509" customFormat="false" ht="12.75" hidden="false" customHeight="false" outlineLevel="0" collapsed="false">
      <c r="A509" s="1" t="s">
        <v>2109</v>
      </c>
      <c r="B509" s="1" t="n">
        <v>18285410</v>
      </c>
      <c r="C509" s="1" t="s">
        <v>1933</v>
      </c>
      <c r="D509" s="1" t="s">
        <v>2105</v>
      </c>
      <c r="E509" s="1" t="s">
        <v>2110</v>
      </c>
      <c r="F509" s="1" t="s">
        <v>2111</v>
      </c>
      <c r="G509" s="2" t="s">
        <v>28</v>
      </c>
      <c r="H509" s="1" t="n">
        <v>-1</v>
      </c>
      <c r="I509" s="1" t="n">
        <v>-1</v>
      </c>
      <c r="J509" s="1" t="n">
        <v>0</v>
      </c>
      <c r="K509" s="1" t="n">
        <v>-1</v>
      </c>
      <c r="L509" s="2" t="n">
        <v>0.1</v>
      </c>
      <c r="M509" s="1" t="s">
        <v>70</v>
      </c>
      <c r="N509" s="1" t="s">
        <v>105</v>
      </c>
      <c r="O509" s="5" t="n">
        <v>46221.9465277778</v>
      </c>
      <c r="P509" s="5" t="n">
        <v>46222.8138888889</v>
      </c>
      <c r="Q509" s="1" t="n">
        <v>48.367</v>
      </c>
      <c r="R509" s="1" t="n">
        <v>-83.8633</v>
      </c>
      <c r="S509" s="1" t="s">
        <v>2112</v>
      </c>
      <c r="T509" s="1" t="n">
        <v>2026</v>
      </c>
      <c r="U509" s="1" t="n">
        <v>2026</v>
      </c>
      <c r="V509" s="5" t="n">
        <v>46222.8645833333</v>
      </c>
      <c r="W509" s="6" t="n">
        <v>46387.9999999884</v>
      </c>
    </row>
    <row r="510" customFormat="false" ht="12.75" hidden="false" customHeight="false" outlineLevel="0" collapsed="false">
      <c r="A510" s="1" t="s">
        <v>2113</v>
      </c>
      <c r="B510" s="1" t="n">
        <v>18280118</v>
      </c>
      <c r="C510" s="1" t="s">
        <v>1933</v>
      </c>
      <c r="D510" s="1" t="s">
        <v>1934</v>
      </c>
      <c r="E510" s="1" t="s">
        <v>2114</v>
      </c>
      <c r="F510" s="1" t="s">
        <v>2115</v>
      </c>
      <c r="G510" s="2" t="s">
        <v>28</v>
      </c>
      <c r="H510" s="1" t="n">
        <v>-1</v>
      </c>
      <c r="I510" s="1" t="n">
        <v>-1</v>
      </c>
      <c r="J510" s="1" t="n">
        <v>0</v>
      </c>
      <c r="K510" s="1" t="n">
        <v>-1</v>
      </c>
      <c r="L510" s="2" t="n">
        <v>0.2</v>
      </c>
      <c r="M510" s="1" t="s">
        <v>65</v>
      </c>
      <c r="N510" s="1" t="s">
        <v>105</v>
      </c>
      <c r="O510" s="5" t="n">
        <v>46216.8458333333</v>
      </c>
      <c r="P510" s="5" t="n">
        <v>46217.7951388889</v>
      </c>
      <c r="Q510" s="1" t="n">
        <v>49.9547</v>
      </c>
      <c r="R510" s="1" t="n">
        <v>-91.3463</v>
      </c>
      <c r="S510" s="1" t="s">
        <v>2116</v>
      </c>
      <c r="T510" s="1" t="n">
        <v>2026</v>
      </c>
      <c r="U510" s="1" t="n">
        <v>2026</v>
      </c>
      <c r="V510" s="5" t="n">
        <v>46222.78125</v>
      </c>
      <c r="W510" s="6" t="n">
        <v>46387.9999999884</v>
      </c>
    </row>
    <row r="511" customFormat="false" ht="12.75" hidden="false" customHeight="false" outlineLevel="0" collapsed="false">
      <c r="A511" s="1" t="s">
        <v>2117</v>
      </c>
      <c r="B511" s="1" t="n">
        <v>18280123</v>
      </c>
      <c r="C511" s="1" t="s">
        <v>1933</v>
      </c>
      <c r="D511" s="1" t="s">
        <v>1934</v>
      </c>
      <c r="E511" s="1" t="s">
        <v>2118</v>
      </c>
      <c r="F511" s="1" t="s">
        <v>2119</v>
      </c>
      <c r="G511" s="2" t="s">
        <v>28</v>
      </c>
      <c r="H511" s="1" t="n">
        <v>-1</v>
      </c>
      <c r="I511" s="1" t="n">
        <v>-1</v>
      </c>
      <c r="J511" s="1" t="n">
        <v>0</v>
      </c>
      <c r="K511" s="1" t="n">
        <v>-1</v>
      </c>
      <c r="L511" s="2" t="n">
        <v>2657.8</v>
      </c>
      <c r="M511" s="1" t="s">
        <v>65</v>
      </c>
      <c r="N511" s="1" t="s">
        <v>105</v>
      </c>
      <c r="O511" s="5" t="n">
        <v>46217.8034722222</v>
      </c>
      <c r="P511" s="5" t="n">
        <v>46221.6506944444</v>
      </c>
      <c r="Q511" s="1" t="n">
        <v>51.1714</v>
      </c>
      <c r="R511" s="1" t="n">
        <v>-89.7415</v>
      </c>
      <c r="S511" s="1" t="s">
        <v>2120</v>
      </c>
      <c r="T511" s="1" t="n">
        <v>2026</v>
      </c>
      <c r="U511" s="1" t="n">
        <v>2026</v>
      </c>
      <c r="V511" s="5" t="n">
        <v>46222.78125</v>
      </c>
      <c r="W511" s="6" t="n">
        <v>46387.9999999884</v>
      </c>
    </row>
    <row r="512" customFormat="false" ht="12.75" hidden="false" customHeight="false" outlineLevel="0" collapsed="false">
      <c r="A512" s="1" t="s">
        <v>2121</v>
      </c>
      <c r="B512" s="1" t="n">
        <v>18279806</v>
      </c>
      <c r="C512" s="1" t="s">
        <v>1933</v>
      </c>
      <c r="D512" s="1" t="s">
        <v>1939</v>
      </c>
      <c r="E512" s="1" t="s">
        <v>2122</v>
      </c>
      <c r="F512" s="1" t="s">
        <v>2123</v>
      </c>
      <c r="G512" s="2" t="s">
        <v>84</v>
      </c>
      <c r="H512" s="1" t="n">
        <v>-1</v>
      </c>
      <c r="I512" s="1" t="n">
        <v>-1</v>
      </c>
      <c r="J512" s="1" t="n">
        <v>0</v>
      </c>
      <c r="K512" s="1" t="n">
        <v>-1</v>
      </c>
      <c r="L512" s="2" t="n">
        <v>22461</v>
      </c>
      <c r="M512" s="1" t="s">
        <v>29</v>
      </c>
      <c r="N512" s="1" t="s">
        <v>105</v>
      </c>
      <c r="O512" s="5" t="n">
        <v>46216.9215277778</v>
      </c>
      <c r="P512" s="5" t="n">
        <v>46222.7222222222</v>
      </c>
      <c r="Q512" s="1" t="n">
        <v>49.6301</v>
      </c>
      <c r="R512" s="1" t="n">
        <v>-90.098</v>
      </c>
      <c r="S512" s="1" t="s">
        <v>2124</v>
      </c>
      <c r="T512" s="1" t="n">
        <v>2026</v>
      </c>
      <c r="U512" s="1" t="n">
        <v>2026</v>
      </c>
      <c r="V512" s="5" t="n">
        <v>46222.78125</v>
      </c>
      <c r="W512" s="6" t="n">
        <v>46387.9999999884</v>
      </c>
    </row>
    <row r="513" customFormat="false" ht="12.75" hidden="false" customHeight="false" outlineLevel="0" collapsed="false">
      <c r="A513" s="1" t="s">
        <v>2125</v>
      </c>
      <c r="B513" s="1" t="n">
        <v>18279805</v>
      </c>
      <c r="C513" s="1" t="s">
        <v>1933</v>
      </c>
      <c r="D513" s="1" t="s">
        <v>1939</v>
      </c>
      <c r="E513" s="1" t="s">
        <v>2126</v>
      </c>
      <c r="F513" s="1" t="s">
        <v>2127</v>
      </c>
      <c r="G513" s="2" t="s">
        <v>84</v>
      </c>
      <c r="H513" s="1" t="n">
        <v>-1</v>
      </c>
      <c r="I513" s="1" t="n">
        <v>-1</v>
      </c>
      <c r="J513" s="1" t="n">
        <v>0</v>
      </c>
      <c r="K513" s="1" t="n">
        <v>-1</v>
      </c>
      <c r="L513" s="2" t="n">
        <v>44954</v>
      </c>
      <c r="M513" s="1" t="s">
        <v>29</v>
      </c>
      <c r="N513" s="1" t="s">
        <v>105</v>
      </c>
      <c r="O513" s="5" t="n">
        <v>46216.9111111111</v>
      </c>
      <c r="P513" s="5" t="n">
        <v>46222.7222222222</v>
      </c>
      <c r="Q513" s="1" t="n">
        <v>49.9828</v>
      </c>
      <c r="R513" s="1" t="n">
        <v>-90.1717</v>
      </c>
      <c r="S513" s="1" t="s">
        <v>2128</v>
      </c>
      <c r="T513" s="1" t="n">
        <v>2026</v>
      </c>
      <c r="U513" s="1" t="n">
        <v>2026</v>
      </c>
      <c r="V513" s="5" t="n">
        <v>46222.78125</v>
      </c>
      <c r="W513" s="6" t="n">
        <v>46387.9999999884</v>
      </c>
    </row>
    <row r="514" customFormat="false" ht="12.75" hidden="false" customHeight="false" outlineLevel="0" collapsed="false">
      <c r="A514" s="1" t="s">
        <v>2129</v>
      </c>
      <c r="B514" s="1" t="n">
        <v>18280116</v>
      </c>
      <c r="C514" s="1" t="s">
        <v>1933</v>
      </c>
      <c r="D514" s="1" t="s">
        <v>1934</v>
      </c>
      <c r="E514" s="1" t="s">
        <v>2130</v>
      </c>
      <c r="F514" s="1" t="s">
        <v>2131</v>
      </c>
      <c r="G514" s="2" t="s">
        <v>28</v>
      </c>
      <c r="H514" s="1" t="n">
        <v>-1</v>
      </c>
      <c r="I514" s="1" t="n">
        <v>-1</v>
      </c>
      <c r="J514" s="1" t="n">
        <v>0</v>
      </c>
      <c r="K514" s="1" t="n">
        <v>-1</v>
      </c>
      <c r="L514" s="2" t="n">
        <v>0.3</v>
      </c>
      <c r="M514" s="1" t="s">
        <v>29</v>
      </c>
      <c r="N514" s="1" t="s">
        <v>105</v>
      </c>
      <c r="O514" s="5" t="n">
        <v>46216.8194444444</v>
      </c>
      <c r="P514" s="5" t="n">
        <v>46216.8368055556</v>
      </c>
      <c r="Q514" s="1" t="n">
        <v>50.964</v>
      </c>
      <c r="R514" s="1" t="n">
        <v>-90.3959</v>
      </c>
      <c r="S514" s="1" t="s">
        <v>2132</v>
      </c>
      <c r="T514" s="1" t="n">
        <v>2026</v>
      </c>
      <c r="U514" s="1" t="n">
        <v>2026</v>
      </c>
      <c r="V514" s="5" t="n">
        <v>46222.78125</v>
      </c>
      <c r="W514" s="6" t="n">
        <v>46387.9999999884</v>
      </c>
    </row>
    <row r="515" customFormat="false" ht="12.75" hidden="false" customHeight="false" outlineLevel="0" collapsed="false">
      <c r="A515" s="1" t="s">
        <v>2133</v>
      </c>
      <c r="B515" s="1" t="n">
        <v>18280120</v>
      </c>
      <c r="C515" s="1" t="s">
        <v>1933</v>
      </c>
      <c r="D515" s="1" t="s">
        <v>1934</v>
      </c>
      <c r="E515" s="1" t="s">
        <v>2134</v>
      </c>
      <c r="F515" s="1" t="s">
        <v>2135</v>
      </c>
      <c r="G515" s="2" t="s">
        <v>28</v>
      </c>
      <c r="H515" s="1" t="n">
        <v>-1</v>
      </c>
      <c r="I515" s="1" t="n">
        <v>-1</v>
      </c>
      <c r="J515" s="1" t="n">
        <v>0</v>
      </c>
      <c r="K515" s="1" t="n">
        <v>-1</v>
      </c>
      <c r="L515" s="2" t="n">
        <v>7190.1</v>
      </c>
      <c r="M515" s="1" t="s">
        <v>29</v>
      </c>
      <c r="N515" s="1" t="s">
        <v>105</v>
      </c>
      <c r="O515" s="5" t="n">
        <v>46216.9229166667</v>
      </c>
      <c r="P515" s="5" t="n">
        <v>46221.8819444444</v>
      </c>
      <c r="Q515" s="1" t="n">
        <v>50.5877</v>
      </c>
      <c r="R515" s="1" t="n">
        <v>-90.6753</v>
      </c>
      <c r="S515" s="1" t="s">
        <v>2136</v>
      </c>
      <c r="T515" s="1" t="n">
        <v>2026</v>
      </c>
      <c r="U515" s="1" t="n">
        <v>2026</v>
      </c>
      <c r="V515" s="5" t="n">
        <v>46222.78125</v>
      </c>
      <c r="W515" s="6" t="n">
        <v>46387.9999999884</v>
      </c>
    </row>
    <row r="516" customFormat="false" ht="12.75" hidden="false" customHeight="false" outlineLevel="0" collapsed="false">
      <c r="A516" s="1" t="s">
        <v>2137</v>
      </c>
      <c r="B516" s="1" t="n">
        <v>18280124</v>
      </c>
      <c r="C516" s="1" t="s">
        <v>1933</v>
      </c>
      <c r="D516" s="1" t="s">
        <v>1934</v>
      </c>
      <c r="E516" s="1" t="s">
        <v>2138</v>
      </c>
      <c r="F516" s="1" t="s">
        <v>2139</v>
      </c>
      <c r="G516" s="2" t="s">
        <v>28</v>
      </c>
      <c r="H516" s="1" t="n">
        <v>-1</v>
      </c>
      <c r="I516" s="1" t="n">
        <v>-1</v>
      </c>
      <c r="J516" s="1" t="n">
        <v>0</v>
      </c>
      <c r="K516" s="1" t="n">
        <v>-1</v>
      </c>
      <c r="L516" s="2" t="n">
        <v>7</v>
      </c>
      <c r="M516" s="1" t="s">
        <v>29</v>
      </c>
      <c r="N516" s="1" t="s">
        <v>105</v>
      </c>
      <c r="O516" s="5" t="n">
        <v>46217.9819444444</v>
      </c>
      <c r="P516" s="5" t="n">
        <v>46217.9819444444</v>
      </c>
      <c r="Q516" s="1" t="n">
        <v>52.2744</v>
      </c>
      <c r="R516" s="1" t="n">
        <v>-91.0997</v>
      </c>
      <c r="S516" s="1" t="s">
        <v>2140</v>
      </c>
      <c r="T516" s="1" t="n">
        <v>2026</v>
      </c>
      <c r="U516" s="1" t="n">
        <v>2026</v>
      </c>
      <c r="V516" s="5" t="n">
        <v>46222.78125</v>
      </c>
      <c r="W516" s="6" t="n">
        <v>46387.9999999884</v>
      </c>
    </row>
    <row r="517" customFormat="false" ht="12.75" hidden="false" customHeight="false" outlineLevel="0" collapsed="false">
      <c r="A517" s="1" t="s">
        <v>2141</v>
      </c>
      <c r="B517" s="1" t="n">
        <v>18280125</v>
      </c>
      <c r="C517" s="1" t="s">
        <v>1933</v>
      </c>
      <c r="D517" s="1" t="s">
        <v>1934</v>
      </c>
      <c r="E517" s="1" t="s">
        <v>2142</v>
      </c>
      <c r="F517" s="1" t="s">
        <v>2143</v>
      </c>
      <c r="G517" s="2" t="s">
        <v>28</v>
      </c>
      <c r="H517" s="1" t="n">
        <v>-1</v>
      </c>
      <c r="I517" s="1" t="n">
        <v>-1</v>
      </c>
      <c r="J517" s="1" t="n">
        <v>0</v>
      </c>
      <c r="K517" s="1" t="n">
        <v>-1</v>
      </c>
      <c r="L517" s="2" t="n">
        <v>0.5</v>
      </c>
      <c r="M517" s="1" t="s">
        <v>29</v>
      </c>
      <c r="N517" s="1" t="s">
        <v>105</v>
      </c>
      <c r="O517" s="5" t="n">
        <v>46217.9861111111</v>
      </c>
      <c r="P517" s="5" t="n">
        <v>46217.9861111111</v>
      </c>
      <c r="Q517" s="1" t="n">
        <v>52.4655</v>
      </c>
      <c r="R517" s="1" t="n">
        <v>-91.0208</v>
      </c>
      <c r="S517" s="1" t="s">
        <v>2144</v>
      </c>
      <c r="T517" s="1" t="n">
        <v>2026</v>
      </c>
      <c r="U517" s="1" t="n">
        <v>2026</v>
      </c>
      <c r="V517" s="5" t="n">
        <v>46222.78125</v>
      </c>
      <c r="W517" s="6" t="n">
        <v>46387.9999999884</v>
      </c>
    </row>
    <row r="518" customFormat="false" ht="12.75" hidden="false" customHeight="false" outlineLevel="0" collapsed="false">
      <c r="A518" s="1" t="s">
        <v>2145</v>
      </c>
      <c r="B518" s="1" t="n">
        <v>18280130</v>
      </c>
      <c r="C518" s="1" t="s">
        <v>1933</v>
      </c>
      <c r="D518" s="1" t="s">
        <v>1934</v>
      </c>
      <c r="E518" s="1" t="s">
        <v>2146</v>
      </c>
      <c r="F518" s="1" t="s">
        <v>2147</v>
      </c>
      <c r="G518" s="2" t="s">
        <v>28</v>
      </c>
      <c r="H518" s="1" t="n">
        <v>-1</v>
      </c>
      <c r="I518" s="1" t="n">
        <v>-1</v>
      </c>
      <c r="J518" s="1" t="n">
        <v>0</v>
      </c>
      <c r="K518" s="1" t="n">
        <v>-1</v>
      </c>
      <c r="L518" s="2" t="n">
        <v>136.6</v>
      </c>
      <c r="M518" s="1" t="s">
        <v>65</v>
      </c>
      <c r="N518" s="1" t="s">
        <v>105</v>
      </c>
      <c r="O518" s="5" t="n">
        <v>46220.8284722222</v>
      </c>
      <c r="P518" s="5" t="n">
        <v>46220.9166666667</v>
      </c>
      <c r="Q518" s="1" t="n">
        <v>53.1602</v>
      </c>
      <c r="R518" s="1" t="n">
        <v>-91.2252</v>
      </c>
      <c r="S518" s="1" t="s">
        <v>2148</v>
      </c>
      <c r="T518" s="1" t="n">
        <v>2026</v>
      </c>
      <c r="U518" s="1" t="n">
        <v>2026</v>
      </c>
      <c r="V518" s="5" t="n">
        <v>46222.78125</v>
      </c>
      <c r="W518" s="6" t="n">
        <v>46387.9999999884</v>
      </c>
    </row>
    <row r="519" customFormat="false" ht="12.75" hidden="false" customHeight="false" outlineLevel="0" collapsed="false">
      <c r="A519" s="1" t="s">
        <v>2149</v>
      </c>
      <c r="B519" s="1" t="n">
        <v>18280129</v>
      </c>
      <c r="C519" s="1" t="s">
        <v>1933</v>
      </c>
      <c r="D519" s="1" t="s">
        <v>1934</v>
      </c>
      <c r="E519" s="1" t="s">
        <v>2150</v>
      </c>
      <c r="F519" s="1" t="s">
        <v>2151</v>
      </c>
      <c r="G519" s="2" t="s">
        <v>28</v>
      </c>
      <c r="H519" s="1" t="n">
        <v>-1</v>
      </c>
      <c r="I519" s="1" t="n">
        <v>-1</v>
      </c>
      <c r="J519" s="1" t="n">
        <v>0</v>
      </c>
      <c r="K519" s="1" t="n">
        <v>-1</v>
      </c>
      <c r="L519" s="2" t="n">
        <v>110</v>
      </c>
      <c r="M519" s="1" t="s">
        <v>65</v>
      </c>
      <c r="N519" s="1" t="s">
        <v>105</v>
      </c>
      <c r="O519" s="5" t="n">
        <v>46220.8270833333</v>
      </c>
      <c r="P519" s="5" t="n">
        <v>46220.9083333333</v>
      </c>
      <c r="Q519" s="1" t="n">
        <v>52.5477</v>
      </c>
      <c r="R519" s="1" t="n">
        <v>-89.3515</v>
      </c>
      <c r="S519" s="1" t="s">
        <v>2152</v>
      </c>
      <c r="T519" s="1" t="n">
        <v>2026</v>
      </c>
      <c r="U519" s="1" t="n">
        <v>2026</v>
      </c>
      <c r="V519" s="5" t="n">
        <v>46222.78125</v>
      </c>
      <c r="W519" s="6" t="n">
        <v>46387.9999999884</v>
      </c>
    </row>
    <row r="520" customFormat="false" ht="12.75" hidden="false" customHeight="false" outlineLevel="0" collapsed="false">
      <c r="A520" s="1" t="s">
        <v>2153</v>
      </c>
      <c r="B520" s="1" t="n">
        <v>18280128</v>
      </c>
      <c r="C520" s="1" t="s">
        <v>1933</v>
      </c>
      <c r="D520" s="1" t="s">
        <v>1934</v>
      </c>
      <c r="E520" s="1" t="s">
        <v>2154</v>
      </c>
      <c r="F520" s="1" t="s">
        <v>2155</v>
      </c>
      <c r="G520" s="2" t="s">
        <v>28</v>
      </c>
      <c r="H520" s="1" t="n">
        <v>-1</v>
      </c>
      <c r="I520" s="1" t="n">
        <v>-1</v>
      </c>
      <c r="J520" s="1" t="n">
        <v>0</v>
      </c>
      <c r="K520" s="1" t="n">
        <v>-1</v>
      </c>
      <c r="L520" s="2" t="n">
        <v>0.1</v>
      </c>
      <c r="M520" s="1" t="s">
        <v>29</v>
      </c>
      <c r="N520" s="1" t="s">
        <v>105</v>
      </c>
      <c r="O520" s="5" t="n">
        <v>46218.9215277778</v>
      </c>
      <c r="P520" s="5" t="n">
        <v>46218.9215277778</v>
      </c>
      <c r="Q520" s="1" t="n">
        <v>50.9606</v>
      </c>
      <c r="R520" s="1" t="n">
        <v>-90.3221</v>
      </c>
      <c r="S520" s="1" t="s">
        <v>2156</v>
      </c>
      <c r="T520" s="1" t="n">
        <v>2026</v>
      </c>
      <c r="U520" s="1" t="n">
        <v>2026</v>
      </c>
      <c r="V520" s="5" t="n">
        <v>46222.78125</v>
      </c>
      <c r="W520" s="6" t="n">
        <v>46387.9999999884</v>
      </c>
    </row>
    <row r="521" customFormat="false" ht="12.75" hidden="false" customHeight="false" outlineLevel="0" collapsed="false">
      <c r="A521" s="1" t="s">
        <v>2157</v>
      </c>
      <c r="B521" s="1" t="n">
        <v>18280122</v>
      </c>
      <c r="C521" s="1" t="s">
        <v>1933</v>
      </c>
      <c r="D521" s="1" t="s">
        <v>1934</v>
      </c>
      <c r="E521" s="1" t="s">
        <v>2158</v>
      </c>
      <c r="F521" s="1" t="s">
        <v>2159</v>
      </c>
      <c r="G521" s="2" t="s">
        <v>28</v>
      </c>
      <c r="H521" s="1" t="n">
        <v>-1</v>
      </c>
      <c r="I521" s="1" t="n">
        <v>-1</v>
      </c>
      <c r="J521" s="1" t="n">
        <v>0</v>
      </c>
      <c r="K521" s="1" t="n">
        <v>-1</v>
      </c>
      <c r="L521" s="2" t="n">
        <v>6</v>
      </c>
      <c r="M521" s="1" t="s">
        <v>65</v>
      </c>
      <c r="N521" s="1" t="s">
        <v>105</v>
      </c>
      <c r="O521" s="5" t="n">
        <v>46217.6416666667</v>
      </c>
      <c r="P521" s="5" t="n">
        <v>46217.6805555556</v>
      </c>
      <c r="Q521" s="1" t="n">
        <v>50.7045</v>
      </c>
      <c r="R521" s="1" t="n">
        <v>-90.0775</v>
      </c>
      <c r="S521" s="1" t="s">
        <v>2160</v>
      </c>
      <c r="T521" s="1" t="n">
        <v>2026</v>
      </c>
      <c r="U521" s="1" t="n">
        <v>2026</v>
      </c>
      <c r="V521" s="5" t="n">
        <v>46222.78125</v>
      </c>
      <c r="W521" s="6" t="n">
        <v>46387.9999999884</v>
      </c>
    </row>
    <row r="522" customFormat="false" ht="12.75" hidden="false" customHeight="false" outlineLevel="0" collapsed="false">
      <c r="A522" s="1" t="s">
        <v>2161</v>
      </c>
      <c r="B522" s="1" t="n">
        <v>18280117</v>
      </c>
      <c r="C522" s="1" t="s">
        <v>1933</v>
      </c>
      <c r="D522" s="1" t="s">
        <v>1934</v>
      </c>
      <c r="E522" s="1" t="s">
        <v>2162</v>
      </c>
      <c r="F522" s="1" t="s">
        <v>2163</v>
      </c>
      <c r="G522" s="2" t="s">
        <v>28</v>
      </c>
      <c r="H522" s="1" t="n">
        <v>-1</v>
      </c>
      <c r="I522" s="1" t="n">
        <v>-1</v>
      </c>
      <c r="J522" s="1" t="n">
        <v>0</v>
      </c>
      <c r="K522" s="1" t="n">
        <v>-1</v>
      </c>
      <c r="L522" s="2" t="n">
        <v>5305.8</v>
      </c>
      <c r="M522" s="1" t="s">
        <v>29</v>
      </c>
      <c r="N522" s="1" t="s">
        <v>105</v>
      </c>
      <c r="O522" s="5" t="n">
        <v>46216.8222222222</v>
      </c>
      <c r="P522" s="5" t="n">
        <v>46218.7430555556</v>
      </c>
      <c r="Q522" s="1" t="n">
        <v>50.9398</v>
      </c>
      <c r="R522" s="1" t="n">
        <v>-90.4386</v>
      </c>
      <c r="S522" s="1" t="s">
        <v>2164</v>
      </c>
      <c r="T522" s="1" t="n">
        <v>2026</v>
      </c>
      <c r="U522" s="1" t="n">
        <v>2026</v>
      </c>
      <c r="V522" s="5" t="n">
        <v>46222.78125</v>
      </c>
      <c r="W522" s="6" t="n">
        <v>46387.9999999884</v>
      </c>
    </row>
    <row r="523" customFormat="false" ht="12.75" hidden="false" customHeight="false" outlineLevel="0" collapsed="false">
      <c r="A523" s="1" t="s">
        <v>2165</v>
      </c>
      <c r="B523" s="1" t="n">
        <v>18269930</v>
      </c>
      <c r="C523" s="1" t="s">
        <v>1933</v>
      </c>
      <c r="D523" s="1" t="s">
        <v>2166</v>
      </c>
      <c r="E523" s="1" t="s">
        <v>2167</v>
      </c>
      <c r="F523" s="1" t="s">
        <v>2168</v>
      </c>
      <c r="G523" s="2" t="s">
        <v>28</v>
      </c>
      <c r="H523" s="1" t="n">
        <v>-1</v>
      </c>
      <c r="I523" s="1" t="n">
        <v>-1</v>
      </c>
      <c r="J523" s="1" t="n">
        <v>0</v>
      </c>
      <c r="K523" s="1" t="n">
        <v>-1</v>
      </c>
      <c r="L523" s="2" t="n">
        <v>243</v>
      </c>
      <c r="M523" s="1" t="s">
        <v>65</v>
      </c>
      <c r="N523" s="1" t="s">
        <v>105</v>
      </c>
      <c r="O523" s="5" t="n">
        <v>46222.5625</v>
      </c>
      <c r="P523" s="5" t="n">
        <v>46222.6451388889</v>
      </c>
      <c r="Q523" s="1" t="n">
        <v>52.0314</v>
      </c>
      <c r="R523" s="1" t="n">
        <v>-83.5051</v>
      </c>
      <c r="S523" s="1" t="s">
        <v>2169</v>
      </c>
      <c r="T523" s="1" t="n">
        <v>2026</v>
      </c>
      <c r="U523" s="1" t="n">
        <v>2026</v>
      </c>
      <c r="V523" s="5" t="n">
        <v>46222.6979166667</v>
      </c>
      <c r="W523" s="6" t="n">
        <v>46387.9999999884</v>
      </c>
    </row>
    <row r="524" customFormat="false" ht="12.75" hidden="false" customHeight="false" outlineLevel="0" collapsed="false">
      <c r="A524" s="1" t="s">
        <v>2170</v>
      </c>
      <c r="B524" s="1" t="n">
        <v>18268407</v>
      </c>
      <c r="C524" s="1" t="s">
        <v>1933</v>
      </c>
      <c r="D524" s="1" t="s">
        <v>2043</v>
      </c>
      <c r="E524" s="1" t="s">
        <v>2171</v>
      </c>
      <c r="F524" s="1" t="s">
        <v>2172</v>
      </c>
      <c r="G524" s="2" t="s">
        <v>28</v>
      </c>
      <c r="H524" s="1" t="n">
        <v>-1</v>
      </c>
      <c r="I524" s="1" t="n">
        <v>-1</v>
      </c>
      <c r="J524" s="1" t="n">
        <v>0</v>
      </c>
      <c r="K524" s="1" t="n">
        <v>-1</v>
      </c>
      <c r="L524" s="2" t="n">
        <v>7947</v>
      </c>
      <c r="M524" s="1" t="s">
        <v>29</v>
      </c>
      <c r="N524" s="1" t="s">
        <v>105</v>
      </c>
      <c r="O524" s="5" t="n">
        <v>46216.84375</v>
      </c>
      <c r="P524" s="5" t="n">
        <v>46222.6020833333</v>
      </c>
      <c r="Q524" s="1" t="n">
        <v>49.4203</v>
      </c>
      <c r="R524" s="1" t="n">
        <v>-90.4703</v>
      </c>
      <c r="S524" s="1" t="s">
        <v>2173</v>
      </c>
      <c r="T524" s="1" t="n">
        <v>2026</v>
      </c>
      <c r="U524" s="1" t="n">
        <v>2026</v>
      </c>
      <c r="V524" s="5" t="n">
        <v>46222.65625</v>
      </c>
      <c r="W524" s="6" t="n">
        <v>46387.9999999884</v>
      </c>
    </row>
    <row r="525" customFormat="false" ht="12.75" hidden="false" customHeight="false" outlineLevel="0" collapsed="false">
      <c r="A525" s="1" t="s">
        <v>2174</v>
      </c>
      <c r="B525" s="1" t="n">
        <v>18218139</v>
      </c>
      <c r="C525" s="1" t="s">
        <v>1933</v>
      </c>
      <c r="D525" s="1" t="s">
        <v>2043</v>
      </c>
      <c r="E525" s="1" t="s">
        <v>2175</v>
      </c>
      <c r="F525" s="1" t="s">
        <v>2176</v>
      </c>
      <c r="G525" s="2" t="s">
        <v>84</v>
      </c>
      <c r="H525" s="1" t="n">
        <v>-1</v>
      </c>
      <c r="I525" s="1" t="n">
        <v>-1</v>
      </c>
      <c r="J525" s="1" t="n">
        <v>0</v>
      </c>
      <c r="K525" s="1" t="n">
        <v>-1</v>
      </c>
      <c r="L525" s="2" t="n">
        <v>388</v>
      </c>
      <c r="M525" s="1" t="s">
        <v>29</v>
      </c>
      <c r="N525" s="1" t="s">
        <v>105</v>
      </c>
      <c r="O525" s="5" t="n">
        <v>46222.0506944444</v>
      </c>
      <c r="P525" s="5" t="n">
        <v>46222.0513888889</v>
      </c>
      <c r="Q525" s="1" t="n">
        <v>49.5879</v>
      </c>
      <c r="R525" s="1" t="n">
        <v>-88.9017</v>
      </c>
      <c r="S525" s="1" t="s">
        <v>2177</v>
      </c>
      <c r="T525" s="1" t="n">
        <v>2026</v>
      </c>
      <c r="U525" s="1" t="n">
        <v>2026</v>
      </c>
      <c r="V525" s="5" t="n">
        <v>46222.1145833333</v>
      </c>
      <c r="W525" s="6" t="n">
        <v>46387.9999999884</v>
      </c>
    </row>
    <row r="526" customFormat="false" ht="12.75" hidden="false" customHeight="false" outlineLevel="0" collapsed="false">
      <c r="A526" s="1" t="s">
        <v>2178</v>
      </c>
      <c r="B526" s="1" t="n">
        <v>18214624</v>
      </c>
      <c r="C526" s="1" t="s">
        <v>1933</v>
      </c>
      <c r="D526" s="1" t="s">
        <v>1944</v>
      </c>
      <c r="E526" s="1" t="s">
        <v>2179</v>
      </c>
      <c r="F526" s="1" t="s">
        <v>2180</v>
      </c>
      <c r="G526" s="2" t="s">
        <v>28</v>
      </c>
      <c r="H526" s="1" t="n">
        <v>-1</v>
      </c>
      <c r="I526" s="1" t="n">
        <v>-1</v>
      </c>
      <c r="J526" s="1" t="n">
        <v>0</v>
      </c>
      <c r="K526" s="1" t="n">
        <v>-1</v>
      </c>
      <c r="L526" s="2" t="n">
        <v>125</v>
      </c>
      <c r="M526" s="1" t="s">
        <v>29</v>
      </c>
      <c r="N526" s="1" t="s">
        <v>105</v>
      </c>
      <c r="O526" s="5" t="n">
        <v>46217.6722222222</v>
      </c>
      <c r="P526" s="5" t="n">
        <v>46222.0090277778</v>
      </c>
      <c r="Q526" s="1" t="n">
        <v>48.3318</v>
      </c>
      <c r="R526" s="1" t="n">
        <v>-92.0242</v>
      </c>
      <c r="S526" s="1" t="s">
        <v>2181</v>
      </c>
      <c r="T526" s="1" t="n">
        <v>2026</v>
      </c>
      <c r="U526" s="1" t="n">
        <v>2026</v>
      </c>
      <c r="V526" s="5" t="n">
        <v>46222.0729166667</v>
      </c>
      <c r="W526" s="6" t="n">
        <v>46387.9999999884</v>
      </c>
    </row>
    <row r="527" customFormat="false" ht="12.75" hidden="false" customHeight="false" outlineLevel="0" collapsed="false">
      <c r="A527" s="1" t="s">
        <v>2182</v>
      </c>
      <c r="B527" s="1" t="n">
        <v>18213230</v>
      </c>
      <c r="C527" s="1" t="s">
        <v>1933</v>
      </c>
      <c r="D527" s="1" t="s">
        <v>2105</v>
      </c>
      <c r="E527" s="1" t="s">
        <v>2183</v>
      </c>
      <c r="F527" s="1" t="s">
        <v>2184</v>
      </c>
      <c r="G527" s="2" t="s">
        <v>84</v>
      </c>
      <c r="H527" s="1" t="n">
        <v>-1</v>
      </c>
      <c r="I527" s="1" t="n">
        <v>-1</v>
      </c>
      <c r="J527" s="1" t="n">
        <v>0</v>
      </c>
      <c r="K527" s="1" t="n">
        <v>-1</v>
      </c>
      <c r="L527" s="2" t="n">
        <v>2.3</v>
      </c>
      <c r="M527" s="1" t="s">
        <v>29</v>
      </c>
      <c r="N527" s="1" t="s">
        <v>37</v>
      </c>
      <c r="O527" s="5" t="n">
        <v>46219.6395833333</v>
      </c>
      <c r="P527" s="5" t="n">
        <v>46221.9583333333</v>
      </c>
      <c r="Q527" s="1" t="n">
        <v>49.6404</v>
      </c>
      <c r="R527" s="1" t="n">
        <v>-85.2873</v>
      </c>
      <c r="S527" s="1" t="s">
        <v>2185</v>
      </c>
      <c r="T527" s="1" t="n">
        <v>2026</v>
      </c>
      <c r="U527" s="1" t="n">
        <v>2026</v>
      </c>
      <c r="V527" s="5" t="n">
        <v>46222.03125</v>
      </c>
      <c r="W527" s="6" t="n">
        <v>46387.9999999884</v>
      </c>
    </row>
    <row r="528" customFormat="false" ht="12.75" hidden="false" customHeight="false" outlineLevel="0" collapsed="false">
      <c r="A528" s="1" t="s">
        <v>2186</v>
      </c>
      <c r="B528" s="1" t="n">
        <v>18207881</v>
      </c>
      <c r="C528" s="1" t="s">
        <v>1933</v>
      </c>
      <c r="D528" s="1" t="s">
        <v>1944</v>
      </c>
      <c r="E528" s="1" t="s">
        <v>2187</v>
      </c>
      <c r="F528" s="1" t="s">
        <v>2188</v>
      </c>
      <c r="G528" s="2" t="s">
        <v>28</v>
      </c>
      <c r="H528" s="1" t="n">
        <v>-1</v>
      </c>
      <c r="I528" s="1" t="n">
        <v>-1</v>
      </c>
      <c r="J528" s="1" t="n">
        <v>0</v>
      </c>
      <c r="K528" s="1" t="n">
        <v>-1</v>
      </c>
      <c r="L528" s="2" t="n">
        <v>51806</v>
      </c>
      <c r="M528" s="1" t="s">
        <v>29</v>
      </c>
      <c r="N528" s="1" t="s">
        <v>105</v>
      </c>
      <c r="O528" s="5" t="n">
        <v>46203.8916666667</v>
      </c>
      <c r="P528" s="5" t="n">
        <v>46221.9166666667</v>
      </c>
      <c r="Q528" s="1" t="n">
        <v>48.8934</v>
      </c>
      <c r="R528" s="1" t="n">
        <v>-90.9869</v>
      </c>
      <c r="S528" s="1" t="s">
        <v>2189</v>
      </c>
      <c r="T528" s="1" t="n">
        <v>2026</v>
      </c>
      <c r="U528" s="1" t="n">
        <v>2026</v>
      </c>
      <c r="V528" s="5" t="n">
        <v>46221.9895833333</v>
      </c>
      <c r="W528" s="6" t="n">
        <v>46387.9999999884</v>
      </c>
    </row>
    <row r="529" customFormat="false" ht="12.75" hidden="false" customHeight="false" outlineLevel="0" collapsed="false">
      <c r="A529" s="1" t="s">
        <v>2190</v>
      </c>
      <c r="B529" s="1" t="n">
        <v>18207904</v>
      </c>
      <c r="C529" s="1" t="s">
        <v>1933</v>
      </c>
      <c r="D529" s="1" t="s">
        <v>1944</v>
      </c>
      <c r="E529" s="1" t="s">
        <v>2191</v>
      </c>
      <c r="F529" s="1" t="s">
        <v>2192</v>
      </c>
      <c r="G529" s="2" t="s">
        <v>28</v>
      </c>
      <c r="H529" s="1" t="n">
        <v>-1</v>
      </c>
      <c r="I529" s="1" t="n">
        <v>-1</v>
      </c>
      <c r="J529" s="1" t="n">
        <v>0</v>
      </c>
      <c r="K529" s="1" t="n">
        <v>-1</v>
      </c>
      <c r="L529" s="2" t="n">
        <v>45</v>
      </c>
      <c r="M529" s="1" t="s">
        <v>29</v>
      </c>
      <c r="N529" s="1" t="s">
        <v>105</v>
      </c>
      <c r="O529" s="5" t="n">
        <v>46216.0020833333</v>
      </c>
      <c r="P529" s="5" t="n">
        <v>46221.9444444444</v>
      </c>
      <c r="Q529" s="1" t="n">
        <v>49.0887</v>
      </c>
      <c r="R529" s="1" t="n">
        <v>-91.1009</v>
      </c>
      <c r="S529" s="1" t="s">
        <v>2193</v>
      </c>
      <c r="T529" s="1" t="n">
        <v>2026</v>
      </c>
      <c r="U529" s="1" t="n">
        <v>2026</v>
      </c>
      <c r="V529" s="5" t="n">
        <v>46221.9895833333</v>
      </c>
      <c r="W529" s="6" t="n">
        <v>46387.9999999884</v>
      </c>
    </row>
    <row r="530" customFormat="false" ht="12.75" hidden="false" customHeight="false" outlineLevel="0" collapsed="false">
      <c r="A530" s="1" t="s">
        <v>2194</v>
      </c>
      <c r="B530" s="1" t="n">
        <v>18200610</v>
      </c>
      <c r="C530" s="1" t="s">
        <v>1933</v>
      </c>
      <c r="D530" s="1" t="s">
        <v>2043</v>
      </c>
      <c r="E530" s="1" t="s">
        <v>2195</v>
      </c>
      <c r="F530" s="1" t="s">
        <v>2196</v>
      </c>
      <c r="G530" s="2" t="s">
        <v>28</v>
      </c>
      <c r="H530" s="1" t="n">
        <v>-1</v>
      </c>
      <c r="I530" s="1" t="n">
        <v>-1</v>
      </c>
      <c r="J530" s="1" t="n">
        <v>0</v>
      </c>
      <c r="K530" s="1" t="n">
        <v>-1</v>
      </c>
      <c r="L530" s="2" t="n">
        <v>7859.1</v>
      </c>
      <c r="M530" s="1" t="s">
        <v>29</v>
      </c>
      <c r="N530" s="1" t="s">
        <v>105</v>
      </c>
      <c r="O530" s="5" t="n">
        <v>46216.8111111111</v>
      </c>
      <c r="P530" s="5" t="n">
        <v>46221.8395833333</v>
      </c>
      <c r="Q530" s="1" t="n">
        <v>49.7549</v>
      </c>
      <c r="R530" s="1" t="n">
        <v>-89.9496</v>
      </c>
      <c r="S530" s="1" t="s">
        <v>2197</v>
      </c>
      <c r="T530" s="1" t="n">
        <v>2026</v>
      </c>
      <c r="U530" s="1" t="n">
        <v>2026</v>
      </c>
      <c r="V530" s="5" t="n">
        <v>46221.90625</v>
      </c>
      <c r="W530" s="6" t="n">
        <v>46387.9999999884</v>
      </c>
    </row>
    <row r="531" customFormat="false" ht="12.75" hidden="false" customHeight="false" outlineLevel="0" collapsed="false">
      <c r="A531" s="1" t="s">
        <v>2198</v>
      </c>
      <c r="B531" s="1" t="n">
        <v>18194891</v>
      </c>
      <c r="C531" s="1" t="s">
        <v>1933</v>
      </c>
      <c r="D531" s="1" t="s">
        <v>1949</v>
      </c>
      <c r="E531" s="1" t="s">
        <v>2199</v>
      </c>
      <c r="F531" s="1" t="s">
        <v>2200</v>
      </c>
      <c r="G531" s="2" t="s">
        <v>28</v>
      </c>
      <c r="H531" s="1" t="n">
        <v>-1</v>
      </c>
      <c r="I531" s="1" t="n">
        <v>-1</v>
      </c>
      <c r="J531" s="1" t="n">
        <v>0</v>
      </c>
      <c r="K531" s="1" t="n">
        <v>-1</v>
      </c>
      <c r="L531" s="2" t="n">
        <v>1200</v>
      </c>
      <c r="M531" s="1" t="s">
        <v>29</v>
      </c>
      <c r="N531" s="1" t="s">
        <v>105</v>
      </c>
      <c r="O531" s="5" t="n">
        <v>46221.8055555556</v>
      </c>
      <c r="P531" s="5" t="n">
        <v>46221.8055555556</v>
      </c>
      <c r="Q531" s="1" t="n">
        <v>51.072</v>
      </c>
      <c r="R531" s="1" t="n">
        <v>-88.8491</v>
      </c>
      <c r="S531" s="1" t="s">
        <v>2201</v>
      </c>
      <c r="T531" s="1" t="n">
        <v>2026</v>
      </c>
      <c r="U531" s="1" t="n">
        <v>2026</v>
      </c>
      <c r="V531" s="5" t="n">
        <v>46221.8645833333</v>
      </c>
      <c r="W531" s="6" t="n">
        <v>46387.9999999884</v>
      </c>
    </row>
    <row r="532" customFormat="false" ht="12.75" hidden="false" customHeight="false" outlineLevel="0" collapsed="false">
      <c r="A532" s="1" t="s">
        <v>2202</v>
      </c>
      <c r="B532" s="1" t="n">
        <v>18195045</v>
      </c>
      <c r="C532" s="1" t="s">
        <v>1933</v>
      </c>
      <c r="D532" s="1" t="s">
        <v>1934</v>
      </c>
      <c r="E532" s="1" t="s">
        <v>2203</v>
      </c>
      <c r="F532" s="1" t="s">
        <v>2204</v>
      </c>
      <c r="G532" s="2" t="s">
        <v>28</v>
      </c>
      <c r="H532" s="1" t="n">
        <v>-1</v>
      </c>
      <c r="I532" s="1" t="n">
        <v>-1</v>
      </c>
      <c r="J532" s="1" t="n">
        <v>0</v>
      </c>
      <c r="K532" s="1" t="n">
        <v>-1</v>
      </c>
      <c r="L532" s="2" t="n">
        <v>4</v>
      </c>
      <c r="M532" s="1" t="s">
        <v>29</v>
      </c>
      <c r="N532" s="1" t="s">
        <v>105</v>
      </c>
      <c r="O532" s="5" t="n">
        <v>46217.9958333333</v>
      </c>
      <c r="P532" s="5" t="n">
        <v>46217.9958333333</v>
      </c>
      <c r="Q532" s="1" t="n">
        <v>50.6762</v>
      </c>
      <c r="R532" s="1" t="n">
        <v>-90.3716</v>
      </c>
      <c r="S532" s="1" t="s">
        <v>2205</v>
      </c>
      <c r="T532" s="1" t="n">
        <v>2026</v>
      </c>
      <c r="U532" s="1" t="n">
        <v>2026</v>
      </c>
      <c r="V532" s="5" t="n">
        <v>46221.8645833333</v>
      </c>
      <c r="W532" s="6" t="n">
        <v>46387.9999999884</v>
      </c>
    </row>
    <row r="533" customFormat="false" ht="12.75" hidden="false" customHeight="false" outlineLevel="0" collapsed="false">
      <c r="A533" s="1" t="s">
        <v>2206</v>
      </c>
      <c r="B533" s="1" t="n">
        <v>18192594</v>
      </c>
      <c r="C533" s="1" t="s">
        <v>1933</v>
      </c>
      <c r="D533" s="1" t="s">
        <v>1949</v>
      </c>
      <c r="E533" s="1" t="s">
        <v>2207</v>
      </c>
      <c r="F533" s="1" t="s">
        <v>2208</v>
      </c>
      <c r="G533" s="2" t="s">
        <v>28</v>
      </c>
      <c r="H533" s="1" t="n">
        <v>-1</v>
      </c>
      <c r="I533" s="1" t="n">
        <v>-1</v>
      </c>
      <c r="J533" s="1" t="n">
        <v>0</v>
      </c>
      <c r="K533" s="1" t="n">
        <v>-1</v>
      </c>
      <c r="L533" s="2" t="n">
        <v>2142</v>
      </c>
      <c r="M533" s="1" t="s">
        <v>29</v>
      </c>
      <c r="N533" s="1" t="s">
        <v>105</v>
      </c>
      <c r="O533" s="5" t="n">
        <v>46221.6597222222</v>
      </c>
      <c r="P533" s="5" t="n">
        <v>46221.75</v>
      </c>
      <c r="Q533" s="1" t="n">
        <v>51.3579</v>
      </c>
      <c r="R533" s="1" t="n">
        <v>-88.6064</v>
      </c>
      <c r="S533" s="1" t="s">
        <v>2209</v>
      </c>
      <c r="T533" s="1" t="n">
        <v>2026</v>
      </c>
      <c r="U533" s="1" t="n">
        <v>2026</v>
      </c>
      <c r="V533" s="5" t="n">
        <v>46221.8229166667</v>
      </c>
      <c r="W533" s="6" t="n">
        <v>46387.9999999884</v>
      </c>
    </row>
    <row r="534" customFormat="false" ht="12.75" hidden="false" customHeight="false" outlineLevel="0" collapsed="false">
      <c r="A534" s="1" t="s">
        <v>2210</v>
      </c>
      <c r="B534" s="1" t="n">
        <v>18188206</v>
      </c>
      <c r="C534" s="1" t="s">
        <v>1933</v>
      </c>
      <c r="D534" s="1" t="s">
        <v>1949</v>
      </c>
      <c r="E534" s="1" t="s">
        <v>2211</v>
      </c>
      <c r="F534" s="1" t="s">
        <v>2212</v>
      </c>
      <c r="G534" s="2" t="s">
        <v>28</v>
      </c>
      <c r="H534" s="1" t="n">
        <v>-1</v>
      </c>
      <c r="I534" s="1" t="n">
        <v>-1</v>
      </c>
      <c r="J534" s="1" t="n">
        <v>0</v>
      </c>
      <c r="K534" s="1" t="n">
        <v>-1</v>
      </c>
      <c r="L534" s="2" t="n">
        <v>35</v>
      </c>
      <c r="M534" s="1" t="s">
        <v>29</v>
      </c>
      <c r="N534" s="1" t="s">
        <v>105</v>
      </c>
      <c r="O534" s="5" t="n">
        <v>46217.6263888889</v>
      </c>
      <c r="P534" s="5" t="n">
        <v>46221.7395833333</v>
      </c>
      <c r="Q534" s="1" t="n">
        <v>50.1314</v>
      </c>
      <c r="R534" s="1" t="n">
        <v>-88.0388</v>
      </c>
      <c r="S534" s="1" t="s">
        <v>2213</v>
      </c>
      <c r="T534" s="1" t="n">
        <v>2026</v>
      </c>
      <c r="U534" s="1" t="n">
        <v>2026</v>
      </c>
      <c r="V534" s="5" t="n">
        <v>46221.78125</v>
      </c>
      <c r="W534" s="6" t="n">
        <v>46387.9999999884</v>
      </c>
    </row>
    <row r="535" customFormat="false" ht="12.75" hidden="false" customHeight="false" outlineLevel="0" collapsed="false">
      <c r="A535" s="1" t="s">
        <v>2214</v>
      </c>
      <c r="B535" s="1" t="n">
        <v>18184613</v>
      </c>
      <c r="C535" s="1" t="s">
        <v>1933</v>
      </c>
      <c r="D535" s="1" t="s">
        <v>2096</v>
      </c>
      <c r="E535" s="1" t="s">
        <v>2215</v>
      </c>
      <c r="F535" s="1" t="s">
        <v>2216</v>
      </c>
      <c r="G535" s="2" t="s">
        <v>28</v>
      </c>
      <c r="H535" s="1" t="n">
        <v>-1</v>
      </c>
      <c r="I535" s="1" t="n">
        <v>-1</v>
      </c>
      <c r="J535" s="1" t="n">
        <v>0</v>
      </c>
      <c r="K535" s="1" t="n">
        <v>-1</v>
      </c>
      <c r="L535" s="2" t="n">
        <v>3.1</v>
      </c>
      <c r="M535" s="1" t="s">
        <v>65</v>
      </c>
      <c r="N535" s="1" t="s">
        <v>105</v>
      </c>
      <c r="O535" s="5" t="n">
        <v>46219.8284722222</v>
      </c>
      <c r="P535" s="5" t="n">
        <v>46221.5638888889</v>
      </c>
      <c r="Q535" s="1" t="n">
        <v>47.2993</v>
      </c>
      <c r="R535" s="1" t="n">
        <v>-80.7651</v>
      </c>
      <c r="S535" s="1" t="s">
        <v>2217</v>
      </c>
      <c r="T535" s="1" t="n">
        <v>2026</v>
      </c>
      <c r="U535" s="1" t="n">
        <v>2026</v>
      </c>
      <c r="V535" s="5" t="n">
        <v>46221.7395833333</v>
      </c>
      <c r="W535" s="6" t="n">
        <v>46387.9999999884</v>
      </c>
    </row>
    <row r="536" customFormat="false" ht="12.75" hidden="false" customHeight="false" outlineLevel="0" collapsed="false">
      <c r="A536" s="1" t="s">
        <v>2218</v>
      </c>
      <c r="B536" s="1" t="n">
        <v>18180353</v>
      </c>
      <c r="C536" s="1" t="s">
        <v>1933</v>
      </c>
      <c r="D536" s="1" t="s">
        <v>1934</v>
      </c>
      <c r="E536" s="1" t="s">
        <v>2219</v>
      </c>
      <c r="F536" s="1" t="s">
        <v>2220</v>
      </c>
      <c r="G536" s="2" t="s">
        <v>28</v>
      </c>
      <c r="H536" s="1" t="n">
        <v>-1</v>
      </c>
      <c r="I536" s="1" t="n">
        <v>-1</v>
      </c>
      <c r="J536" s="1" t="n">
        <v>0</v>
      </c>
      <c r="K536" s="1" t="n">
        <v>-1</v>
      </c>
      <c r="L536" s="2" t="n">
        <v>38305.7</v>
      </c>
      <c r="M536" s="1" t="s">
        <v>65</v>
      </c>
      <c r="N536" s="1" t="s">
        <v>105</v>
      </c>
      <c r="O536" s="5" t="n">
        <v>46199.825</v>
      </c>
      <c r="P536" s="5" t="n">
        <v>46221.65</v>
      </c>
      <c r="Q536" s="1" t="n">
        <v>51.3787</v>
      </c>
      <c r="R536" s="1" t="n">
        <v>-89.7245</v>
      </c>
      <c r="S536" s="1" t="s">
        <v>2221</v>
      </c>
      <c r="T536" s="1" t="n">
        <v>2026</v>
      </c>
      <c r="U536" s="1" t="n">
        <v>2026</v>
      </c>
      <c r="V536" s="5" t="n">
        <v>46221.6979166667</v>
      </c>
      <c r="W536" s="6" t="n">
        <v>46387.9999999884</v>
      </c>
    </row>
    <row r="537" customFormat="false" ht="12.75" hidden="false" customHeight="false" outlineLevel="0" collapsed="false">
      <c r="A537" s="1" t="s">
        <v>2222</v>
      </c>
      <c r="B537" s="1" t="n">
        <v>18178237</v>
      </c>
      <c r="C537" s="1" t="s">
        <v>1933</v>
      </c>
      <c r="D537" s="1" t="s">
        <v>2096</v>
      </c>
      <c r="E537" s="1" t="s">
        <v>2223</v>
      </c>
      <c r="F537" s="1" t="s">
        <v>2224</v>
      </c>
      <c r="G537" s="2" t="s">
        <v>28</v>
      </c>
      <c r="H537" s="1" t="n">
        <v>-1</v>
      </c>
      <c r="I537" s="1" t="n">
        <v>-1</v>
      </c>
      <c r="J537" s="1" t="n">
        <v>0</v>
      </c>
      <c r="K537" s="1" t="n">
        <v>-1</v>
      </c>
      <c r="L537" s="2" t="n">
        <v>0.1</v>
      </c>
      <c r="M537" s="1" t="s">
        <v>65</v>
      </c>
      <c r="N537" s="1" t="s">
        <v>105</v>
      </c>
      <c r="O537" s="5" t="n">
        <v>46220.6375</v>
      </c>
      <c r="P537" s="5" t="n">
        <v>46220.6430555556</v>
      </c>
      <c r="Q537" s="1" t="n">
        <v>46.1166</v>
      </c>
      <c r="R537" s="1" t="n">
        <v>-79.6647</v>
      </c>
      <c r="S537" s="1" t="s">
        <v>2225</v>
      </c>
      <c r="T537" s="1" t="n">
        <v>2026</v>
      </c>
      <c r="U537" s="1" t="n">
        <v>2026</v>
      </c>
      <c r="V537" s="5" t="n">
        <v>46221.65625</v>
      </c>
      <c r="W537" s="6" t="n">
        <v>46387.9999999884</v>
      </c>
    </row>
    <row r="538" customFormat="false" ht="12.75" hidden="false" customHeight="false" outlineLevel="0" collapsed="false">
      <c r="A538" s="1" t="s">
        <v>2226</v>
      </c>
      <c r="B538" s="1" t="n">
        <v>18178333</v>
      </c>
      <c r="C538" s="1" t="s">
        <v>1933</v>
      </c>
      <c r="D538" s="1" t="s">
        <v>1934</v>
      </c>
      <c r="E538" s="1" t="s">
        <v>2227</v>
      </c>
      <c r="F538" s="1" t="s">
        <v>2228</v>
      </c>
      <c r="G538" s="2" t="s">
        <v>28</v>
      </c>
      <c r="H538" s="1" t="n">
        <v>-1</v>
      </c>
      <c r="I538" s="1" t="n">
        <v>-1</v>
      </c>
      <c r="J538" s="1" t="n">
        <v>0</v>
      </c>
      <c r="K538" s="1" t="n">
        <v>-1</v>
      </c>
      <c r="L538" s="2" t="n">
        <v>13744</v>
      </c>
      <c r="M538" s="1" t="s">
        <v>29</v>
      </c>
      <c r="N538" s="1" t="s">
        <v>105</v>
      </c>
      <c r="O538" s="5" t="n">
        <v>46214.9465277778</v>
      </c>
      <c r="P538" s="5" t="n">
        <v>46221.5930555556</v>
      </c>
      <c r="Q538" s="1" t="n">
        <v>51.6313</v>
      </c>
      <c r="R538" s="1" t="n">
        <v>-92.1757</v>
      </c>
      <c r="S538" s="1" t="s">
        <v>2229</v>
      </c>
      <c r="T538" s="1" t="n">
        <v>2026</v>
      </c>
      <c r="U538" s="1" t="n">
        <v>2026</v>
      </c>
      <c r="V538" s="5" t="n">
        <v>46221.65625</v>
      </c>
      <c r="W538" s="6" t="n">
        <v>46387.9999999884</v>
      </c>
    </row>
    <row r="539" customFormat="false" ht="12.75" hidden="false" customHeight="false" outlineLevel="0" collapsed="false">
      <c r="A539" s="1" t="s">
        <v>2230</v>
      </c>
      <c r="B539" s="1" t="n">
        <v>18116923</v>
      </c>
      <c r="C539" s="1" t="s">
        <v>1933</v>
      </c>
      <c r="D539" s="1" t="s">
        <v>2105</v>
      </c>
      <c r="E539" s="1" t="s">
        <v>2231</v>
      </c>
      <c r="F539" s="1" t="s">
        <v>2232</v>
      </c>
      <c r="G539" s="2" t="s">
        <v>28</v>
      </c>
      <c r="H539" s="1" t="n">
        <v>-1</v>
      </c>
      <c r="I539" s="1" t="n">
        <v>-1</v>
      </c>
      <c r="J539" s="1" t="n">
        <v>0</v>
      </c>
      <c r="K539" s="1" t="n">
        <v>-1</v>
      </c>
      <c r="L539" s="2" t="n">
        <v>37.2</v>
      </c>
      <c r="M539" s="1" t="s">
        <v>29</v>
      </c>
      <c r="N539" s="1" t="s">
        <v>105</v>
      </c>
      <c r="O539" s="5" t="n">
        <v>46218.8097222222</v>
      </c>
      <c r="P539" s="5" t="n">
        <v>46221.9652777778</v>
      </c>
      <c r="Q539" s="1" t="n">
        <v>48.8081</v>
      </c>
      <c r="R539" s="1" t="n">
        <v>-85.4711</v>
      </c>
      <c r="S539" s="1" t="s">
        <v>2233</v>
      </c>
      <c r="T539" s="1" t="n">
        <v>2026</v>
      </c>
      <c r="U539" s="1" t="n">
        <v>2026</v>
      </c>
      <c r="V539" s="5" t="n">
        <v>46220.9895833333</v>
      </c>
      <c r="W539" s="6" t="n">
        <v>46387.9999999884</v>
      </c>
    </row>
    <row r="540" customFormat="false" ht="12.75" hidden="false" customHeight="false" outlineLevel="0" collapsed="false">
      <c r="A540" s="1" t="s">
        <v>2234</v>
      </c>
      <c r="B540" s="1" t="n">
        <v>18104223</v>
      </c>
      <c r="C540" s="1" t="s">
        <v>1933</v>
      </c>
      <c r="D540" s="1" t="s">
        <v>1949</v>
      </c>
      <c r="E540" s="1" t="s">
        <v>2235</v>
      </c>
      <c r="F540" s="1" t="s">
        <v>2236</v>
      </c>
      <c r="G540" s="2" t="s">
        <v>28</v>
      </c>
      <c r="H540" s="1" t="n">
        <v>-1</v>
      </c>
      <c r="I540" s="1" t="n">
        <v>-1</v>
      </c>
      <c r="J540" s="1" t="n">
        <v>0</v>
      </c>
      <c r="K540" s="1" t="n">
        <v>-1</v>
      </c>
      <c r="L540" s="2" t="n">
        <v>24.5</v>
      </c>
      <c r="M540" s="1" t="s">
        <v>29</v>
      </c>
      <c r="N540" s="1" t="s">
        <v>105</v>
      </c>
      <c r="O540" s="5" t="n">
        <v>46217.0375</v>
      </c>
      <c r="P540" s="5" t="n">
        <v>46220.6354166667</v>
      </c>
      <c r="Q540" s="1" t="n">
        <v>50.3879</v>
      </c>
      <c r="R540" s="1" t="n">
        <v>-87.4437</v>
      </c>
      <c r="S540" s="1" t="s">
        <v>2237</v>
      </c>
      <c r="T540" s="1" t="n">
        <v>2026</v>
      </c>
      <c r="U540" s="1" t="n">
        <v>2026</v>
      </c>
      <c r="V540" s="5" t="n">
        <v>46220.8229166667</v>
      </c>
      <c r="W540" s="6" t="n">
        <v>46387.9999999884</v>
      </c>
    </row>
    <row r="541" customFormat="false" ht="12.75" hidden="false" customHeight="false" outlineLevel="0" collapsed="false">
      <c r="A541" s="1" t="s">
        <v>2238</v>
      </c>
      <c r="B541" s="1" t="n">
        <v>18104222</v>
      </c>
      <c r="C541" s="1" t="s">
        <v>1933</v>
      </c>
      <c r="D541" s="1" t="s">
        <v>1949</v>
      </c>
      <c r="E541" s="1" t="s">
        <v>2239</v>
      </c>
      <c r="F541" s="1" t="s">
        <v>2240</v>
      </c>
      <c r="G541" s="2" t="s">
        <v>28</v>
      </c>
      <c r="H541" s="1" t="n">
        <v>-1</v>
      </c>
      <c r="I541" s="1" t="n">
        <v>-1</v>
      </c>
      <c r="J541" s="1" t="n">
        <v>0</v>
      </c>
      <c r="K541" s="1" t="n">
        <v>-1</v>
      </c>
      <c r="L541" s="2" t="n">
        <v>488.8</v>
      </c>
      <c r="M541" s="1" t="s">
        <v>29</v>
      </c>
      <c r="N541" s="1" t="s">
        <v>105</v>
      </c>
      <c r="O541" s="5" t="n">
        <v>46217.0347222222</v>
      </c>
      <c r="P541" s="5" t="n">
        <v>46220.6354166667</v>
      </c>
      <c r="Q541" s="1" t="n">
        <v>50.4338</v>
      </c>
      <c r="R541" s="1" t="n">
        <v>-87.4287</v>
      </c>
      <c r="S541" s="1" t="s">
        <v>2241</v>
      </c>
      <c r="T541" s="1" t="n">
        <v>2026</v>
      </c>
      <c r="U541" s="1" t="n">
        <v>2026</v>
      </c>
      <c r="V541" s="5" t="n">
        <v>46220.8229166667</v>
      </c>
      <c r="W541" s="6" t="n">
        <v>46387.9999999884</v>
      </c>
    </row>
    <row r="542" customFormat="false" ht="12.75" hidden="false" customHeight="false" outlineLevel="0" collapsed="false">
      <c r="A542" s="1" t="s">
        <v>2242</v>
      </c>
      <c r="B542" s="1" t="n">
        <v>18098306</v>
      </c>
      <c r="C542" s="1" t="s">
        <v>1933</v>
      </c>
      <c r="D542" s="1" t="s">
        <v>1949</v>
      </c>
      <c r="E542" s="1" t="s">
        <v>2243</v>
      </c>
      <c r="F542" s="1" t="s">
        <v>2244</v>
      </c>
      <c r="G542" s="2" t="s">
        <v>28</v>
      </c>
      <c r="H542" s="1" t="n">
        <v>-1</v>
      </c>
      <c r="I542" s="1" t="n">
        <v>-1</v>
      </c>
      <c r="J542" s="1" t="n">
        <v>0</v>
      </c>
      <c r="K542" s="1" t="n">
        <v>-1</v>
      </c>
      <c r="L542" s="2" t="n">
        <v>911.9</v>
      </c>
      <c r="M542" s="1" t="s">
        <v>29</v>
      </c>
      <c r="N542" s="1" t="s">
        <v>105</v>
      </c>
      <c r="O542" s="5" t="n">
        <v>46216.9229166667</v>
      </c>
      <c r="P542" s="5" t="n">
        <v>46220.6354166667</v>
      </c>
      <c r="Q542" s="1" t="n">
        <v>50.3266</v>
      </c>
      <c r="R542" s="1" t="n">
        <v>-87.8113</v>
      </c>
      <c r="S542" s="1" t="s">
        <v>2245</v>
      </c>
      <c r="T542" s="1" t="n">
        <v>2026</v>
      </c>
      <c r="U542" s="1" t="n">
        <v>2026</v>
      </c>
      <c r="V542" s="5" t="n">
        <v>46220.78125</v>
      </c>
      <c r="W542" s="6" t="n">
        <v>46387.9999999884</v>
      </c>
    </row>
    <row r="543" customFormat="false" ht="12.75" hidden="false" customHeight="false" outlineLevel="0" collapsed="false">
      <c r="A543" s="1" t="s">
        <v>2246</v>
      </c>
      <c r="B543" s="1" t="n">
        <v>18080303</v>
      </c>
      <c r="C543" s="1" t="s">
        <v>1933</v>
      </c>
      <c r="D543" s="1" t="s">
        <v>1949</v>
      </c>
      <c r="E543" s="1" t="s">
        <v>2247</v>
      </c>
      <c r="F543" s="1" t="s">
        <v>2248</v>
      </c>
      <c r="G543" s="2" t="s">
        <v>28</v>
      </c>
      <c r="H543" s="1" t="n">
        <v>-1</v>
      </c>
      <c r="I543" s="1" t="n">
        <v>-1</v>
      </c>
      <c r="J543" s="1" t="n">
        <v>0</v>
      </c>
      <c r="K543" s="1" t="n">
        <v>-1</v>
      </c>
      <c r="L543" s="2" t="n">
        <v>0.7</v>
      </c>
      <c r="M543" s="1" t="s">
        <v>29</v>
      </c>
      <c r="N543" s="1" t="s">
        <v>105</v>
      </c>
      <c r="O543" s="5" t="n">
        <v>46220.0111111111</v>
      </c>
      <c r="P543" s="5" t="n">
        <v>46220.0111111111</v>
      </c>
      <c r="Q543" s="1" t="n">
        <v>50.6749</v>
      </c>
      <c r="R543" s="1" t="n">
        <v>-86.586</v>
      </c>
      <c r="S543" s="1" t="s">
        <v>2249</v>
      </c>
      <c r="T543" s="1" t="n">
        <v>2026</v>
      </c>
      <c r="U543" s="1" t="n">
        <v>2026</v>
      </c>
      <c r="V543" s="5" t="n">
        <v>46220.5729166667</v>
      </c>
      <c r="W543" s="6" t="n">
        <v>46387.9999999884</v>
      </c>
    </row>
    <row r="544" customFormat="false" ht="12.75" hidden="false" customHeight="false" outlineLevel="0" collapsed="false">
      <c r="A544" s="1" t="s">
        <v>2250</v>
      </c>
      <c r="B544" s="1" t="n">
        <v>18041370</v>
      </c>
      <c r="C544" s="1" t="s">
        <v>1933</v>
      </c>
      <c r="D544" s="1" t="s">
        <v>1939</v>
      </c>
      <c r="E544" s="1" t="s">
        <v>2251</v>
      </c>
      <c r="F544" s="1" t="s">
        <v>2252</v>
      </c>
      <c r="G544" s="2" t="s">
        <v>28</v>
      </c>
      <c r="H544" s="1" t="n">
        <v>-1</v>
      </c>
      <c r="I544" s="1" t="n">
        <v>-1</v>
      </c>
      <c r="J544" s="1" t="n">
        <v>0</v>
      </c>
      <c r="K544" s="1" t="n">
        <v>-1</v>
      </c>
      <c r="L544" s="2" t="n">
        <v>2.9</v>
      </c>
      <c r="M544" s="1" t="s">
        <v>29</v>
      </c>
      <c r="N544" s="1" t="s">
        <v>37</v>
      </c>
      <c r="O544" s="5" t="n">
        <v>46216.86875</v>
      </c>
      <c r="P544" s="5" t="n">
        <v>46219.9166666667</v>
      </c>
      <c r="Q544" s="1" t="n">
        <v>49.6736</v>
      </c>
      <c r="R544" s="1" t="n">
        <v>-93.1905</v>
      </c>
      <c r="S544" s="1" t="s">
        <v>2253</v>
      </c>
      <c r="T544" s="1" t="n">
        <v>2026</v>
      </c>
      <c r="U544" s="1" t="n">
        <v>2026</v>
      </c>
      <c r="V544" s="5" t="n">
        <v>46220.1145833333</v>
      </c>
      <c r="W544" s="6" t="n">
        <v>46387.9999999884</v>
      </c>
    </row>
    <row r="545" customFormat="false" ht="12.75" hidden="false" customHeight="false" outlineLevel="0" collapsed="false">
      <c r="A545" s="1" t="s">
        <v>2254</v>
      </c>
      <c r="B545" s="1" t="n">
        <v>18022585</v>
      </c>
      <c r="C545" s="1" t="s">
        <v>1933</v>
      </c>
      <c r="D545" s="1" t="s">
        <v>2043</v>
      </c>
      <c r="E545" s="1" t="s">
        <v>2255</v>
      </c>
      <c r="F545" s="1" t="s">
        <v>2256</v>
      </c>
      <c r="G545" s="2" t="s">
        <v>28</v>
      </c>
      <c r="H545" s="1" t="n">
        <v>-1</v>
      </c>
      <c r="I545" s="1" t="n">
        <v>-1</v>
      </c>
      <c r="J545" s="1" t="n">
        <v>0</v>
      </c>
      <c r="K545" s="1" t="n">
        <v>-1</v>
      </c>
      <c r="L545" s="2" t="n">
        <v>318812.7</v>
      </c>
      <c r="M545" s="1" t="s">
        <v>29</v>
      </c>
      <c r="N545" s="1" t="s">
        <v>105</v>
      </c>
      <c r="O545" s="5" t="n">
        <v>46215.70625</v>
      </c>
      <c r="P545" s="5" t="n">
        <v>46221.6444444444</v>
      </c>
      <c r="Q545" s="1" t="n">
        <v>50.6828</v>
      </c>
      <c r="R545" s="1" t="n">
        <v>-89.468</v>
      </c>
      <c r="S545" s="1" t="s">
        <v>2257</v>
      </c>
      <c r="T545" s="1" t="n">
        <v>2026</v>
      </c>
      <c r="U545" s="1" t="n">
        <v>2026</v>
      </c>
      <c r="V545" s="5" t="n">
        <v>46219.90625</v>
      </c>
      <c r="W545" s="6" t="n">
        <v>46387.9999999884</v>
      </c>
    </row>
    <row r="546" customFormat="false" ht="12.75" hidden="false" customHeight="false" outlineLevel="0" collapsed="false">
      <c r="A546" s="1" t="s">
        <v>2258</v>
      </c>
      <c r="B546" s="1" t="n">
        <v>18022369</v>
      </c>
      <c r="C546" s="1" t="s">
        <v>1933</v>
      </c>
      <c r="D546" s="1" t="s">
        <v>1949</v>
      </c>
      <c r="E546" s="1" t="s">
        <v>2259</v>
      </c>
      <c r="F546" s="1" t="s">
        <v>2260</v>
      </c>
      <c r="G546" s="2" t="s">
        <v>84</v>
      </c>
      <c r="H546" s="1" t="n">
        <v>-1</v>
      </c>
      <c r="I546" s="1" t="n">
        <v>-1</v>
      </c>
      <c r="J546" s="1" t="n">
        <v>0</v>
      </c>
      <c r="K546" s="1" t="n">
        <v>-1</v>
      </c>
      <c r="L546" s="2" t="n">
        <v>0.1</v>
      </c>
      <c r="M546" s="1" t="s">
        <v>29</v>
      </c>
      <c r="N546" s="1" t="s">
        <v>105</v>
      </c>
      <c r="O546" s="5" t="n">
        <v>46219.8618055556</v>
      </c>
      <c r="P546" s="5" t="n">
        <v>46219.8618055556</v>
      </c>
      <c r="Q546" s="1" t="n">
        <v>49.7171</v>
      </c>
      <c r="R546" s="1" t="n">
        <v>-85.7258</v>
      </c>
      <c r="S546" s="1" t="s">
        <v>2261</v>
      </c>
      <c r="T546" s="1" t="n">
        <v>2026</v>
      </c>
      <c r="U546" s="1" t="n">
        <v>2026</v>
      </c>
      <c r="V546" s="5" t="n">
        <v>46219.90625</v>
      </c>
      <c r="W546" s="6" t="n">
        <v>46387.9999999884</v>
      </c>
    </row>
    <row r="547" customFormat="false" ht="12.75" hidden="false" customHeight="false" outlineLevel="0" collapsed="false">
      <c r="A547" s="1" t="s">
        <v>2262</v>
      </c>
      <c r="B547" s="1" t="n">
        <v>18019052</v>
      </c>
      <c r="C547" s="1" t="s">
        <v>1933</v>
      </c>
      <c r="D547" s="1" t="s">
        <v>1949</v>
      </c>
      <c r="E547" s="1" t="s">
        <v>2263</v>
      </c>
      <c r="F547" s="1" t="s">
        <v>2264</v>
      </c>
      <c r="G547" s="2" t="s">
        <v>84</v>
      </c>
      <c r="H547" s="1" t="n">
        <v>-1</v>
      </c>
      <c r="I547" s="1" t="n">
        <v>-1</v>
      </c>
      <c r="J547" s="1" t="n">
        <v>0</v>
      </c>
      <c r="K547" s="1" t="n">
        <v>-1</v>
      </c>
      <c r="L547" s="2" t="n">
        <v>4</v>
      </c>
      <c r="M547" s="1" t="s">
        <v>29</v>
      </c>
      <c r="N547" s="1" t="s">
        <v>105</v>
      </c>
      <c r="O547" s="5" t="n">
        <v>46219.8194444444</v>
      </c>
      <c r="P547" s="5" t="n">
        <v>46219.8194444444</v>
      </c>
      <c r="Q547" s="1" t="n">
        <v>51.0313</v>
      </c>
      <c r="R547" s="1" t="n">
        <v>-87.7194</v>
      </c>
      <c r="S547" s="1" t="s">
        <v>2265</v>
      </c>
      <c r="T547" s="1" t="n">
        <v>2026</v>
      </c>
      <c r="U547" s="1" t="n">
        <v>2026</v>
      </c>
      <c r="V547" s="5" t="n">
        <v>46219.8645833333</v>
      </c>
      <c r="W547" s="6" t="n">
        <v>46387.9999999884</v>
      </c>
    </row>
    <row r="548" customFormat="false" ht="12.75" hidden="false" customHeight="false" outlineLevel="0" collapsed="false">
      <c r="A548" s="1" t="s">
        <v>2266</v>
      </c>
      <c r="B548" s="1" t="n">
        <v>18017725</v>
      </c>
      <c r="C548" s="1" t="s">
        <v>1933</v>
      </c>
      <c r="D548" s="1" t="s">
        <v>1949</v>
      </c>
      <c r="E548" s="1" t="s">
        <v>2267</v>
      </c>
      <c r="F548" s="1" t="s">
        <v>2268</v>
      </c>
      <c r="G548" s="2" t="s">
        <v>84</v>
      </c>
      <c r="H548" s="1" t="n">
        <v>-1</v>
      </c>
      <c r="I548" s="1" t="n">
        <v>-1</v>
      </c>
      <c r="J548" s="1" t="n">
        <v>0</v>
      </c>
      <c r="K548" s="1" t="n">
        <v>-1</v>
      </c>
      <c r="L548" s="2" t="n">
        <v>4</v>
      </c>
      <c r="M548" s="1" t="s">
        <v>29</v>
      </c>
      <c r="N548" s="1" t="s">
        <v>105</v>
      </c>
      <c r="O548" s="5" t="n">
        <v>46219.7847222222</v>
      </c>
      <c r="P548" s="5" t="n">
        <v>46219.7847222222</v>
      </c>
      <c r="Q548" s="1" t="n">
        <v>50.1268</v>
      </c>
      <c r="R548" s="1" t="n">
        <v>-86.0563</v>
      </c>
      <c r="S548" s="1" t="s">
        <v>2269</v>
      </c>
      <c r="T548" s="1" t="n">
        <v>2026</v>
      </c>
      <c r="U548" s="1" t="n">
        <v>2026</v>
      </c>
      <c r="V548" s="5" t="n">
        <v>46219.8229166667</v>
      </c>
      <c r="W548" s="6" t="n">
        <v>46387.9999999884</v>
      </c>
    </row>
    <row r="549" customFormat="false" ht="12.75" hidden="false" customHeight="false" outlineLevel="0" collapsed="false">
      <c r="A549" s="1" t="s">
        <v>2270</v>
      </c>
      <c r="B549" s="1" t="n">
        <v>18017724</v>
      </c>
      <c r="C549" s="1" t="s">
        <v>1933</v>
      </c>
      <c r="D549" s="1" t="s">
        <v>1949</v>
      </c>
      <c r="E549" s="1" t="s">
        <v>2271</v>
      </c>
      <c r="F549" s="1" t="s">
        <v>2272</v>
      </c>
      <c r="G549" s="2" t="s">
        <v>84</v>
      </c>
      <c r="H549" s="1" t="n">
        <v>-1</v>
      </c>
      <c r="I549" s="1" t="n">
        <v>-1</v>
      </c>
      <c r="J549" s="1" t="n">
        <v>0</v>
      </c>
      <c r="K549" s="1" t="n">
        <v>-1</v>
      </c>
      <c r="L549" s="2" t="n">
        <v>0.1</v>
      </c>
      <c r="M549" s="1" t="s">
        <v>29</v>
      </c>
      <c r="N549" s="1" t="s">
        <v>105</v>
      </c>
      <c r="O549" s="5" t="n">
        <v>46219.7826388889</v>
      </c>
      <c r="P549" s="5" t="n">
        <v>46219.7826388889</v>
      </c>
      <c r="Q549" s="1" t="n">
        <v>50.0342</v>
      </c>
      <c r="R549" s="1" t="n">
        <v>-87.5089</v>
      </c>
      <c r="S549" s="1" t="s">
        <v>2273</v>
      </c>
      <c r="T549" s="1" t="n">
        <v>2026</v>
      </c>
      <c r="U549" s="1" t="n">
        <v>2026</v>
      </c>
      <c r="V549" s="5" t="n">
        <v>46219.8229166667</v>
      </c>
      <c r="W549" s="6" t="n">
        <v>46387.9999999884</v>
      </c>
    </row>
    <row r="550" customFormat="false" ht="12.75" hidden="false" customHeight="false" outlineLevel="0" collapsed="false">
      <c r="A550" s="1" t="s">
        <v>2274</v>
      </c>
      <c r="B550" s="1" t="n">
        <v>18010736</v>
      </c>
      <c r="C550" s="1" t="s">
        <v>1933</v>
      </c>
      <c r="D550" s="1" t="s">
        <v>1962</v>
      </c>
      <c r="E550" s="1" t="s">
        <v>2275</v>
      </c>
      <c r="F550" s="1" t="s">
        <v>2276</v>
      </c>
      <c r="G550" s="2" t="s">
        <v>28</v>
      </c>
      <c r="H550" s="1" t="n">
        <v>-1</v>
      </c>
      <c r="I550" s="1" t="n">
        <v>-1</v>
      </c>
      <c r="J550" s="1" t="n">
        <v>0</v>
      </c>
      <c r="K550" s="1" t="n">
        <v>-1</v>
      </c>
      <c r="L550" s="2" t="n">
        <v>8683</v>
      </c>
      <c r="M550" s="1" t="s">
        <v>65</v>
      </c>
      <c r="N550" s="1" t="s">
        <v>105</v>
      </c>
      <c r="O550" s="5" t="n">
        <v>46200.7673611111</v>
      </c>
      <c r="P550" s="5" t="n">
        <v>46219.6729166667</v>
      </c>
      <c r="Q550" s="1" t="n">
        <v>51.6711</v>
      </c>
      <c r="R550" s="1" t="n">
        <v>-92.5437</v>
      </c>
      <c r="S550" s="1" t="s">
        <v>2277</v>
      </c>
      <c r="T550" s="1" t="n">
        <v>2026</v>
      </c>
      <c r="U550" s="1" t="n">
        <v>2026</v>
      </c>
      <c r="V550" s="5" t="n">
        <v>46219.7395833333</v>
      </c>
      <c r="W550" s="6" t="n">
        <v>46387.9999999884</v>
      </c>
    </row>
    <row r="551" customFormat="false" ht="12.75" hidden="false" customHeight="false" outlineLevel="0" collapsed="false">
      <c r="A551" s="1" t="s">
        <v>2278</v>
      </c>
      <c r="B551" s="1" t="n">
        <v>18010740</v>
      </c>
      <c r="C551" s="1" t="s">
        <v>1933</v>
      </c>
      <c r="D551" s="1" t="s">
        <v>1962</v>
      </c>
      <c r="E551" s="1" t="s">
        <v>2279</v>
      </c>
      <c r="F551" s="1" t="s">
        <v>2280</v>
      </c>
      <c r="G551" s="2" t="s">
        <v>28</v>
      </c>
      <c r="H551" s="1" t="n">
        <v>-1</v>
      </c>
      <c r="I551" s="1" t="n">
        <v>-1</v>
      </c>
      <c r="J551" s="1" t="n">
        <v>0</v>
      </c>
      <c r="K551" s="1" t="n">
        <v>-1</v>
      </c>
      <c r="L551" s="2" t="n">
        <v>6195</v>
      </c>
      <c r="M551" s="1" t="s">
        <v>65</v>
      </c>
      <c r="N551" s="1" t="s">
        <v>105</v>
      </c>
      <c r="O551" s="5" t="n">
        <v>46213.8743055556</v>
      </c>
      <c r="P551" s="5" t="n">
        <v>46219.6729166667</v>
      </c>
      <c r="Q551" s="1" t="n">
        <v>51.8525</v>
      </c>
      <c r="R551" s="1" t="n">
        <v>-92.5804</v>
      </c>
      <c r="S551" s="1" t="s">
        <v>2281</v>
      </c>
      <c r="T551" s="1" t="n">
        <v>2026</v>
      </c>
      <c r="U551" s="1" t="n">
        <v>2026</v>
      </c>
      <c r="V551" s="5" t="n">
        <v>46219.7395833333</v>
      </c>
      <c r="W551" s="6" t="n">
        <v>46387.9999999884</v>
      </c>
    </row>
    <row r="552" customFormat="false" ht="12.75" hidden="false" customHeight="false" outlineLevel="0" collapsed="false">
      <c r="A552" s="1" t="s">
        <v>2282</v>
      </c>
      <c r="B552" s="1" t="n">
        <v>18010742</v>
      </c>
      <c r="C552" s="1" t="s">
        <v>1933</v>
      </c>
      <c r="D552" s="1" t="s">
        <v>1962</v>
      </c>
      <c r="E552" s="1" t="s">
        <v>2283</v>
      </c>
      <c r="F552" s="1" t="s">
        <v>2284</v>
      </c>
      <c r="G552" s="2" t="s">
        <v>28</v>
      </c>
      <c r="H552" s="1" t="n">
        <v>-1</v>
      </c>
      <c r="I552" s="1" t="n">
        <v>-1</v>
      </c>
      <c r="J552" s="1" t="n">
        <v>0</v>
      </c>
      <c r="K552" s="1" t="n">
        <v>-1</v>
      </c>
      <c r="L552" s="2" t="n">
        <v>5683</v>
      </c>
      <c r="M552" s="1" t="s">
        <v>65</v>
      </c>
      <c r="N552" s="1" t="s">
        <v>105</v>
      </c>
      <c r="O552" s="5" t="n">
        <v>46217.8236111111</v>
      </c>
      <c r="P552" s="5" t="n">
        <v>46219.6722222222</v>
      </c>
      <c r="Q552" s="1" t="n">
        <v>52.2573</v>
      </c>
      <c r="R552" s="1" t="n">
        <v>-92.9977</v>
      </c>
      <c r="S552" s="1" t="s">
        <v>2285</v>
      </c>
      <c r="T552" s="1" t="n">
        <v>2026</v>
      </c>
      <c r="U552" s="1" t="n">
        <v>2026</v>
      </c>
      <c r="V552" s="5" t="n">
        <v>46219.7395833333</v>
      </c>
      <c r="W552" s="6" t="n">
        <v>46387.9999999884</v>
      </c>
    </row>
    <row r="553" customFormat="false" ht="12.75" hidden="false" customHeight="false" outlineLevel="0" collapsed="false">
      <c r="A553" s="1" t="s">
        <v>2286</v>
      </c>
      <c r="B553" s="1" t="n">
        <v>18010507</v>
      </c>
      <c r="C553" s="1" t="s">
        <v>1933</v>
      </c>
      <c r="D553" s="1" t="s">
        <v>2166</v>
      </c>
      <c r="E553" s="1" t="s">
        <v>2287</v>
      </c>
      <c r="F553" s="1" t="s">
        <v>2288</v>
      </c>
      <c r="G553" s="2" t="s">
        <v>28</v>
      </c>
      <c r="H553" s="1" t="n">
        <v>-1</v>
      </c>
      <c r="I553" s="1" t="n">
        <v>-1</v>
      </c>
      <c r="J553" s="1" t="n">
        <v>0</v>
      </c>
      <c r="K553" s="1" t="n">
        <v>-1</v>
      </c>
      <c r="L553" s="2" t="n">
        <v>117</v>
      </c>
      <c r="M553" s="1" t="s">
        <v>65</v>
      </c>
      <c r="N553" s="1" t="s">
        <v>105</v>
      </c>
      <c r="O553" s="5" t="n">
        <v>46219.6493055556</v>
      </c>
      <c r="P553" s="5" t="n">
        <v>46219.65</v>
      </c>
      <c r="Q553" s="1" t="n">
        <v>51.0506</v>
      </c>
      <c r="R553" s="1" t="n">
        <v>-84.4881</v>
      </c>
      <c r="S553" s="1" t="s">
        <v>2289</v>
      </c>
      <c r="T553" s="1" t="n">
        <v>2026</v>
      </c>
      <c r="U553" s="1" t="n">
        <v>2026</v>
      </c>
      <c r="V553" s="5" t="n">
        <v>46219.7395833333</v>
      </c>
      <c r="W553" s="6" t="n">
        <v>46387.9999999884</v>
      </c>
    </row>
    <row r="554" customFormat="false" ht="12.75" hidden="false" customHeight="false" outlineLevel="0" collapsed="false">
      <c r="A554" s="1" t="s">
        <v>2290</v>
      </c>
      <c r="B554" s="1" t="n">
        <v>18005661</v>
      </c>
      <c r="C554" s="1" t="s">
        <v>1933</v>
      </c>
      <c r="D554" s="1" t="s">
        <v>2166</v>
      </c>
      <c r="E554" s="1" t="s">
        <v>2291</v>
      </c>
      <c r="F554" s="1" t="s">
        <v>2292</v>
      </c>
      <c r="G554" s="2" t="s">
        <v>28</v>
      </c>
      <c r="H554" s="1" t="n">
        <v>-1</v>
      </c>
      <c r="I554" s="1" t="n">
        <v>-1</v>
      </c>
      <c r="J554" s="1" t="n">
        <v>0</v>
      </c>
      <c r="K554" s="1" t="n">
        <v>-1</v>
      </c>
      <c r="L554" s="2" t="n">
        <v>21</v>
      </c>
      <c r="M554" s="1" t="s">
        <v>65</v>
      </c>
      <c r="N554" s="1" t="s">
        <v>105</v>
      </c>
      <c r="O554" s="5" t="n">
        <v>46219.6388888889</v>
      </c>
      <c r="P554" s="5" t="n">
        <v>46219.6395833333</v>
      </c>
      <c r="Q554" s="1" t="n">
        <v>52.2668</v>
      </c>
      <c r="R554" s="1" t="n">
        <v>-82.2551</v>
      </c>
      <c r="S554" s="1" t="s">
        <v>2293</v>
      </c>
      <c r="T554" s="1" t="n">
        <v>2026</v>
      </c>
      <c r="U554" s="1" t="n">
        <v>2026</v>
      </c>
      <c r="V554" s="5" t="n">
        <v>46219.6979166667</v>
      </c>
      <c r="W554" s="6" t="n">
        <v>46387.9999999884</v>
      </c>
    </row>
    <row r="555" customFormat="false" ht="12.75" hidden="false" customHeight="false" outlineLevel="0" collapsed="false">
      <c r="A555" s="1" t="s">
        <v>2294</v>
      </c>
      <c r="B555" s="1" t="n">
        <v>17990954</v>
      </c>
      <c r="C555" s="1" t="s">
        <v>1933</v>
      </c>
      <c r="D555" s="1" t="s">
        <v>2105</v>
      </c>
      <c r="E555" s="1" t="s">
        <v>2295</v>
      </c>
      <c r="F555" s="1" t="s">
        <v>2296</v>
      </c>
      <c r="G555" s="2" t="s">
        <v>28</v>
      </c>
      <c r="H555" s="1" t="n">
        <v>-1</v>
      </c>
      <c r="I555" s="1" t="n">
        <v>-1</v>
      </c>
      <c r="J555" s="1" t="n">
        <v>0</v>
      </c>
      <c r="K555" s="1" t="n">
        <v>-1</v>
      </c>
      <c r="L555" s="2" t="n">
        <v>1</v>
      </c>
      <c r="M555" s="1" t="s">
        <v>70</v>
      </c>
      <c r="N555" s="1" t="s">
        <v>105</v>
      </c>
      <c r="O555" s="5" t="n">
        <v>46215.9555555556</v>
      </c>
      <c r="P555" s="5" t="n">
        <v>46219.4944444444</v>
      </c>
      <c r="Q555" s="1" t="n">
        <v>47.2775</v>
      </c>
      <c r="R555" s="1" t="n">
        <v>-84.5896</v>
      </c>
      <c r="S555" s="1" t="s">
        <v>2297</v>
      </c>
      <c r="T555" s="1" t="n">
        <v>2026</v>
      </c>
      <c r="U555" s="1" t="n">
        <v>2026</v>
      </c>
      <c r="V555" s="5" t="n">
        <v>46219.53125</v>
      </c>
      <c r="W555" s="6" t="n">
        <v>46387.9999999884</v>
      </c>
    </row>
    <row r="556" customFormat="false" ht="12.75" hidden="false" customHeight="false" outlineLevel="0" collapsed="false">
      <c r="A556" s="1" t="s">
        <v>2298</v>
      </c>
      <c r="B556" s="1" t="n">
        <v>17952977</v>
      </c>
      <c r="C556" s="1" t="s">
        <v>1933</v>
      </c>
      <c r="D556" s="1" t="s">
        <v>1934</v>
      </c>
      <c r="E556" s="1" t="s">
        <v>2299</v>
      </c>
      <c r="F556" s="1" t="s">
        <v>2300</v>
      </c>
      <c r="G556" s="2" t="s">
        <v>28</v>
      </c>
      <c r="H556" s="1" t="n">
        <v>-1</v>
      </c>
      <c r="I556" s="1" t="n">
        <v>-1</v>
      </c>
      <c r="J556" s="1" t="n">
        <v>0</v>
      </c>
      <c r="K556" s="1" t="n">
        <v>-1</v>
      </c>
      <c r="L556" s="2" t="n">
        <v>2575.5</v>
      </c>
      <c r="M556" s="1" t="s">
        <v>29</v>
      </c>
      <c r="N556" s="1" t="s">
        <v>105</v>
      </c>
      <c r="O556" s="5" t="n">
        <v>46214.9125</v>
      </c>
      <c r="P556" s="5" t="n">
        <v>46219.0208333333</v>
      </c>
      <c r="Q556" s="1" t="n">
        <v>51.7766</v>
      </c>
      <c r="R556" s="1" t="n">
        <v>-91.1517</v>
      </c>
      <c r="S556" s="1" t="s">
        <v>2301</v>
      </c>
      <c r="T556" s="1" t="n">
        <v>2026</v>
      </c>
      <c r="U556" s="1" t="n">
        <v>2026</v>
      </c>
      <c r="V556" s="5" t="n">
        <v>46219.0729166667</v>
      </c>
      <c r="W556" s="6" t="n">
        <v>46387.9999999884</v>
      </c>
    </row>
    <row r="557" customFormat="false" ht="12.75" hidden="false" customHeight="false" outlineLevel="0" collapsed="false">
      <c r="A557" s="1" t="s">
        <v>2302</v>
      </c>
      <c r="B557" s="1" t="n">
        <v>17952973</v>
      </c>
      <c r="C557" s="1" t="s">
        <v>1933</v>
      </c>
      <c r="D557" s="1" t="s">
        <v>1934</v>
      </c>
      <c r="E557" s="1" t="s">
        <v>2303</v>
      </c>
      <c r="F557" s="1" t="s">
        <v>2304</v>
      </c>
      <c r="G557" s="2" t="s">
        <v>28</v>
      </c>
      <c r="H557" s="1" t="n">
        <v>-1</v>
      </c>
      <c r="I557" s="1" t="n">
        <v>-1</v>
      </c>
      <c r="J557" s="1" t="n">
        <v>0</v>
      </c>
      <c r="K557" s="1" t="n">
        <v>-1</v>
      </c>
      <c r="L557" s="2" t="n">
        <v>817.3</v>
      </c>
      <c r="M557" s="1" t="s">
        <v>29</v>
      </c>
      <c r="N557" s="1" t="s">
        <v>105</v>
      </c>
      <c r="O557" s="5" t="n">
        <v>46212.9201388889</v>
      </c>
      <c r="P557" s="5" t="n">
        <v>46219.0194444444</v>
      </c>
      <c r="Q557" s="1" t="n">
        <v>51.3159</v>
      </c>
      <c r="R557" s="1" t="n">
        <v>-91.2902</v>
      </c>
      <c r="S557" s="1" t="s">
        <v>2305</v>
      </c>
      <c r="T557" s="1" t="n">
        <v>2026</v>
      </c>
      <c r="U557" s="1" t="n">
        <v>2026</v>
      </c>
      <c r="V557" s="5" t="n">
        <v>46219.0729166667</v>
      </c>
      <c r="W557" s="6" t="n">
        <v>46387.9999999884</v>
      </c>
    </row>
    <row r="558" customFormat="false" ht="12.75" hidden="false" customHeight="false" outlineLevel="0" collapsed="false">
      <c r="A558" s="1" t="s">
        <v>2306</v>
      </c>
      <c r="B558" s="1" t="n">
        <v>17952971</v>
      </c>
      <c r="C558" s="1" t="s">
        <v>1933</v>
      </c>
      <c r="D558" s="1" t="s">
        <v>1934</v>
      </c>
      <c r="E558" s="1" t="s">
        <v>2307</v>
      </c>
      <c r="F558" s="1" t="s">
        <v>2308</v>
      </c>
      <c r="G558" s="2" t="s">
        <v>28</v>
      </c>
      <c r="H558" s="1" t="n">
        <v>-1</v>
      </c>
      <c r="I558" s="1" t="n">
        <v>-1</v>
      </c>
      <c r="J558" s="1" t="n">
        <v>0</v>
      </c>
      <c r="K558" s="1" t="n">
        <v>-1</v>
      </c>
      <c r="L558" s="2" t="n">
        <v>3056.3</v>
      </c>
      <c r="M558" s="1" t="s">
        <v>29</v>
      </c>
      <c r="N558" s="1" t="s">
        <v>105</v>
      </c>
      <c r="O558" s="5" t="n">
        <v>46212.8583333333</v>
      </c>
      <c r="P558" s="5" t="n">
        <v>46219.01875</v>
      </c>
      <c r="Q558" s="1" t="n">
        <v>51.4374</v>
      </c>
      <c r="R558" s="1" t="n">
        <v>-91.4786</v>
      </c>
      <c r="S558" s="1" t="s">
        <v>2309</v>
      </c>
      <c r="T558" s="1" t="n">
        <v>2026</v>
      </c>
      <c r="U558" s="1" t="n">
        <v>2026</v>
      </c>
      <c r="V558" s="5" t="n">
        <v>46219.0729166667</v>
      </c>
      <c r="W558" s="6" t="n">
        <v>46387.9999999884</v>
      </c>
    </row>
    <row r="559" customFormat="false" ht="12.75" hidden="false" customHeight="false" outlineLevel="0" collapsed="false">
      <c r="A559" s="1" t="s">
        <v>2310</v>
      </c>
      <c r="B559" s="1" t="n">
        <v>17950120</v>
      </c>
      <c r="C559" s="1" t="s">
        <v>1933</v>
      </c>
      <c r="D559" s="1" t="s">
        <v>1949</v>
      </c>
      <c r="E559" s="1" t="s">
        <v>2311</v>
      </c>
      <c r="F559" s="1" t="s">
        <v>2312</v>
      </c>
      <c r="G559" s="2" t="s">
        <v>28</v>
      </c>
      <c r="H559" s="1" t="n">
        <v>-1</v>
      </c>
      <c r="I559" s="1" t="n">
        <v>-1</v>
      </c>
      <c r="J559" s="1" t="n">
        <v>0</v>
      </c>
      <c r="K559" s="1" t="n">
        <v>-1</v>
      </c>
      <c r="L559" s="2" t="n">
        <v>0.1</v>
      </c>
      <c r="M559" s="1" t="s">
        <v>29</v>
      </c>
      <c r="N559" s="1" t="s">
        <v>105</v>
      </c>
      <c r="O559" s="5" t="n">
        <v>46218.9784722222</v>
      </c>
      <c r="P559" s="5" t="n">
        <v>46218.9784722222</v>
      </c>
      <c r="Q559" s="1" t="n">
        <v>50.1978</v>
      </c>
      <c r="R559" s="1" t="n">
        <v>-87.271</v>
      </c>
      <c r="S559" s="1" t="s">
        <v>2313</v>
      </c>
      <c r="T559" s="1" t="n">
        <v>2026</v>
      </c>
      <c r="U559" s="1" t="n">
        <v>2026</v>
      </c>
      <c r="V559" s="5" t="n">
        <v>46219.03125</v>
      </c>
      <c r="W559" s="6" t="n">
        <v>46387.9999999884</v>
      </c>
    </row>
    <row r="560" customFormat="false" ht="12.75" hidden="false" customHeight="false" outlineLevel="0" collapsed="false">
      <c r="A560" s="1" t="s">
        <v>2314</v>
      </c>
      <c r="B560" s="1" t="n">
        <v>17950388</v>
      </c>
      <c r="C560" s="1" t="s">
        <v>1933</v>
      </c>
      <c r="D560" s="1" t="s">
        <v>2105</v>
      </c>
      <c r="E560" s="1" t="s">
        <v>2315</v>
      </c>
      <c r="F560" s="1" t="s">
        <v>2316</v>
      </c>
      <c r="G560" s="2" t="s">
        <v>84</v>
      </c>
      <c r="H560" s="1" t="n">
        <v>-1</v>
      </c>
      <c r="I560" s="1" t="n">
        <v>-1</v>
      </c>
      <c r="J560" s="1" t="n">
        <v>0</v>
      </c>
      <c r="K560" s="1" t="n">
        <v>-1</v>
      </c>
      <c r="L560" s="2" t="n">
        <v>12.5</v>
      </c>
      <c r="M560" s="1" t="s">
        <v>29</v>
      </c>
      <c r="N560" s="1" t="s">
        <v>37</v>
      </c>
      <c r="O560" s="5" t="n">
        <v>46215.8868055556</v>
      </c>
      <c r="P560" s="5" t="n">
        <v>46218.9791666667</v>
      </c>
      <c r="Q560" s="1" t="n">
        <v>48.5271</v>
      </c>
      <c r="R560" s="1" t="n">
        <v>-85.15</v>
      </c>
      <c r="S560" s="1" t="s">
        <v>2317</v>
      </c>
      <c r="T560" s="1" t="n">
        <v>2026</v>
      </c>
      <c r="U560" s="1" t="n">
        <v>2026</v>
      </c>
      <c r="V560" s="5" t="n">
        <v>46219.03125</v>
      </c>
      <c r="W560" s="6" t="n">
        <v>46387.9999999884</v>
      </c>
    </row>
    <row r="561" customFormat="false" ht="12.75" hidden="false" customHeight="false" outlineLevel="0" collapsed="false">
      <c r="A561" s="1" t="s">
        <v>2318</v>
      </c>
      <c r="B561" s="1" t="n">
        <v>17938976</v>
      </c>
      <c r="C561" s="1" t="s">
        <v>1933</v>
      </c>
      <c r="D561" s="1" t="s">
        <v>2166</v>
      </c>
      <c r="E561" s="1" t="s">
        <v>2319</v>
      </c>
      <c r="F561" s="1" t="s">
        <v>2320</v>
      </c>
      <c r="G561" s="2" t="s">
        <v>28</v>
      </c>
      <c r="H561" s="1" t="n">
        <v>-1</v>
      </c>
      <c r="I561" s="1" t="n">
        <v>-1</v>
      </c>
      <c r="J561" s="1" t="n">
        <v>0</v>
      </c>
      <c r="K561" s="1" t="n">
        <v>-1</v>
      </c>
      <c r="L561" s="2" t="n">
        <v>100</v>
      </c>
      <c r="M561" s="1" t="s">
        <v>65</v>
      </c>
      <c r="N561" s="1" t="s">
        <v>105</v>
      </c>
      <c r="O561" s="5" t="n">
        <v>46217.8534722222</v>
      </c>
      <c r="P561" s="5" t="n">
        <v>46217.8666666667</v>
      </c>
      <c r="Q561" s="1" t="n">
        <v>52.5896</v>
      </c>
      <c r="R561" s="1" t="n">
        <v>-82.2437</v>
      </c>
      <c r="S561" s="1" t="s">
        <v>2321</v>
      </c>
      <c r="T561" s="1" t="n">
        <v>2026</v>
      </c>
      <c r="U561" s="1" t="n">
        <v>2026</v>
      </c>
      <c r="V561" s="5" t="n">
        <v>46218.90625</v>
      </c>
      <c r="W561" s="6" t="n">
        <v>46387.9999999884</v>
      </c>
    </row>
    <row r="562" customFormat="false" ht="12.75" hidden="false" customHeight="false" outlineLevel="0" collapsed="false">
      <c r="A562" s="1" t="s">
        <v>2322</v>
      </c>
      <c r="B562" s="1" t="n">
        <v>17927607</v>
      </c>
      <c r="C562" s="1" t="s">
        <v>1933</v>
      </c>
      <c r="D562" s="1" t="s">
        <v>1934</v>
      </c>
      <c r="E562" s="1" t="s">
        <v>2323</v>
      </c>
      <c r="F562" s="1" t="s">
        <v>2324</v>
      </c>
      <c r="G562" s="2" t="s">
        <v>28</v>
      </c>
      <c r="H562" s="1" t="n">
        <v>-1</v>
      </c>
      <c r="I562" s="1" t="n">
        <v>-1</v>
      </c>
      <c r="J562" s="1" t="n">
        <v>0</v>
      </c>
      <c r="K562" s="1" t="n">
        <v>-1</v>
      </c>
      <c r="L562" s="2" t="n">
        <v>4796.6</v>
      </c>
      <c r="M562" s="1" t="s">
        <v>29</v>
      </c>
      <c r="N562" s="1" t="s">
        <v>105</v>
      </c>
      <c r="O562" s="5" t="n">
        <v>46216.7659722222</v>
      </c>
      <c r="P562" s="5" t="n">
        <v>46218.74375</v>
      </c>
      <c r="Q562" s="1" t="n">
        <v>50.7058</v>
      </c>
      <c r="R562" s="1" t="n">
        <v>-90.7828</v>
      </c>
      <c r="S562" s="1" t="s">
        <v>2325</v>
      </c>
      <c r="T562" s="1" t="n">
        <v>2026</v>
      </c>
      <c r="U562" s="1" t="n">
        <v>2026</v>
      </c>
      <c r="V562" s="5" t="n">
        <v>46218.78125</v>
      </c>
      <c r="W562" s="6" t="n">
        <v>46387.9999999884</v>
      </c>
    </row>
    <row r="563" customFormat="false" ht="12.75" hidden="false" customHeight="false" outlineLevel="0" collapsed="false">
      <c r="A563" s="1" t="s">
        <v>2326</v>
      </c>
      <c r="B563" s="1" t="n">
        <v>17925517</v>
      </c>
      <c r="C563" s="1" t="s">
        <v>1933</v>
      </c>
      <c r="D563" s="1" t="s">
        <v>1949</v>
      </c>
      <c r="E563" s="1" t="s">
        <v>2327</v>
      </c>
      <c r="F563" s="1" t="s">
        <v>2328</v>
      </c>
      <c r="G563" s="2" t="s">
        <v>28</v>
      </c>
      <c r="H563" s="1" t="n">
        <v>-1</v>
      </c>
      <c r="I563" s="1" t="n">
        <v>-1</v>
      </c>
      <c r="J563" s="1" t="n">
        <v>0</v>
      </c>
      <c r="K563" s="1" t="n">
        <v>-1</v>
      </c>
      <c r="L563" s="2" t="n">
        <v>1</v>
      </c>
      <c r="M563" s="1" t="s">
        <v>29</v>
      </c>
      <c r="N563" s="1" t="s">
        <v>105</v>
      </c>
      <c r="O563" s="5" t="n">
        <v>46218.6763888889</v>
      </c>
      <c r="P563" s="5" t="n">
        <v>46218.6763888889</v>
      </c>
      <c r="Q563" s="1" t="n">
        <v>50.1799</v>
      </c>
      <c r="R563" s="1" t="n">
        <v>-86.4852</v>
      </c>
      <c r="S563" s="1" t="s">
        <v>2329</v>
      </c>
      <c r="T563" s="1" t="n">
        <v>2026</v>
      </c>
      <c r="U563" s="1" t="n">
        <v>2026</v>
      </c>
      <c r="V563" s="5" t="n">
        <v>46218.7395833333</v>
      </c>
      <c r="W563" s="6" t="n">
        <v>46387.9999999884</v>
      </c>
    </row>
    <row r="564" customFormat="false" ht="12.75" hidden="false" customHeight="false" outlineLevel="0" collapsed="false">
      <c r="A564" s="1" t="s">
        <v>2330</v>
      </c>
      <c r="B564" s="1" t="n">
        <v>17869495</v>
      </c>
      <c r="C564" s="1" t="s">
        <v>1933</v>
      </c>
      <c r="D564" s="1" t="s">
        <v>1949</v>
      </c>
      <c r="E564" s="1" t="s">
        <v>2331</v>
      </c>
      <c r="F564" s="1" t="s">
        <v>2332</v>
      </c>
      <c r="G564" s="2" t="s">
        <v>28</v>
      </c>
      <c r="H564" s="1" t="n">
        <v>-1</v>
      </c>
      <c r="I564" s="1" t="n">
        <v>-1</v>
      </c>
      <c r="J564" s="1" t="n">
        <v>0</v>
      </c>
      <c r="K564" s="1" t="n">
        <v>-1</v>
      </c>
      <c r="L564" s="2" t="n">
        <v>3</v>
      </c>
      <c r="M564" s="1" t="s">
        <v>29</v>
      </c>
      <c r="N564" s="1" t="s">
        <v>105</v>
      </c>
      <c r="O564" s="5" t="n">
        <v>46217.9708333333</v>
      </c>
      <c r="P564" s="5" t="n">
        <v>46217.9708333333</v>
      </c>
      <c r="Q564" s="1" t="n">
        <v>50.0501</v>
      </c>
      <c r="R564" s="1" t="n">
        <v>-86.1402</v>
      </c>
      <c r="S564" s="1" t="s">
        <v>2333</v>
      </c>
      <c r="T564" s="1" t="n">
        <v>2026</v>
      </c>
      <c r="U564" s="1" t="n">
        <v>2026</v>
      </c>
      <c r="V564" s="5" t="n">
        <v>46218.0729166667</v>
      </c>
      <c r="W564" s="6" t="n">
        <v>46387.9999999884</v>
      </c>
    </row>
    <row r="565" customFormat="false" ht="12.75" hidden="false" customHeight="false" outlineLevel="0" collapsed="false">
      <c r="A565" s="1" t="s">
        <v>2334</v>
      </c>
      <c r="B565" s="1" t="n">
        <v>17861049</v>
      </c>
      <c r="C565" s="1" t="s">
        <v>1933</v>
      </c>
      <c r="D565" s="1" t="s">
        <v>2166</v>
      </c>
      <c r="E565" s="1" t="s">
        <v>2335</v>
      </c>
      <c r="F565" s="1" t="s">
        <v>2336</v>
      </c>
      <c r="G565" s="2" t="s">
        <v>28</v>
      </c>
      <c r="H565" s="1" t="n">
        <v>-1</v>
      </c>
      <c r="I565" s="1" t="n">
        <v>-1</v>
      </c>
      <c r="J565" s="1" t="n">
        <v>0</v>
      </c>
      <c r="K565" s="1" t="n">
        <v>-1</v>
      </c>
      <c r="L565" s="2" t="n">
        <v>400</v>
      </c>
      <c r="M565" s="1" t="s">
        <v>65</v>
      </c>
      <c r="N565" s="1" t="s">
        <v>105</v>
      </c>
      <c r="O565" s="5" t="n">
        <v>46217.9131944444</v>
      </c>
      <c r="P565" s="5" t="n">
        <v>46217.9145833333</v>
      </c>
      <c r="Q565" s="1" t="n">
        <v>51.877</v>
      </c>
      <c r="R565" s="1" t="n">
        <v>-81.4582</v>
      </c>
      <c r="S565" s="1" t="s">
        <v>2337</v>
      </c>
      <c r="T565" s="1" t="n">
        <v>2026</v>
      </c>
      <c r="U565" s="1" t="n">
        <v>2026</v>
      </c>
      <c r="V565" s="5" t="n">
        <v>46217.9479166667</v>
      </c>
      <c r="W565" s="6" t="n">
        <v>46387.9999999884</v>
      </c>
    </row>
    <row r="566" customFormat="false" ht="12.75" hidden="false" customHeight="false" outlineLevel="0" collapsed="false">
      <c r="A566" s="1" t="s">
        <v>2338</v>
      </c>
      <c r="B566" s="1" t="n">
        <v>17861048</v>
      </c>
      <c r="C566" s="1" t="s">
        <v>1933</v>
      </c>
      <c r="D566" s="1" t="s">
        <v>2166</v>
      </c>
      <c r="E566" s="1" t="s">
        <v>2339</v>
      </c>
      <c r="F566" s="1" t="s">
        <v>2340</v>
      </c>
      <c r="G566" s="2" t="s">
        <v>28</v>
      </c>
      <c r="H566" s="1" t="n">
        <v>-1</v>
      </c>
      <c r="I566" s="1" t="n">
        <v>-1</v>
      </c>
      <c r="J566" s="1" t="n">
        <v>0</v>
      </c>
      <c r="K566" s="1" t="n">
        <v>-1</v>
      </c>
      <c r="L566" s="2" t="n">
        <v>280</v>
      </c>
      <c r="M566" s="1" t="s">
        <v>65</v>
      </c>
      <c r="N566" s="1" t="s">
        <v>105</v>
      </c>
      <c r="O566" s="5" t="n">
        <v>46217.8784722222</v>
      </c>
      <c r="P566" s="5" t="n">
        <v>46217.8819444444</v>
      </c>
      <c r="Q566" s="1" t="n">
        <v>52.6204</v>
      </c>
      <c r="R566" s="1" t="n">
        <v>-83.5313</v>
      </c>
      <c r="S566" s="1" t="s">
        <v>2341</v>
      </c>
      <c r="T566" s="1" t="n">
        <v>2026</v>
      </c>
      <c r="U566" s="1" t="n">
        <v>2026</v>
      </c>
      <c r="V566" s="5" t="n">
        <v>46217.9479166667</v>
      </c>
      <c r="W566" s="6" t="n">
        <v>46387.9999999884</v>
      </c>
    </row>
    <row r="567" customFormat="false" ht="12.75" hidden="false" customHeight="false" outlineLevel="0" collapsed="false">
      <c r="A567" s="1" t="s">
        <v>2342</v>
      </c>
      <c r="B567" s="1" t="n">
        <v>17833172</v>
      </c>
      <c r="C567" s="1" t="s">
        <v>1933</v>
      </c>
      <c r="D567" s="1" t="s">
        <v>1934</v>
      </c>
      <c r="E567" s="1" t="s">
        <v>2343</v>
      </c>
      <c r="F567" s="1" t="s">
        <v>2344</v>
      </c>
      <c r="G567" s="2" t="s">
        <v>84</v>
      </c>
      <c r="H567" s="1" t="n">
        <v>-1</v>
      </c>
      <c r="I567" s="1" t="n">
        <v>-1</v>
      </c>
      <c r="J567" s="1" t="n">
        <v>0</v>
      </c>
      <c r="K567" s="1" t="n">
        <v>-1</v>
      </c>
      <c r="L567" s="2" t="n">
        <v>0.2</v>
      </c>
      <c r="M567" s="1" t="s">
        <v>29</v>
      </c>
      <c r="N567" s="1" t="s">
        <v>105</v>
      </c>
      <c r="O567" s="5" t="n">
        <v>46217.5881944444</v>
      </c>
      <c r="P567" s="5" t="n">
        <v>46217.5881944444</v>
      </c>
      <c r="Q567" s="1" t="n">
        <v>51.1266</v>
      </c>
      <c r="R567" s="1" t="n">
        <v>-90.0795</v>
      </c>
      <c r="S567" s="1" t="s">
        <v>2345</v>
      </c>
      <c r="T567" s="1" t="n">
        <v>2026</v>
      </c>
      <c r="U567" s="1" t="n">
        <v>2026</v>
      </c>
      <c r="V567" s="5" t="n">
        <v>46217.6145833333</v>
      </c>
      <c r="W567" s="6" t="n">
        <v>46387.9999999884</v>
      </c>
    </row>
    <row r="568" customFormat="false" ht="12.75" hidden="false" customHeight="false" outlineLevel="0" collapsed="false">
      <c r="A568" s="1" t="s">
        <v>2346</v>
      </c>
      <c r="B568" s="1" t="n">
        <v>17788089</v>
      </c>
      <c r="C568" s="1" t="s">
        <v>1933</v>
      </c>
      <c r="D568" s="1" t="s">
        <v>1949</v>
      </c>
      <c r="E568" s="1" t="s">
        <v>2347</v>
      </c>
      <c r="F568" s="1" t="s">
        <v>2348</v>
      </c>
      <c r="G568" s="2" t="s">
        <v>28</v>
      </c>
      <c r="H568" s="1" t="n">
        <v>-1</v>
      </c>
      <c r="I568" s="1" t="n">
        <v>-1</v>
      </c>
      <c r="J568" s="1" t="n">
        <v>0</v>
      </c>
      <c r="K568" s="1" t="n">
        <v>-1</v>
      </c>
      <c r="L568" s="2" t="n">
        <v>150</v>
      </c>
      <c r="M568" s="1" t="s">
        <v>65</v>
      </c>
      <c r="N568" s="1" t="s">
        <v>105</v>
      </c>
      <c r="O568" s="5" t="n">
        <v>46216.8013888889</v>
      </c>
      <c r="P568" s="5" t="n">
        <v>46216.9791666667</v>
      </c>
      <c r="Q568" s="1" t="n">
        <v>51.1409</v>
      </c>
      <c r="R568" s="1" t="n">
        <v>-88.6903</v>
      </c>
      <c r="S568" s="1" t="s">
        <v>2349</v>
      </c>
      <c r="T568" s="1" t="n">
        <v>2026</v>
      </c>
      <c r="U568" s="1" t="n">
        <v>2026</v>
      </c>
      <c r="V568" s="5" t="n">
        <v>46217.03125</v>
      </c>
      <c r="W568" s="6" t="n">
        <v>46387.9999999884</v>
      </c>
    </row>
    <row r="569" customFormat="false" ht="12.75" hidden="false" customHeight="false" outlineLevel="0" collapsed="false">
      <c r="A569" s="1" t="s">
        <v>2350</v>
      </c>
      <c r="B569" s="1" t="n">
        <v>17785267</v>
      </c>
      <c r="C569" s="1" t="s">
        <v>1933</v>
      </c>
      <c r="D569" s="1" t="s">
        <v>2043</v>
      </c>
      <c r="E569" s="1" t="s">
        <v>2351</v>
      </c>
      <c r="F569" s="1" t="s">
        <v>2352</v>
      </c>
      <c r="G569" s="2" t="s">
        <v>84</v>
      </c>
      <c r="H569" s="1" t="n">
        <v>-1</v>
      </c>
      <c r="I569" s="1" t="n">
        <v>-1</v>
      </c>
      <c r="J569" s="1" t="n">
        <v>0</v>
      </c>
      <c r="K569" s="1" t="n">
        <v>-1</v>
      </c>
      <c r="L569" s="2" t="n">
        <v>0.2</v>
      </c>
      <c r="M569" s="1" t="s">
        <v>29</v>
      </c>
      <c r="N569" s="1" t="s">
        <v>105</v>
      </c>
      <c r="O569" s="5" t="n">
        <v>46216.9534722222</v>
      </c>
      <c r="P569" s="5" t="n">
        <v>46216.9534722222</v>
      </c>
      <c r="Q569" s="1" t="n">
        <v>50.2509</v>
      </c>
      <c r="R569" s="1" t="n">
        <v>-88.5446</v>
      </c>
      <c r="S569" s="1" t="s">
        <v>2353</v>
      </c>
      <c r="T569" s="1" t="n">
        <v>2026</v>
      </c>
      <c r="U569" s="1" t="n">
        <v>2026</v>
      </c>
      <c r="V569" s="5" t="n">
        <v>46216.9895833333</v>
      </c>
      <c r="W569" s="6" t="n">
        <v>46387.9999999884</v>
      </c>
    </row>
    <row r="570" customFormat="false" ht="12.75" hidden="false" customHeight="false" outlineLevel="0" collapsed="false">
      <c r="A570" s="1" t="s">
        <v>2354</v>
      </c>
      <c r="B570" s="1" t="n">
        <v>17770679</v>
      </c>
      <c r="C570" s="1" t="s">
        <v>1933</v>
      </c>
      <c r="D570" s="1" t="s">
        <v>1939</v>
      </c>
      <c r="E570" s="1" t="s">
        <v>2355</v>
      </c>
      <c r="F570" s="1" t="s">
        <v>2356</v>
      </c>
      <c r="G570" s="2" t="s">
        <v>28</v>
      </c>
      <c r="H570" s="1" t="n">
        <v>-1</v>
      </c>
      <c r="I570" s="1" t="n">
        <v>-1</v>
      </c>
      <c r="J570" s="1" t="n">
        <v>0</v>
      </c>
      <c r="K570" s="1" t="n">
        <v>-1</v>
      </c>
      <c r="L570" s="2" t="n">
        <v>3.5</v>
      </c>
      <c r="M570" s="1" t="s">
        <v>29</v>
      </c>
      <c r="N570" s="1" t="s">
        <v>37</v>
      </c>
      <c r="O570" s="5" t="n">
        <v>46211.9381944445</v>
      </c>
      <c r="P570" s="5" t="n">
        <v>46216.8798611111</v>
      </c>
      <c r="Q570" s="1" t="n">
        <v>50.2274</v>
      </c>
      <c r="R570" s="1" t="n">
        <v>-92.6075</v>
      </c>
      <c r="S570" s="1" t="s">
        <v>2357</v>
      </c>
      <c r="T570" s="1" t="n">
        <v>2026</v>
      </c>
      <c r="U570" s="1" t="n">
        <v>2026</v>
      </c>
      <c r="V570" s="5" t="n">
        <v>46216.8229166667</v>
      </c>
      <c r="W570" s="6" t="n">
        <v>46387.9999999884</v>
      </c>
    </row>
    <row r="571" customFormat="false" ht="12.75" hidden="false" customHeight="false" outlineLevel="0" collapsed="false">
      <c r="A571" s="1" t="s">
        <v>2358</v>
      </c>
      <c r="B571" s="1" t="n">
        <v>17758397</v>
      </c>
      <c r="C571" s="1" t="s">
        <v>1933</v>
      </c>
      <c r="D571" s="1" t="s">
        <v>1934</v>
      </c>
      <c r="E571" s="1" t="s">
        <v>2359</v>
      </c>
      <c r="F571" s="1" t="s">
        <v>2360</v>
      </c>
      <c r="G571" s="2" t="s">
        <v>28</v>
      </c>
      <c r="H571" s="1" t="n">
        <v>-1</v>
      </c>
      <c r="I571" s="1" t="n">
        <v>-1</v>
      </c>
      <c r="J571" s="1" t="n">
        <v>0</v>
      </c>
      <c r="K571" s="1" t="n">
        <v>-1</v>
      </c>
      <c r="L571" s="2" t="n">
        <v>82</v>
      </c>
      <c r="M571" s="1" t="s">
        <v>29</v>
      </c>
      <c r="N571" s="1" t="s">
        <v>37</v>
      </c>
      <c r="O571" s="5" t="n">
        <v>46204.9145833333</v>
      </c>
      <c r="P571" s="5" t="n">
        <v>46216.5833333333</v>
      </c>
      <c r="Q571" s="1" t="n">
        <v>51.5459</v>
      </c>
      <c r="R571" s="1" t="n">
        <v>-89.6067</v>
      </c>
      <c r="S571" s="1" t="s">
        <v>2361</v>
      </c>
      <c r="T571" s="1" t="n">
        <v>2026</v>
      </c>
      <c r="U571" s="1" t="n">
        <v>2026</v>
      </c>
      <c r="V571" s="5" t="n">
        <v>46216.65625</v>
      </c>
      <c r="W571" s="6" t="n">
        <v>46387.9999999884</v>
      </c>
    </row>
    <row r="572" customFormat="false" ht="12.75" hidden="false" customHeight="false" outlineLevel="0" collapsed="false">
      <c r="A572" s="1" t="s">
        <v>2362</v>
      </c>
      <c r="B572" s="1" t="n">
        <v>17707186</v>
      </c>
      <c r="C572" s="1" t="s">
        <v>1933</v>
      </c>
      <c r="D572" s="1" t="s">
        <v>1934</v>
      </c>
      <c r="E572" s="1" t="s">
        <v>2363</v>
      </c>
      <c r="F572" s="1" t="s">
        <v>2364</v>
      </c>
      <c r="G572" s="2" t="s">
        <v>28</v>
      </c>
      <c r="H572" s="1" t="n">
        <v>-1</v>
      </c>
      <c r="I572" s="1" t="n">
        <v>-1</v>
      </c>
      <c r="J572" s="1" t="n">
        <v>0</v>
      </c>
      <c r="K572" s="1" t="n">
        <v>-1</v>
      </c>
      <c r="L572" s="2" t="n">
        <v>15</v>
      </c>
      <c r="M572" s="1" t="s">
        <v>65</v>
      </c>
      <c r="N572" s="1" t="s">
        <v>105</v>
      </c>
      <c r="O572" s="5" t="n">
        <v>46215.9569444444</v>
      </c>
      <c r="P572" s="5" t="n">
        <v>46215.96875</v>
      </c>
      <c r="Q572" s="1" t="n">
        <v>51.4951</v>
      </c>
      <c r="R572" s="1" t="n">
        <v>-89.3733</v>
      </c>
      <c r="S572" s="1" t="s">
        <v>2365</v>
      </c>
      <c r="T572" s="1" t="n">
        <v>2026</v>
      </c>
      <c r="U572" s="1" t="n">
        <v>2026</v>
      </c>
      <c r="V572" s="5" t="n">
        <v>46216.03125</v>
      </c>
      <c r="W572" s="6" t="n">
        <v>46387.9999999884</v>
      </c>
    </row>
    <row r="573" customFormat="false" ht="12.75" hidden="false" customHeight="false" outlineLevel="0" collapsed="false">
      <c r="A573" s="1" t="s">
        <v>2366</v>
      </c>
      <c r="B573" s="1" t="n">
        <v>17633655</v>
      </c>
      <c r="C573" s="1" t="s">
        <v>1933</v>
      </c>
      <c r="D573" s="1" t="s">
        <v>1949</v>
      </c>
      <c r="E573" s="1" t="s">
        <v>2367</v>
      </c>
      <c r="F573" s="1" t="s">
        <v>2368</v>
      </c>
      <c r="G573" s="2" t="s">
        <v>28</v>
      </c>
      <c r="H573" s="1" t="n">
        <v>-1</v>
      </c>
      <c r="I573" s="1" t="n">
        <v>-1</v>
      </c>
      <c r="J573" s="1" t="n">
        <v>0</v>
      </c>
      <c r="K573" s="1" t="n">
        <v>-1</v>
      </c>
      <c r="L573" s="2" t="n">
        <v>3</v>
      </c>
      <c r="M573" s="1" t="s">
        <v>65</v>
      </c>
      <c r="N573" s="1" t="s">
        <v>105</v>
      </c>
      <c r="O573" s="5" t="n">
        <v>46213.8125</v>
      </c>
      <c r="P573" s="5" t="n">
        <v>46214.8541666667</v>
      </c>
      <c r="Q573" s="1" t="n">
        <v>51.9942</v>
      </c>
      <c r="R573" s="1" t="n">
        <v>-88.7601</v>
      </c>
      <c r="S573" s="1" t="s">
        <v>2369</v>
      </c>
      <c r="T573" s="1" t="n">
        <v>2026</v>
      </c>
      <c r="U573" s="1" t="n">
        <v>2026</v>
      </c>
      <c r="V573" s="5" t="n">
        <v>46215.03125</v>
      </c>
      <c r="W573" s="6" t="n">
        <v>46387.9999999884</v>
      </c>
    </row>
    <row r="574" customFormat="false" ht="12.75" hidden="false" customHeight="false" outlineLevel="0" collapsed="false">
      <c r="A574" s="1" t="s">
        <v>2370</v>
      </c>
      <c r="B574" s="1" t="n">
        <v>17633652</v>
      </c>
      <c r="C574" s="1" t="s">
        <v>1933</v>
      </c>
      <c r="D574" s="1" t="s">
        <v>1949</v>
      </c>
      <c r="E574" s="1" t="s">
        <v>2371</v>
      </c>
      <c r="F574" s="1" t="s">
        <v>2372</v>
      </c>
      <c r="G574" s="2" t="s">
        <v>28</v>
      </c>
      <c r="H574" s="1" t="n">
        <v>-1</v>
      </c>
      <c r="I574" s="1" t="n">
        <v>-1</v>
      </c>
      <c r="J574" s="1" t="n">
        <v>0</v>
      </c>
      <c r="K574" s="1" t="n">
        <v>-1</v>
      </c>
      <c r="L574" s="2" t="n">
        <v>891</v>
      </c>
      <c r="M574" s="1" t="s">
        <v>65</v>
      </c>
      <c r="N574" s="1" t="s">
        <v>105</v>
      </c>
      <c r="O574" s="5" t="n">
        <v>46208.8131944445</v>
      </c>
      <c r="P574" s="5" t="n">
        <v>46214.8541666667</v>
      </c>
      <c r="Q574" s="1" t="n">
        <v>52.2161</v>
      </c>
      <c r="R574" s="1" t="n">
        <v>-88.9973</v>
      </c>
      <c r="S574" s="1" t="s">
        <v>2373</v>
      </c>
      <c r="T574" s="1" t="n">
        <v>2026</v>
      </c>
      <c r="U574" s="1" t="n">
        <v>2026</v>
      </c>
      <c r="V574" s="5" t="n">
        <v>46215.03125</v>
      </c>
      <c r="W574" s="6" t="n">
        <v>46387.9999999884</v>
      </c>
    </row>
    <row r="575" customFormat="false" ht="12.75" hidden="false" customHeight="false" outlineLevel="0" collapsed="false">
      <c r="A575" s="1" t="s">
        <v>2374</v>
      </c>
      <c r="B575" s="1" t="n">
        <v>17619580</v>
      </c>
      <c r="C575" s="1" t="s">
        <v>1933</v>
      </c>
      <c r="D575" s="1" t="s">
        <v>1949</v>
      </c>
      <c r="E575" s="1" t="s">
        <v>2375</v>
      </c>
      <c r="F575" s="1" t="s">
        <v>2376</v>
      </c>
      <c r="G575" s="2" t="s">
        <v>28</v>
      </c>
      <c r="H575" s="1" t="n">
        <v>-1</v>
      </c>
      <c r="I575" s="1" t="n">
        <v>-1</v>
      </c>
      <c r="J575" s="1" t="n">
        <v>0</v>
      </c>
      <c r="K575" s="1" t="n">
        <v>-1</v>
      </c>
      <c r="L575" s="2" t="n">
        <v>2</v>
      </c>
      <c r="M575" s="1" t="s">
        <v>65</v>
      </c>
      <c r="N575" s="1" t="s">
        <v>105</v>
      </c>
      <c r="O575" s="5" t="n">
        <v>46214.7506944445</v>
      </c>
      <c r="P575" s="5" t="n">
        <v>46214.7513888889</v>
      </c>
      <c r="Q575" s="1" t="n">
        <v>52.6033</v>
      </c>
      <c r="R575" s="1" t="n">
        <v>-86.1826</v>
      </c>
      <c r="S575" s="1" t="s">
        <v>2377</v>
      </c>
      <c r="T575" s="1" t="n">
        <v>2026</v>
      </c>
      <c r="U575" s="1" t="n">
        <v>2026</v>
      </c>
      <c r="V575" s="5" t="n">
        <v>46214.8645833333</v>
      </c>
      <c r="W575" s="6" t="n">
        <v>46387.9999999884</v>
      </c>
    </row>
    <row r="576" customFormat="false" ht="12.75" hidden="false" customHeight="false" outlineLevel="0" collapsed="false">
      <c r="A576" s="1" t="s">
        <v>2378</v>
      </c>
      <c r="B576" s="1" t="n">
        <v>17614439</v>
      </c>
      <c r="C576" s="1" t="s">
        <v>1933</v>
      </c>
      <c r="D576" s="1" t="s">
        <v>1949</v>
      </c>
      <c r="E576" s="1" t="s">
        <v>2379</v>
      </c>
      <c r="F576" s="1" t="s">
        <v>2380</v>
      </c>
      <c r="G576" s="2" t="s">
        <v>84</v>
      </c>
      <c r="H576" s="1" t="n">
        <v>-1</v>
      </c>
      <c r="I576" s="1" t="n">
        <v>-1</v>
      </c>
      <c r="J576" s="1" t="n">
        <v>0</v>
      </c>
      <c r="K576" s="1" t="n">
        <v>-1</v>
      </c>
      <c r="L576" s="2" t="n">
        <v>67</v>
      </c>
      <c r="M576" s="1" t="s">
        <v>65</v>
      </c>
      <c r="N576" s="1" t="s">
        <v>105</v>
      </c>
      <c r="O576" s="5" t="n">
        <v>46207.8944444444</v>
      </c>
      <c r="P576" s="5" t="n">
        <v>46214.7291666667</v>
      </c>
      <c r="Q576" s="1" t="n">
        <v>49.598</v>
      </c>
      <c r="R576" s="1" t="n">
        <v>-88.7516</v>
      </c>
      <c r="S576" s="1" t="s">
        <v>2381</v>
      </c>
      <c r="T576" s="1" t="n">
        <v>2026</v>
      </c>
      <c r="U576" s="1" t="n">
        <v>2026</v>
      </c>
      <c r="V576" s="5" t="n">
        <v>46214.78125</v>
      </c>
      <c r="W576" s="6" t="n">
        <v>46387.9999999884</v>
      </c>
    </row>
    <row r="577" customFormat="false" ht="12.75" hidden="false" customHeight="false" outlineLevel="0" collapsed="false">
      <c r="A577" s="1" t="s">
        <v>2382</v>
      </c>
      <c r="B577" s="1" t="n">
        <v>17605213</v>
      </c>
      <c r="C577" s="1" t="s">
        <v>1933</v>
      </c>
      <c r="D577" s="1" t="s">
        <v>1949</v>
      </c>
      <c r="E577" s="1" t="s">
        <v>2383</v>
      </c>
      <c r="F577" s="1" t="s">
        <v>2384</v>
      </c>
      <c r="G577" s="2" t="s">
        <v>28</v>
      </c>
      <c r="H577" s="1" t="n">
        <v>-1</v>
      </c>
      <c r="I577" s="1" t="n">
        <v>-1</v>
      </c>
      <c r="J577" s="1" t="n">
        <v>0</v>
      </c>
      <c r="K577" s="1" t="n">
        <v>-1</v>
      </c>
      <c r="L577" s="2" t="n">
        <v>500.4</v>
      </c>
      <c r="M577" s="1" t="s">
        <v>29</v>
      </c>
      <c r="N577" s="1" t="s">
        <v>30</v>
      </c>
      <c r="O577" s="5" t="n">
        <v>46200.8340277778</v>
      </c>
      <c r="P577" s="5" t="n">
        <v>46214.6041666667</v>
      </c>
      <c r="Q577" s="1" t="n">
        <v>53.6445</v>
      </c>
      <c r="R577" s="1" t="n">
        <v>-88.6647</v>
      </c>
      <c r="S577" s="1" t="s">
        <v>2385</v>
      </c>
      <c r="T577" s="1" t="n">
        <v>2026</v>
      </c>
      <c r="U577" s="1" t="n">
        <v>2026</v>
      </c>
      <c r="V577" s="5" t="n">
        <v>46214.65625</v>
      </c>
      <c r="W577" s="6" t="n">
        <v>46387.9999999884</v>
      </c>
    </row>
    <row r="578" customFormat="false" ht="12.75" hidden="false" customHeight="false" outlineLevel="0" collapsed="false">
      <c r="A578" s="1" t="s">
        <v>2386</v>
      </c>
      <c r="B578" s="1" t="n">
        <v>17554160</v>
      </c>
      <c r="C578" s="1" t="s">
        <v>1933</v>
      </c>
      <c r="D578" s="1" t="s">
        <v>1934</v>
      </c>
      <c r="E578" s="1" t="s">
        <v>2387</v>
      </c>
      <c r="F578" s="1" t="s">
        <v>2388</v>
      </c>
      <c r="G578" s="2" t="s">
        <v>28</v>
      </c>
      <c r="H578" s="1" t="n">
        <v>-1</v>
      </c>
      <c r="I578" s="1" t="n">
        <v>-1</v>
      </c>
      <c r="J578" s="1" t="n">
        <v>0</v>
      </c>
      <c r="K578" s="1" t="n">
        <v>-1</v>
      </c>
      <c r="L578" s="2" t="n">
        <v>507.7</v>
      </c>
      <c r="M578" s="1" t="s">
        <v>70</v>
      </c>
      <c r="N578" s="1" t="s">
        <v>105</v>
      </c>
      <c r="O578" s="5" t="n">
        <v>46200.8972222222</v>
      </c>
      <c r="P578" s="5" t="n">
        <v>46213.9291666667</v>
      </c>
      <c r="Q578" s="1" t="n">
        <v>51.5928</v>
      </c>
      <c r="R578" s="1" t="n">
        <v>-90.5666</v>
      </c>
      <c r="S578" s="1" t="s">
        <v>2389</v>
      </c>
      <c r="T578" s="1" t="n">
        <v>2026</v>
      </c>
      <c r="U578" s="1" t="n">
        <v>2026</v>
      </c>
      <c r="V578" s="5" t="n">
        <v>46213.9895833333</v>
      </c>
      <c r="W578" s="6" t="n">
        <v>46387.9999999884</v>
      </c>
    </row>
    <row r="579" customFormat="false" ht="12.75" hidden="false" customHeight="false" outlineLevel="0" collapsed="false">
      <c r="A579" s="1" t="s">
        <v>2390</v>
      </c>
      <c r="B579" s="1" t="n">
        <v>17551064</v>
      </c>
      <c r="C579" s="1" t="s">
        <v>1933</v>
      </c>
      <c r="D579" s="1" t="s">
        <v>2166</v>
      </c>
      <c r="E579" s="1" t="s">
        <v>2391</v>
      </c>
      <c r="F579" s="1" t="s">
        <v>2392</v>
      </c>
      <c r="G579" s="2" t="s">
        <v>28</v>
      </c>
      <c r="H579" s="1" t="n">
        <v>-1</v>
      </c>
      <c r="I579" s="1" t="n">
        <v>-1</v>
      </c>
      <c r="J579" s="1" t="n">
        <v>0</v>
      </c>
      <c r="K579" s="1" t="n">
        <v>-1</v>
      </c>
      <c r="L579" s="2" t="n">
        <v>127</v>
      </c>
      <c r="M579" s="1" t="s">
        <v>65</v>
      </c>
      <c r="N579" s="1" t="s">
        <v>105</v>
      </c>
      <c r="O579" s="5" t="n">
        <v>46211.8236111111</v>
      </c>
      <c r="P579" s="5" t="n">
        <v>46211.8243055556</v>
      </c>
      <c r="Q579" s="1" t="n">
        <v>54.3351</v>
      </c>
      <c r="R579" s="1" t="n">
        <v>-89.0032</v>
      </c>
      <c r="S579" s="1" t="s">
        <v>2393</v>
      </c>
      <c r="T579" s="1" t="n">
        <v>2026</v>
      </c>
      <c r="U579" s="1" t="n">
        <v>2026</v>
      </c>
      <c r="V579" s="5" t="n">
        <v>46213.9479166667</v>
      </c>
      <c r="W579" s="6" t="n">
        <v>46387.9999999884</v>
      </c>
    </row>
    <row r="580" customFormat="false" ht="12.75" hidden="false" customHeight="false" outlineLevel="0" collapsed="false">
      <c r="A580" s="1" t="s">
        <v>2394</v>
      </c>
      <c r="B580" s="1" t="n">
        <v>17551065</v>
      </c>
      <c r="C580" s="1" t="s">
        <v>1933</v>
      </c>
      <c r="D580" s="1" t="s">
        <v>2166</v>
      </c>
      <c r="E580" s="1" t="s">
        <v>2395</v>
      </c>
      <c r="F580" s="1" t="s">
        <v>2396</v>
      </c>
      <c r="G580" s="2" t="s">
        <v>28</v>
      </c>
      <c r="H580" s="1" t="n">
        <v>-1</v>
      </c>
      <c r="I580" s="1" t="n">
        <v>-1</v>
      </c>
      <c r="J580" s="1" t="n">
        <v>0</v>
      </c>
      <c r="K580" s="1" t="n">
        <v>-1</v>
      </c>
      <c r="L580" s="2" t="n">
        <v>1356</v>
      </c>
      <c r="M580" s="1" t="s">
        <v>65</v>
      </c>
      <c r="N580" s="1" t="s">
        <v>105</v>
      </c>
      <c r="O580" s="5" t="n">
        <v>46211.8270833333</v>
      </c>
      <c r="P580" s="5" t="n">
        <v>46211.8277777778</v>
      </c>
      <c r="Q580" s="1" t="n">
        <v>54.8091</v>
      </c>
      <c r="R580" s="1" t="n">
        <v>-87.133</v>
      </c>
      <c r="S580" s="1" t="s">
        <v>2397</v>
      </c>
      <c r="T580" s="1" t="n">
        <v>2026</v>
      </c>
      <c r="U580" s="1" t="n">
        <v>2026</v>
      </c>
      <c r="V580" s="5" t="n">
        <v>46213.9479166667</v>
      </c>
      <c r="W580" s="6" t="n">
        <v>46387.9999999884</v>
      </c>
    </row>
    <row r="581" customFormat="false" ht="12.75" hidden="false" customHeight="false" outlineLevel="0" collapsed="false">
      <c r="A581" s="1" t="s">
        <v>2398</v>
      </c>
      <c r="B581" s="1" t="n">
        <v>17524651</v>
      </c>
      <c r="C581" s="1" t="s">
        <v>1933</v>
      </c>
      <c r="D581" s="1" t="s">
        <v>1949</v>
      </c>
      <c r="E581" s="1" t="s">
        <v>2399</v>
      </c>
      <c r="F581" s="1" t="s">
        <v>2400</v>
      </c>
      <c r="G581" s="2" t="s">
        <v>28</v>
      </c>
      <c r="H581" s="1" t="n">
        <v>-1</v>
      </c>
      <c r="I581" s="1" t="n">
        <v>-1</v>
      </c>
      <c r="J581" s="1" t="n">
        <v>0</v>
      </c>
      <c r="K581" s="1" t="n">
        <v>-1</v>
      </c>
      <c r="L581" s="2" t="n">
        <v>2119</v>
      </c>
      <c r="M581" s="1" t="s">
        <v>29</v>
      </c>
      <c r="N581" s="1" t="s">
        <v>30</v>
      </c>
      <c r="O581" s="5" t="n">
        <v>46198.9041666667</v>
      </c>
      <c r="P581" s="5" t="n">
        <v>46213.5416666667</v>
      </c>
      <c r="Q581" s="1" t="n">
        <v>53.5811</v>
      </c>
      <c r="R581" s="1" t="n">
        <v>-88.9357</v>
      </c>
      <c r="S581" s="1" t="s">
        <v>2401</v>
      </c>
      <c r="T581" s="1" t="n">
        <v>2026</v>
      </c>
      <c r="U581" s="1" t="n">
        <v>2026</v>
      </c>
      <c r="V581" s="5" t="n">
        <v>46213.6145833333</v>
      </c>
      <c r="W581" s="6" t="n">
        <v>46387.9999999884</v>
      </c>
    </row>
    <row r="582" customFormat="false" ht="12.75" hidden="false" customHeight="false" outlineLevel="0" collapsed="false">
      <c r="A582" s="1" t="s">
        <v>2402</v>
      </c>
      <c r="B582" s="1" t="n">
        <v>17465632</v>
      </c>
      <c r="C582" s="1" t="s">
        <v>1933</v>
      </c>
      <c r="D582" s="1" t="s">
        <v>1944</v>
      </c>
      <c r="E582" s="1" t="s">
        <v>2403</v>
      </c>
      <c r="F582" s="1" t="s">
        <v>2404</v>
      </c>
      <c r="G582" s="2" t="s">
        <v>28</v>
      </c>
      <c r="H582" s="1" t="n">
        <v>-1</v>
      </c>
      <c r="I582" s="1" t="n">
        <v>-1</v>
      </c>
      <c r="J582" s="1" t="n">
        <v>0</v>
      </c>
      <c r="K582" s="1" t="n">
        <v>-1</v>
      </c>
      <c r="L582" s="2" t="n">
        <v>4</v>
      </c>
      <c r="M582" s="1" t="s">
        <v>65</v>
      </c>
      <c r="N582" s="1" t="s">
        <v>105</v>
      </c>
      <c r="O582" s="5" t="n">
        <v>46179.9222222222</v>
      </c>
      <c r="P582" s="5" t="n">
        <v>46184.7791666667</v>
      </c>
      <c r="Q582" s="1" t="n">
        <v>48.4089</v>
      </c>
      <c r="R582" s="1" t="n">
        <v>-91.6317</v>
      </c>
      <c r="S582" s="1" t="s">
        <v>2405</v>
      </c>
      <c r="T582" s="1" t="n">
        <v>2026</v>
      </c>
      <c r="U582" s="1" t="n">
        <v>2026</v>
      </c>
      <c r="V582" s="5" t="n">
        <v>46212.8229166667</v>
      </c>
      <c r="W582" s="6" t="n">
        <v>46387.9999999884</v>
      </c>
    </row>
    <row r="583" customFormat="false" ht="12.75" hidden="false" customHeight="false" outlineLevel="0" collapsed="false">
      <c r="A583" s="1" t="s">
        <v>2406</v>
      </c>
      <c r="B583" s="1" t="n">
        <v>17452213</v>
      </c>
      <c r="C583" s="1" t="s">
        <v>1933</v>
      </c>
      <c r="D583" s="1" t="s">
        <v>1934</v>
      </c>
      <c r="E583" s="1" t="s">
        <v>2407</v>
      </c>
      <c r="F583" s="1" t="s">
        <v>2408</v>
      </c>
      <c r="G583" s="2" t="s">
        <v>28</v>
      </c>
      <c r="H583" s="1" t="n">
        <v>-1</v>
      </c>
      <c r="I583" s="1" t="n">
        <v>-1</v>
      </c>
      <c r="J583" s="1" t="n">
        <v>0</v>
      </c>
      <c r="K583" s="1" t="n">
        <v>-1</v>
      </c>
      <c r="L583" s="2" t="n">
        <v>5</v>
      </c>
      <c r="M583" s="1" t="s">
        <v>65</v>
      </c>
      <c r="N583" s="1" t="s">
        <v>105</v>
      </c>
      <c r="O583" s="5" t="n">
        <v>46212.5930555556</v>
      </c>
      <c r="P583" s="5" t="n">
        <v>46212.6076388889</v>
      </c>
      <c r="Q583" s="1" t="n">
        <v>52.2551</v>
      </c>
      <c r="R583" s="1" t="n">
        <v>-89.4972</v>
      </c>
      <c r="S583" s="1" t="s">
        <v>2409</v>
      </c>
      <c r="T583" s="1" t="n">
        <v>2026</v>
      </c>
      <c r="U583" s="1" t="n">
        <v>2026</v>
      </c>
      <c r="V583" s="5" t="n">
        <v>46212.65625</v>
      </c>
      <c r="W583" s="6" t="n">
        <v>46387.9999999884</v>
      </c>
    </row>
    <row r="584" customFormat="false" ht="12.75" hidden="false" customHeight="false" outlineLevel="0" collapsed="false">
      <c r="A584" s="1" t="s">
        <v>2410</v>
      </c>
      <c r="B584" s="1" t="n">
        <v>17450850</v>
      </c>
      <c r="C584" s="1" t="s">
        <v>1933</v>
      </c>
      <c r="D584" s="1" t="s">
        <v>1949</v>
      </c>
      <c r="E584" s="1" t="s">
        <v>2411</v>
      </c>
      <c r="F584" s="1" t="s">
        <v>2412</v>
      </c>
      <c r="G584" s="2" t="s">
        <v>28</v>
      </c>
      <c r="H584" s="1" t="n">
        <v>-1</v>
      </c>
      <c r="I584" s="1" t="n">
        <v>-1</v>
      </c>
      <c r="J584" s="1" t="n">
        <v>0</v>
      </c>
      <c r="K584" s="1" t="n">
        <v>-1</v>
      </c>
      <c r="L584" s="2" t="n">
        <v>1474.2</v>
      </c>
      <c r="M584" s="1" t="s">
        <v>29</v>
      </c>
      <c r="N584" s="1" t="s">
        <v>30</v>
      </c>
      <c r="O584" s="5" t="n">
        <v>46200.8986111111</v>
      </c>
      <c r="P584" s="5" t="n">
        <v>46212.5416666667</v>
      </c>
      <c r="Q584" s="1" t="n">
        <v>53.4417</v>
      </c>
      <c r="R584" s="1" t="n">
        <v>-88.5725</v>
      </c>
      <c r="S584" s="1" t="s">
        <v>2413</v>
      </c>
      <c r="T584" s="1" t="n">
        <v>2026</v>
      </c>
      <c r="U584" s="1" t="n">
        <v>2026</v>
      </c>
      <c r="V584" s="5" t="n">
        <v>46212.6145833333</v>
      </c>
      <c r="W584" s="6" t="n">
        <v>46387.9999999884</v>
      </c>
    </row>
    <row r="585" customFormat="false" ht="12.75" hidden="false" customHeight="false" outlineLevel="0" collapsed="false">
      <c r="A585" s="1" t="s">
        <v>2414</v>
      </c>
      <c r="B585" s="1" t="n">
        <v>17257246</v>
      </c>
      <c r="C585" s="1" t="s">
        <v>1933</v>
      </c>
      <c r="D585" s="1" t="s">
        <v>1934</v>
      </c>
      <c r="E585" s="1" t="s">
        <v>2415</v>
      </c>
      <c r="F585" s="1" t="s">
        <v>2416</v>
      </c>
      <c r="G585" s="2" t="s">
        <v>28</v>
      </c>
      <c r="H585" s="1" t="n">
        <v>-1</v>
      </c>
      <c r="I585" s="1" t="n">
        <v>-1</v>
      </c>
      <c r="J585" s="1" t="n">
        <v>0</v>
      </c>
      <c r="K585" s="1" t="n">
        <v>-1</v>
      </c>
      <c r="L585" s="2" t="n">
        <v>444</v>
      </c>
      <c r="M585" s="1" t="s">
        <v>70</v>
      </c>
      <c r="N585" s="1" t="s">
        <v>105</v>
      </c>
      <c r="O585" s="5" t="n">
        <v>46199.96875</v>
      </c>
      <c r="P585" s="5" t="n">
        <v>46213.9298611111</v>
      </c>
      <c r="Q585" s="1" t="n">
        <v>52.8105</v>
      </c>
      <c r="R585" s="1" t="n">
        <v>-89.247</v>
      </c>
      <c r="S585" s="1" t="s">
        <v>2417</v>
      </c>
      <c r="T585" s="1" t="n">
        <v>2026</v>
      </c>
      <c r="U585" s="1" t="n">
        <v>2026</v>
      </c>
      <c r="V585" s="5" t="n">
        <v>46209.90625</v>
      </c>
      <c r="W585" s="6" t="n">
        <v>46387.9999999884</v>
      </c>
    </row>
    <row r="586" customFormat="false" ht="12.75" hidden="false" customHeight="false" outlineLevel="0" collapsed="false">
      <c r="A586" s="1" t="s">
        <v>2418</v>
      </c>
      <c r="B586" s="1" t="n">
        <v>17175182</v>
      </c>
      <c r="C586" s="1" t="s">
        <v>1933</v>
      </c>
      <c r="D586" s="1" t="s">
        <v>2166</v>
      </c>
      <c r="E586" s="1" t="s">
        <v>2419</v>
      </c>
      <c r="F586" s="1" t="s">
        <v>2420</v>
      </c>
      <c r="G586" s="2" t="s">
        <v>28</v>
      </c>
      <c r="H586" s="1" t="n">
        <v>-1</v>
      </c>
      <c r="I586" s="1" t="n">
        <v>-1</v>
      </c>
      <c r="J586" s="1" t="n">
        <v>0</v>
      </c>
      <c r="K586" s="1" t="n">
        <v>-1</v>
      </c>
      <c r="L586" s="2" t="n">
        <v>39</v>
      </c>
      <c r="M586" s="1" t="s">
        <v>70</v>
      </c>
      <c r="N586" s="1" t="s">
        <v>105</v>
      </c>
      <c r="O586" s="5" t="n">
        <v>46202.7194444445</v>
      </c>
      <c r="P586" s="5" t="n">
        <v>46208.6354166667</v>
      </c>
      <c r="Q586" s="1" t="n">
        <v>55.8692</v>
      </c>
      <c r="R586" s="1" t="n">
        <v>-88.1817</v>
      </c>
      <c r="S586" s="1" t="s">
        <v>2421</v>
      </c>
      <c r="T586" s="1" t="n">
        <v>2026</v>
      </c>
      <c r="U586" s="1" t="n">
        <v>2026</v>
      </c>
      <c r="V586" s="5" t="n">
        <v>46208.78125</v>
      </c>
      <c r="W586" s="6" t="n">
        <v>46387.9999999884</v>
      </c>
    </row>
    <row r="587" customFormat="false" ht="12.75" hidden="false" customHeight="false" outlineLevel="0" collapsed="false">
      <c r="A587" s="1" t="s">
        <v>2422</v>
      </c>
      <c r="B587" s="1" t="n">
        <v>17118589</v>
      </c>
      <c r="C587" s="1" t="s">
        <v>1933</v>
      </c>
      <c r="D587" s="1" t="s">
        <v>1934</v>
      </c>
      <c r="E587" s="1" t="s">
        <v>2423</v>
      </c>
      <c r="F587" s="1" t="s">
        <v>2424</v>
      </c>
      <c r="G587" s="2" t="s">
        <v>28</v>
      </c>
      <c r="H587" s="1" t="n">
        <v>-1</v>
      </c>
      <c r="I587" s="1" t="n">
        <v>-1</v>
      </c>
      <c r="J587" s="1" t="n">
        <v>0</v>
      </c>
      <c r="K587" s="1" t="n">
        <v>-1</v>
      </c>
      <c r="L587" s="2" t="n">
        <v>153</v>
      </c>
      <c r="M587" s="1" t="s">
        <v>65</v>
      </c>
      <c r="N587" s="1" t="s">
        <v>105</v>
      </c>
      <c r="O587" s="5" t="n">
        <v>46200.9680555556</v>
      </c>
      <c r="P587" s="5" t="n">
        <v>46210.9361111111</v>
      </c>
      <c r="Q587" s="1" t="n">
        <v>52.8153</v>
      </c>
      <c r="R587" s="1" t="n">
        <v>-89.8587</v>
      </c>
      <c r="S587" s="1" t="s">
        <v>2425</v>
      </c>
      <c r="T587" s="1" t="n">
        <v>2026</v>
      </c>
      <c r="U587" s="1" t="n">
        <v>2026</v>
      </c>
      <c r="V587" s="5" t="n">
        <v>46207.9479166667</v>
      </c>
      <c r="W587" s="6" t="n">
        <v>46387.9999999884</v>
      </c>
    </row>
    <row r="588" customFormat="false" ht="12.75" hidden="false" customHeight="false" outlineLevel="0" collapsed="false">
      <c r="A588" s="1" t="s">
        <v>2426</v>
      </c>
      <c r="B588" s="1" t="n">
        <v>17118594</v>
      </c>
      <c r="C588" s="1" t="s">
        <v>1933</v>
      </c>
      <c r="D588" s="1" t="s">
        <v>1934</v>
      </c>
      <c r="E588" s="1" t="s">
        <v>2427</v>
      </c>
      <c r="F588" s="1" t="s">
        <v>2428</v>
      </c>
      <c r="G588" s="2" t="s">
        <v>28</v>
      </c>
      <c r="H588" s="1" t="n">
        <v>-1</v>
      </c>
      <c r="I588" s="1" t="n">
        <v>-1</v>
      </c>
      <c r="J588" s="1" t="n">
        <v>0</v>
      </c>
      <c r="K588" s="1" t="n">
        <v>-1</v>
      </c>
      <c r="L588" s="2" t="n">
        <v>17.5</v>
      </c>
      <c r="M588" s="1" t="s">
        <v>70</v>
      </c>
      <c r="N588" s="1" t="s">
        <v>105</v>
      </c>
      <c r="O588" s="5" t="n">
        <v>46201.0145833333</v>
      </c>
      <c r="P588" s="5" t="n">
        <v>46205.5895833333</v>
      </c>
      <c r="Q588" s="1" t="n">
        <v>53.3987</v>
      </c>
      <c r="R588" s="1" t="n">
        <v>-91.5087</v>
      </c>
      <c r="S588" s="1" t="s">
        <v>2429</v>
      </c>
      <c r="T588" s="1" t="n">
        <v>2026</v>
      </c>
      <c r="U588" s="1" t="n">
        <v>2026</v>
      </c>
      <c r="V588" s="5" t="n">
        <v>46207.9479166667</v>
      </c>
      <c r="W588" s="6" t="n">
        <v>46387.9999999884</v>
      </c>
    </row>
    <row r="589" customFormat="false" ht="12.75" hidden="false" customHeight="false" outlineLevel="0" collapsed="false">
      <c r="A589" s="1" t="s">
        <v>2430</v>
      </c>
      <c r="B589" s="1" t="n">
        <v>17118588</v>
      </c>
      <c r="C589" s="1" t="s">
        <v>1933</v>
      </c>
      <c r="D589" s="1" t="s">
        <v>1934</v>
      </c>
      <c r="E589" s="1" t="s">
        <v>2431</v>
      </c>
      <c r="F589" s="1" t="s">
        <v>2432</v>
      </c>
      <c r="G589" s="2" t="s">
        <v>28</v>
      </c>
      <c r="H589" s="1" t="n">
        <v>-1</v>
      </c>
      <c r="I589" s="1" t="n">
        <v>-1</v>
      </c>
      <c r="J589" s="1" t="n">
        <v>0</v>
      </c>
      <c r="K589" s="1" t="n">
        <v>-1</v>
      </c>
      <c r="L589" s="2" t="n">
        <v>82</v>
      </c>
      <c r="M589" s="1" t="s">
        <v>65</v>
      </c>
      <c r="N589" s="1" t="s">
        <v>105</v>
      </c>
      <c r="O589" s="5" t="n">
        <v>46200.9527777778</v>
      </c>
      <c r="P589" s="5" t="n">
        <v>46210.9354166667</v>
      </c>
      <c r="Q589" s="1" t="n">
        <v>53.0427</v>
      </c>
      <c r="R589" s="1" t="n">
        <v>-91.1869</v>
      </c>
      <c r="S589" s="1" t="s">
        <v>2433</v>
      </c>
      <c r="T589" s="1" t="n">
        <v>2026</v>
      </c>
      <c r="U589" s="1" t="n">
        <v>2026</v>
      </c>
      <c r="V589" s="5" t="n">
        <v>46207.9479166667</v>
      </c>
      <c r="W589" s="6" t="n">
        <v>46387.9999999884</v>
      </c>
    </row>
    <row r="590" customFormat="false" ht="12.75" hidden="false" customHeight="false" outlineLevel="0" collapsed="false">
      <c r="A590" s="1" t="s">
        <v>2434</v>
      </c>
      <c r="B590" s="1" t="n">
        <v>17118598</v>
      </c>
      <c r="C590" s="1" t="s">
        <v>1933</v>
      </c>
      <c r="D590" s="1" t="s">
        <v>1934</v>
      </c>
      <c r="E590" s="1" t="s">
        <v>2435</v>
      </c>
      <c r="F590" s="1" t="s">
        <v>2436</v>
      </c>
      <c r="G590" s="2" t="s">
        <v>28</v>
      </c>
      <c r="H590" s="1" t="n">
        <v>-1</v>
      </c>
      <c r="I590" s="1" t="n">
        <v>-1</v>
      </c>
      <c r="J590" s="1" t="n">
        <v>0</v>
      </c>
      <c r="K590" s="1" t="n">
        <v>-1</v>
      </c>
      <c r="L590" s="2" t="n">
        <v>125</v>
      </c>
      <c r="M590" s="1" t="s">
        <v>70</v>
      </c>
      <c r="N590" s="1" t="s">
        <v>105</v>
      </c>
      <c r="O590" s="5" t="n">
        <v>46201.7159722222</v>
      </c>
      <c r="P590" s="5" t="n">
        <v>46205.5902777778</v>
      </c>
      <c r="Q590" s="1" t="n">
        <v>53.6775</v>
      </c>
      <c r="R590" s="1" t="n">
        <v>-91.5216</v>
      </c>
      <c r="S590" s="1" t="s">
        <v>2437</v>
      </c>
      <c r="T590" s="1" t="n">
        <v>2026</v>
      </c>
      <c r="U590" s="1" t="n">
        <v>2026</v>
      </c>
      <c r="V590" s="5" t="n">
        <v>46207.9479166667</v>
      </c>
      <c r="W590" s="6" t="n">
        <v>46387.9999999884</v>
      </c>
    </row>
    <row r="591" customFormat="false" ht="12.75" hidden="false" customHeight="false" outlineLevel="0" collapsed="false">
      <c r="A591" s="1" t="s">
        <v>2438</v>
      </c>
      <c r="B591" s="1" t="n">
        <v>17118587</v>
      </c>
      <c r="C591" s="1" t="s">
        <v>1933</v>
      </c>
      <c r="D591" s="1" t="s">
        <v>1934</v>
      </c>
      <c r="E591" s="1" t="s">
        <v>2439</v>
      </c>
      <c r="F591" s="1" t="s">
        <v>2440</v>
      </c>
      <c r="G591" s="2" t="s">
        <v>28</v>
      </c>
      <c r="H591" s="1" t="n">
        <v>-1</v>
      </c>
      <c r="I591" s="1" t="n">
        <v>-1</v>
      </c>
      <c r="J591" s="1" t="n">
        <v>0</v>
      </c>
      <c r="K591" s="1" t="n">
        <v>-1</v>
      </c>
      <c r="L591" s="2" t="n">
        <v>10</v>
      </c>
      <c r="M591" s="1" t="s">
        <v>70</v>
      </c>
      <c r="N591" s="1" t="s">
        <v>105</v>
      </c>
      <c r="O591" s="5" t="n">
        <v>46200.9458333333</v>
      </c>
      <c r="P591" s="5" t="n">
        <v>46206.8506944444</v>
      </c>
      <c r="Q591" s="1" t="n">
        <v>51.8291</v>
      </c>
      <c r="R591" s="1" t="n">
        <v>-90.6424</v>
      </c>
      <c r="S591" s="1" t="s">
        <v>2441</v>
      </c>
      <c r="T591" s="1" t="n">
        <v>2026</v>
      </c>
      <c r="U591" s="1" t="n">
        <v>2026</v>
      </c>
      <c r="V591" s="5" t="n">
        <v>46207.9479166667</v>
      </c>
      <c r="W591" s="6" t="n">
        <v>46387.9999999884</v>
      </c>
    </row>
    <row r="592" customFormat="false" ht="12.75" hidden="false" customHeight="false" outlineLevel="0" collapsed="false">
      <c r="A592" s="1" t="s">
        <v>2442</v>
      </c>
      <c r="B592" s="1" t="n">
        <v>17112264</v>
      </c>
      <c r="C592" s="1" t="s">
        <v>1933</v>
      </c>
      <c r="D592" s="1" t="s">
        <v>2166</v>
      </c>
      <c r="E592" s="1" t="s">
        <v>2443</v>
      </c>
      <c r="F592" s="1" t="s">
        <v>2444</v>
      </c>
      <c r="G592" s="2" t="s">
        <v>28</v>
      </c>
      <c r="H592" s="1" t="n">
        <v>-1</v>
      </c>
      <c r="I592" s="1" t="n">
        <v>-1</v>
      </c>
      <c r="J592" s="1" t="n">
        <v>0</v>
      </c>
      <c r="K592" s="1" t="n">
        <v>-1</v>
      </c>
      <c r="L592" s="2" t="n">
        <v>42.4</v>
      </c>
      <c r="M592" s="1" t="s">
        <v>65</v>
      </c>
      <c r="N592" s="1" t="s">
        <v>105</v>
      </c>
      <c r="O592" s="5" t="n">
        <v>46205.6701388889</v>
      </c>
      <c r="P592" s="5" t="n">
        <v>46207.8048611111</v>
      </c>
      <c r="Q592" s="1" t="n">
        <v>55.6647</v>
      </c>
      <c r="R592" s="1" t="n">
        <v>-88.3265</v>
      </c>
      <c r="S592" s="1" t="s">
        <v>2445</v>
      </c>
      <c r="T592" s="1" t="n">
        <v>2026</v>
      </c>
      <c r="U592" s="1" t="n">
        <v>2026</v>
      </c>
      <c r="V592" s="5" t="n">
        <v>46207.8645833333</v>
      </c>
      <c r="W592" s="6" t="n">
        <v>46387.9999999884</v>
      </c>
    </row>
    <row r="593" customFormat="false" ht="12.75" hidden="false" customHeight="false" outlineLevel="0" collapsed="false">
      <c r="A593" s="1" t="s">
        <v>2446</v>
      </c>
      <c r="B593" s="1" t="n">
        <v>17112266</v>
      </c>
      <c r="C593" s="1" t="s">
        <v>1933</v>
      </c>
      <c r="D593" s="1" t="s">
        <v>2166</v>
      </c>
      <c r="E593" s="1" t="s">
        <v>2447</v>
      </c>
      <c r="F593" s="1" t="s">
        <v>2448</v>
      </c>
      <c r="G593" s="2" t="s">
        <v>28</v>
      </c>
      <c r="H593" s="1" t="n">
        <v>-1</v>
      </c>
      <c r="I593" s="1" t="n">
        <v>-1</v>
      </c>
      <c r="J593" s="1" t="n">
        <v>0</v>
      </c>
      <c r="K593" s="1" t="n">
        <v>-1</v>
      </c>
      <c r="L593" s="2" t="n">
        <v>5.1</v>
      </c>
      <c r="M593" s="1" t="s">
        <v>65</v>
      </c>
      <c r="N593" s="1" t="s">
        <v>105</v>
      </c>
      <c r="O593" s="5" t="n">
        <v>46205.6770833333</v>
      </c>
      <c r="P593" s="5" t="n">
        <v>46207.8090277778</v>
      </c>
      <c r="Q593" s="1" t="n">
        <v>55.1217</v>
      </c>
      <c r="R593" s="1" t="n">
        <v>-87.6341</v>
      </c>
      <c r="S593" s="1" t="s">
        <v>2449</v>
      </c>
      <c r="T593" s="1" t="n">
        <v>2026</v>
      </c>
      <c r="U593" s="1" t="n">
        <v>2026</v>
      </c>
      <c r="V593" s="5" t="n">
        <v>46207.8645833333</v>
      </c>
      <c r="W593" s="6" t="n">
        <v>46387.9999999884</v>
      </c>
    </row>
    <row r="594" customFormat="false" ht="12.75" hidden="false" customHeight="false" outlineLevel="0" collapsed="false">
      <c r="A594" s="1" t="s">
        <v>2450</v>
      </c>
      <c r="B594" s="1" t="n">
        <v>17112262</v>
      </c>
      <c r="C594" s="1" t="s">
        <v>1933</v>
      </c>
      <c r="D594" s="1" t="s">
        <v>2166</v>
      </c>
      <c r="E594" s="1" t="s">
        <v>2451</v>
      </c>
      <c r="F594" s="1" t="s">
        <v>2452</v>
      </c>
      <c r="G594" s="2" t="s">
        <v>28</v>
      </c>
      <c r="H594" s="1" t="n">
        <v>-1</v>
      </c>
      <c r="I594" s="1" t="n">
        <v>-1</v>
      </c>
      <c r="J594" s="1" t="n">
        <v>0</v>
      </c>
      <c r="K594" s="1" t="n">
        <v>-1</v>
      </c>
      <c r="L594" s="2" t="n">
        <v>342</v>
      </c>
      <c r="M594" s="1" t="s">
        <v>65</v>
      </c>
      <c r="N594" s="1" t="s">
        <v>105</v>
      </c>
      <c r="O594" s="5" t="n">
        <v>46202.6666666667</v>
      </c>
      <c r="P594" s="5" t="n">
        <v>46207.7993055556</v>
      </c>
      <c r="Q594" s="1" t="n">
        <v>54.0401</v>
      </c>
      <c r="R594" s="1" t="n">
        <v>-88.8409</v>
      </c>
      <c r="S594" s="1" t="s">
        <v>2453</v>
      </c>
      <c r="T594" s="1" t="n">
        <v>2026</v>
      </c>
      <c r="U594" s="1" t="n">
        <v>2026</v>
      </c>
      <c r="V594" s="5" t="n">
        <v>46207.8645833333</v>
      </c>
      <c r="W594" s="6" t="n">
        <v>46387.9999999884</v>
      </c>
    </row>
    <row r="595" customFormat="false" ht="12.75" hidden="false" customHeight="false" outlineLevel="0" collapsed="false">
      <c r="A595" s="1" t="s">
        <v>2454</v>
      </c>
      <c r="B595" s="1" t="n">
        <v>17112265</v>
      </c>
      <c r="C595" s="1" t="s">
        <v>1933</v>
      </c>
      <c r="D595" s="1" t="s">
        <v>2166</v>
      </c>
      <c r="E595" s="1" t="s">
        <v>2455</v>
      </c>
      <c r="F595" s="1" t="s">
        <v>2456</v>
      </c>
      <c r="G595" s="2" t="s">
        <v>28</v>
      </c>
      <c r="H595" s="1" t="n">
        <v>-1</v>
      </c>
      <c r="I595" s="1" t="n">
        <v>-1</v>
      </c>
      <c r="J595" s="1" t="n">
        <v>0</v>
      </c>
      <c r="K595" s="1" t="n">
        <v>-1</v>
      </c>
      <c r="L595" s="2" t="n">
        <v>1584.2</v>
      </c>
      <c r="M595" s="1" t="s">
        <v>65</v>
      </c>
      <c r="N595" s="1" t="s">
        <v>105</v>
      </c>
      <c r="O595" s="5" t="n">
        <v>46205.6736111111</v>
      </c>
      <c r="P595" s="5" t="n">
        <v>46207.8076388889</v>
      </c>
      <c r="Q595" s="1" t="n">
        <v>55.1299</v>
      </c>
      <c r="R595" s="1" t="n">
        <v>-87.7281</v>
      </c>
      <c r="S595" s="1" t="s">
        <v>2457</v>
      </c>
      <c r="T595" s="1" t="n">
        <v>2026</v>
      </c>
      <c r="U595" s="1" t="n">
        <v>2026</v>
      </c>
      <c r="V595" s="5" t="n">
        <v>46207.8645833333</v>
      </c>
      <c r="W595" s="6" t="n">
        <v>46387.9999999884</v>
      </c>
    </row>
    <row r="596" customFormat="false" ht="12.75" hidden="false" customHeight="false" outlineLevel="0" collapsed="false">
      <c r="A596" s="1" t="s">
        <v>2458</v>
      </c>
      <c r="B596" s="1" t="n">
        <v>17112263</v>
      </c>
      <c r="C596" s="1" t="s">
        <v>1933</v>
      </c>
      <c r="D596" s="1" t="s">
        <v>2166</v>
      </c>
      <c r="E596" s="1" t="s">
        <v>2459</v>
      </c>
      <c r="F596" s="1" t="s">
        <v>2460</v>
      </c>
      <c r="G596" s="2" t="s">
        <v>28</v>
      </c>
      <c r="H596" s="1" t="n">
        <v>-1</v>
      </c>
      <c r="I596" s="1" t="n">
        <v>-1</v>
      </c>
      <c r="J596" s="1" t="n">
        <v>0</v>
      </c>
      <c r="K596" s="1" t="n">
        <v>-1</v>
      </c>
      <c r="L596" s="2" t="n">
        <v>763</v>
      </c>
      <c r="M596" s="1" t="s">
        <v>65</v>
      </c>
      <c r="N596" s="1" t="s">
        <v>105</v>
      </c>
      <c r="O596" s="5" t="n">
        <v>46205.6666666667</v>
      </c>
      <c r="P596" s="5" t="n">
        <v>46207.8034722222</v>
      </c>
      <c r="Q596" s="1" t="n">
        <v>54.7445</v>
      </c>
      <c r="R596" s="1" t="n">
        <v>-88.5433</v>
      </c>
      <c r="S596" s="1" t="s">
        <v>2461</v>
      </c>
      <c r="T596" s="1" t="n">
        <v>2026</v>
      </c>
      <c r="U596" s="1" t="n">
        <v>2026</v>
      </c>
      <c r="V596" s="5" t="n">
        <v>46207.8645833333</v>
      </c>
      <c r="W596" s="6" t="n">
        <v>46387.9999999884</v>
      </c>
    </row>
    <row r="597" customFormat="false" ht="12.75" hidden="false" customHeight="false" outlineLevel="0" collapsed="false">
      <c r="A597" s="1" t="s">
        <v>2462</v>
      </c>
      <c r="B597" s="1" t="n">
        <v>17102805</v>
      </c>
      <c r="C597" s="1" t="s">
        <v>1933</v>
      </c>
      <c r="D597" s="1" t="s">
        <v>1934</v>
      </c>
      <c r="E597" s="1" t="s">
        <v>2463</v>
      </c>
      <c r="F597" s="1" t="s">
        <v>2464</v>
      </c>
      <c r="G597" s="2" t="s">
        <v>28</v>
      </c>
      <c r="H597" s="1" t="n">
        <v>-1</v>
      </c>
      <c r="I597" s="1" t="n">
        <v>-1</v>
      </c>
      <c r="J597" s="1" t="n">
        <v>0</v>
      </c>
      <c r="K597" s="1" t="n">
        <v>-1</v>
      </c>
      <c r="L597" s="2" t="n">
        <v>134.5</v>
      </c>
      <c r="M597" s="1" t="s">
        <v>65</v>
      </c>
      <c r="N597" s="1" t="s">
        <v>105</v>
      </c>
      <c r="O597" s="5" t="n">
        <v>46200.9416666667</v>
      </c>
      <c r="P597" s="5" t="n">
        <v>46207.6923611111</v>
      </c>
      <c r="Q597" s="1" t="n">
        <v>53.167</v>
      </c>
      <c r="R597" s="1" t="n">
        <v>-90.462</v>
      </c>
      <c r="S597" s="1" t="s">
        <v>2465</v>
      </c>
      <c r="T597" s="1" t="n">
        <v>2026</v>
      </c>
      <c r="U597" s="1" t="n">
        <v>2026</v>
      </c>
      <c r="V597" s="5" t="n">
        <v>46207.7395833333</v>
      </c>
      <c r="W597" s="6" t="n">
        <v>46387.9999999884</v>
      </c>
    </row>
    <row r="598" customFormat="false" ht="12.75" hidden="false" customHeight="false" outlineLevel="0" collapsed="false">
      <c r="A598" s="1" t="s">
        <v>2466</v>
      </c>
      <c r="B598" s="1" t="n">
        <v>16983705</v>
      </c>
      <c r="C598" s="1" t="s">
        <v>1933</v>
      </c>
      <c r="D598" s="1" t="s">
        <v>1962</v>
      </c>
      <c r="E598" s="1" t="s">
        <v>2467</v>
      </c>
      <c r="F598" s="1" t="s">
        <v>2468</v>
      </c>
      <c r="G598" s="2" t="s">
        <v>28</v>
      </c>
      <c r="H598" s="1" t="n">
        <v>-1</v>
      </c>
      <c r="I598" s="1" t="n">
        <v>-1</v>
      </c>
      <c r="J598" s="1" t="n">
        <v>0</v>
      </c>
      <c r="K598" s="1" t="n">
        <v>-1</v>
      </c>
      <c r="L598" s="2" t="n">
        <v>591</v>
      </c>
      <c r="M598" s="1" t="s">
        <v>70</v>
      </c>
      <c r="N598" s="1" t="s">
        <v>105</v>
      </c>
      <c r="O598" s="5" t="n">
        <v>46200.7111111111</v>
      </c>
      <c r="P598" s="5" t="n">
        <v>46203.5416666667</v>
      </c>
      <c r="Q598" s="1" t="n">
        <v>53.6585</v>
      </c>
      <c r="R598" s="1" t="n">
        <v>-93.2488</v>
      </c>
      <c r="S598" s="1" t="s">
        <v>2469</v>
      </c>
      <c r="T598" s="1" t="n">
        <v>2026</v>
      </c>
      <c r="U598" s="1" t="n">
        <v>2026</v>
      </c>
      <c r="V598" s="5" t="n">
        <v>46206.03125</v>
      </c>
      <c r="W598" s="6" t="n">
        <v>46387.9999999884</v>
      </c>
    </row>
    <row r="599" customFormat="false" ht="12.75" hidden="false" customHeight="false" outlineLevel="0" collapsed="false">
      <c r="A599" s="1" t="s">
        <v>2470</v>
      </c>
      <c r="B599" s="1" t="n">
        <v>16956928</v>
      </c>
      <c r="C599" s="1" t="s">
        <v>1933</v>
      </c>
      <c r="D599" s="1" t="s">
        <v>1934</v>
      </c>
      <c r="E599" s="1" t="s">
        <v>2471</v>
      </c>
      <c r="F599" s="1" t="s">
        <v>2472</v>
      </c>
      <c r="G599" s="2" t="s">
        <v>28</v>
      </c>
      <c r="H599" s="1" t="n">
        <v>-1</v>
      </c>
      <c r="I599" s="1" t="n">
        <v>-1</v>
      </c>
      <c r="J599" s="1" t="n">
        <v>0</v>
      </c>
      <c r="K599" s="1" t="n">
        <v>-1</v>
      </c>
      <c r="L599" s="2" t="n">
        <v>0.6</v>
      </c>
      <c r="M599" s="1" t="s">
        <v>65</v>
      </c>
      <c r="N599" s="1" t="s">
        <v>105</v>
      </c>
      <c r="O599" s="5" t="n">
        <v>46201.7194444445</v>
      </c>
      <c r="P599" s="5" t="n">
        <v>46205.5909722222</v>
      </c>
      <c r="Q599" s="1" t="n">
        <v>53.6033</v>
      </c>
      <c r="R599" s="1" t="n">
        <v>-91.6315</v>
      </c>
      <c r="S599" s="1" t="s">
        <v>2473</v>
      </c>
      <c r="T599" s="1" t="n">
        <v>2026</v>
      </c>
      <c r="U599" s="1" t="n">
        <v>2026</v>
      </c>
      <c r="V599" s="5" t="n">
        <v>46205.65625</v>
      </c>
      <c r="W599" s="6" t="n">
        <v>46387.9999999884</v>
      </c>
    </row>
    <row r="600" customFormat="false" ht="12.75" hidden="false" customHeight="false" outlineLevel="0" collapsed="false">
      <c r="A600" s="1" t="s">
        <v>2474</v>
      </c>
      <c r="B600" s="1" t="n">
        <v>16956932</v>
      </c>
      <c r="C600" s="1" t="s">
        <v>1933</v>
      </c>
      <c r="D600" s="1" t="s">
        <v>1934</v>
      </c>
      <c r="E600" s="1" t="s">
        <v>2475</v>
      </c>
      <c r="F600" s="1" t="s">
        <v>2476</v>
      </c>
      <c r="G600" s="2" t="s">
        <v>28</v>
      </c>
      <c r="H600" s="1" t="n">
        <v>-1</v>
      </c>
      <c r="I600" s="1" t="n">
        <v>-1</v>
      </c>
      <c r="J600" s="1" t="n">
        <v>0</v>
      </c>
      <c r="K600" s="1" t="n">
        <v>-1</v>
      </c>
      <c r="L600" s="2" t="n">
        <v>5.3</v>
      </c>
      <c r="M600" s="1" t="s">
        <v>65</v>
      </c>
      <c r="N600" s="1" t="s">
        <v>105</v>
      </c>
      <c r="O600" s="5" t="n">
        <v>46202.6680555556</v>
      </c>
      <c r="P600" s="5" t="n">
        <v>46205.5909722222</v>
      </c>
      <c r="Q600" s="1" t="n">
        <v>53.6577</v>
      </c>
      <c r="R600" s="1" t="n">
        <v>-91.4496</v>
      </c>
      <c r="S600" s="1" t="s">
        <v>2477</v>
      </c>
      <c r="T600" s="1" t="n">
        <v>2026</v>
      </c>
      <c r="U600" s="1" t="n">
        <v>2026</v>
      </c>
      <c r="V600" s="5" t="n">
        <v>46205.65625</v>
      </c>
      <c r="W600" s="6" t="n">
        <v>46387.9999999884</v>
      </c>
    </row>
    <row r="601" customFormat="false" ht="12.75" hidden="false" customHeight="false" outlineLevel="0" collapsed="false">
      <c r="A601" s="1" t="s">
        <v>2478</v>
      </c>
      <c r="B601" s="1" t="n">
        <v>16894792</v>
      </c>
      <c r="C601" s="1" t="s">
        <v>1933</v>
      </c>
      <c r="D601" s="1" t="s">
        <v>1949</v>
      </c>
      <c r="E601" s="1" t="s">
        <v>2479</v>
      </c>
      <c r="F601" s="1" t="s">
        <v>2480</v>
      </c>
      <c r="G601" s="2" t="s">
        <v>28</v>
      </c>
      <c r="H601" s="1" t="n">
        <v>-1</v>
      </c>
      <c r="I601" s="1" t="n">
        <v>-1</v>
      </c>
      <c r="J601" s="1" t="n">
        <v>0</v>
      </c>
      <c r="K601" s="1" t="n">
        <v>-1</v>
      </c>
      <c r="L601" s="2" t="n">
        <v>5</v>
      </c>
      <c r="M601" s="1" t="s">
        <v>65</v>
      </c>
      <c r="N601" s="1" t="s">
        <v>105</v>
      </c>
      <c r="O601" s="5" t="n">
        <v>46204.6763888889</v>
      </c>
      <c r="P601" s="5" t="n">
        <v>46204.7083333333</v>
      </c>
      <c r="Q601" s="1" t="n">
        <v>52.7949</v>
      </c>
      <c r="R601" s="1" t="n">
        <v>-86.5468</v>
      </c>
      <c r="S601" s="1" t="s">
        <v>2481</v>
      </c>
      <c r="T601" s="1" t="n">
        <v>2026</v>
      </c>
      <c r="U601" s="1" t="n">
        <v>2026</v>
      </c>
      <c r="V601" s="5" t="n">
        <v>46204.78125</v>
      </c>
      <c r="W601" s="6" t="n">
        <v>46387.9999999884</v>
      </c>
    </row>
    <row r="602" customFormat="false" ht="12.75" hidden="false" customHeight="false" outlineLevel="0" collapsed="false">
      <c r="A602" s="1" t="s">
        <v>2482</v>
      </c>
      <c r="B602" s="1" t="n">
        <v>16843340</v>
      </c>
      <c r="C602" s="1" t="s">
        <v>1933</v>
      </c>
      <c r="D602" s="1" t="s">
        <v>1934</v>
      </c>
      <c r="E602" s="1" t="s">
        <v>2483</v>
      </c>
      <c r="F602" s="1" t="s">
        <v>2484</v>
      </c>
      <c r="G602" s="2" t="s">
        <v>28</v>
      </c>
      <c r="H602" s="1" t="n">
        <v>-1</v>
      </c>
      <c r="I602" s="1" t="n">
        <v>-1</v>
      </c>
      <c r="J602" s="1" t="n">
        <v>0</v>
      </c>
      <c r="K602" s="1" t="n">
        <v>-1</v>
      </c>
      <c r="L602" s="2" t="n">
        <v>43</v>
      </c>
      <c r="M602" s="1" t="s">
        <v>65</v>
      </c>
      <c r="N602" s="1" t="s">
        <v>105</v>
      </c>
      <c r="O602" s="5" t="n">
        <v>46203.9472222222</v>
      </c>
      <c r="P602" s="5" t="n">
        <v>46203.9541666667</v>
      </c>
      <c r="Q602" s="1" t="n">
        <v>52.0886</v>
      </c>
      <c r="R602" s="1" t="n">
        <v>-89.504</v>
      </c>
      <c r="S602" s="1" t="s">
        <v>2485</v>
      </c>
      <c r="T602" s="1" t="n">
        <v>2026</v>
      </c>
      <c r="U602" s="1" t="n">
        <v>2026</v>
      </c>
      <c r="V602" s="5" t="n">
        <v>46203.9895833333</v>
      </c>
      <c r="W602" s="6" t="n">
        <v>46387.9999999884</v>
      </c>
    </row>
    <row r="603" customFormat="false" ht="12.75" hidden="false" customHeight="false" outlineLevel="0" collapsed="false">
      <c r="A603" s="1" t="s">
        <v>2486</v>
      </c>
      <c r="B603" s="1" t="n">
        <v>16837457</v>
      </c>
      <c r="C603" s="1" t="s">
        <v>1933</v>
      </c>
      <c r="D603" s="1" t="s">
        <v>1934</v>
      </c>
      <c r="E603" s="1" t="s">
        <v>2487</v>
      </c>
      <c r="F603" s="1" t="s">
        <v>2488</v>
      </c>
      <c r="G603" s="2" t="s">
        <v>28</v>
      </c>
      <c r="H603" s="1" t="n">
        <v>-1</v>
      </c>
      <c r="I603" s="1" t="n">
        <v>-1</v>
      </c>
      <c r="J603" s="1" t="n">
        <v>0</v>
      </c>
      <c r="K603" s="1" t="n">
        <v>-1</v>
      </c>
      <c r="L603" s="2" t="n">
        <v>15</v>
      </c>
      <c r="M603" s="1" t="s">
        <v>65</v>
      </c>
      <c r="N603" s="1" t="s">
        <v>105</v>
      </c>
      <c r="O603" s="5" t="n">
        <v>46201.9895833333</v>
      </c>
      <c r="P603" s="5" t="n">
        <v>46203.8763888889</v>
      </c>
      <c r="Q603" s="1" t="n">
        <v>52.4804</v>
      </c>
      <c r="R603" s="1" t="n">
        <v>-89.6808</v>
      </c>
      <c r="S603" s="1" t="s">
        <v>2489</v>
      </c>
      <c r="T603" s="1" t="n">
        <v>2026</v>
      </c>
      <c r="U603" s="1" t="n">
        <v>2026</v>
      </c>
      <c r="V603" s="5" t="n">
        <v>46203.90625</v>
      </c>
      <c r="W603" s="6" t="n">
        <v>46387.9999999884</v>
      </c>
    </row>
    <row r="604" customFormat="false" ht="12.75" hidden="false" customHeight="false" outlineLevel="0" collapsed="false">
      <c r="A604" s="1" t="s">
        <v>2490</v>
      </c>
      <c r="B604" s="1" t="n">
        <v>16821775</v>
      </c>
      <c r="C604" s="1" t="s">
        <v>1933</v>
      </c>
      <c r="D604" s="1" t="s">
        <v>1934</v>
      </c>
      <c r="E604" s="1" t="s">
        <v>2491</v>
      </c>
      <c r="F604" s="1" t="s">
        <v>2492</v>
      </c>
      <c r="G604" s="2" t="s">
        <v>28</v>
      </c>
      <c r="H604" s="1" t="n">
        <v>-1</v>
      </c>
      <c r="I604" s="1" t="n">
        <v>-1</v>
      </c>
      <c r="J604" s="1" t="n">
        <v>0</v>
      </c>
      <c r="K604" s="1" t="n">
        <v>-1</v>
      </c>
      <c r="L604" s="2" t="n">
        <v>813</v>
      </c>
      <c r="M604" s="1" t="s">
        <v>65</v>
      </c>
      <c r="N604" s="1" t="s">
        <v>105</v>
      </c>
      <c r="O604" s="5" t="n">
        <v>46203.0395833333</v>
      </c>
      <c r="P604" s="5" t="n">
        <v>46203.0402777778</v>
      </c>
      <c r="Q604" s="1" t="n">
        <v>54.3079</v>
      </c>
      <c r="R604" s="1" t="n">
        <v>-91.6266</v>
      </c>
      <c r="S604" s="1" t="s">
        <v>2493</v>
      </c>
      <c r="T604" s="1" t="n">
        <v>2026</v>
      </c>
      <c r="U604" s="1" t="n">
        <v>2026</v>
      </c>
      <c r="V604" s="5" t="n">
        <v>46203.65625</v>
      </c>
      <c r="W604" s="6" t="n">
        <v>46387.9999999884</v>
      </c>
    </row>
    <row r="605" customFormat="false" ht="12.75" hidden="false" customHeight="false" outlineLevel="0" collapsed="false">
      <c r="A605" s="1" t="s">
        <v>2494</v>
      </c>
      <c r="B605" s="1" t="n">
        <v>16821724</v>
      </c>
      <c r="C605" s="1" t="s">
        <v>1933</v>
      </c>
      <c r="D605" s="1" t="s">
        <v>1962</v>
      </c>
      <c r="E605" s="1" t="s">
        <v>2495</v>
      </c>
      <c r="F605" s="1" t="s">
        <v>2496</v>
      </c>
      <c r="G605" s="2" t="s">
        <v>28</v>
      </c>
      <c r="H605" s="1" t="n">
        <v>-1</v>
      </c>
      <c r="I605" s="1" t="n">
        <v>-1</v>
      </c>
      <c r="J605" s="1" t="n">
        <v>0</v>
      </c>
      <c r="K605" s="1" t="n">
        <v>-1</v>
      </c>
      <c r="L605" s="2" t="n">
        <v>40</v>
      </c>
      <c r="M605" s="1" t="s">
        <v>70</v>
      </c>
      <c r="N605" s="1" t="s">
        <v>105</v>
      </c>
      <c r="O605" s="5" t="n">
        <v>46200.7409722222</v>
      </c>
      <c r="P605" s="5" t="n">
        <v>46203.5416666667</v>
      </c>
      <c r="Q605" s="1" t="n">
        <v>54.0629</v>
      </c>
      <c r="R605" s="1" t="n">
        <v>-92.7471</v>
      </c>
      <c r="S605" s="1" t="s">
        <v>2497</v>
      </c>
      <c r="T605" s="1" t="n">
        <v>2026</v>
      </c>
      <c r="U605" s="1" t="n">
        <v>2026</v>
      </c>
      <c r="V605" s="5" t="n">
        <v>46203.65625</v>
      </c>
      <c r="W605" s="6" t="n">
        <v>46387.9999999884</v>
      </c>
    </row>
    <row r="606" customFormat="false" ht="12.75" hidden="false" customHeight="false" outlineLevel="0" collapsed="false">
      <c r="A606" s="1" t="s">
        <v>2498</v>
      </c>
      <c r="B606" s="1" t="n">
        <v>16821723</v>
      </c>
      <c r="C606" s="1" t="s">
        <v>1933</v>
      </c>
      <c r="D606" s="1" t="s">
        <v>1962</v>
      </c>
      <c r="E606" s="1" t="s">
        <v>2499</v>
      </c>
      <c r="F606" s="1" t="s">
        <v>2500</v>
      </c>
      <c r="G606" s="2" t="s">
        <v>28</v>
      </c>
      <c r="H606" s="1" t="n">
        <v>-1</v>
      </c>
      <c r="I606" s="1" t="n">
        <v>-1</v>
      </c>
      <c r="J606" s="1" t="n">
        <v>0</v>
      </c>
      <c r="K606" s="1" t="n">
        <v>-1</v>
      </c>
      <c r="L606" s="2" t="n">
        <v>15</v>
      </c>
      <c r="M606" s="1" t="s">
        <v>70</v>
      </c>
      <c r="N606" s="1" t="s">
        <v>105</v>
      </c>
      <c r="O606" s="5" t="n">
        <v>46200.7152777778</v>
      </c>
      <c r="P606" s="5" t="n">
        <v>46203.5416666667</v>
      </c>
      <c r="Q606" s="1" t="n">
        <v>53.9823</v>
      </c>
      <c r="R606" s="1" t="n">
        <v>-92.9305</v>
      </c>
      <c r="S606" s="1" t="s">
        <v>2501</v>
      </c>
      <c r="T606" s="1" t="n">
        <v>2026</v>
      </c>
      <c r="U606" s="1" t="n">
        <v>2026</v>
      </c>
      <c r="V606" s="5" t="n">
        <v>46203.65625</v>
      </c>
      <c r="W606" s="6" t="n">
        <v>46387.9999999884</v>
      </c>
    </row>
    <row r="607" customFormat="false" ht="12.75" hidden="false" customHeight="false" outlineLevel="0" collapsed="false">
      <c r="A607" s="1" t="s">
        <v>2502</v>
      </c>
      <c r="B607" s="1" t="n">
        <v>16821726</v>
      </c>
      <c r="C607" s="1" t="s">
        <v>1933</v>
      </c>
      <c r="D607" s="1" t="s">
        <v>1962</v>
      </c>
      <c r="E607" s="1" t="s">
        <v>2503</v>
      </c>
      <c r="F607" s="1" t="s">
        <v>2504</v>
      </c>
      <c r="G607" s="2" t="s">
        <v>28</v>
      </c>
      <c r="H607" s="1" t="n">
        <v>-1</v>
      </c>
      <c r="I607" s="1" t="n">
        <v>-1</v>
      </c>
      <c r="J607" s="1" t="n">
        <v>0</v>
      </c>
      <c r="K607" s="1" t="n">
        <v>-1</v>
      </c>
      <c r="L607" s="2" t="n">
        <v>10</v>
      </c>
      <c r="M607" s="1" t="s">
        <v>70</v>
      </c>
      <c r="N607" s="1" t="s">
        <v>105</v>
      </c>
      <c r="O607" s="5" t="n">
        <v>46201.6909722222</v>
      </c>
      <c r="P607" s="5" t="n">
        <v>46203.5416666667</v>
      </c>
      <c r="Q607" s="1" t="n">
        <v>53.6763</v>
      </c>
      <c r="R607" s="1" t="n">
        <v>-92.6737</v>
      </c>
      <c r="S607" s="1" t="s">
        <v>2505</v>
      </c>
      <c r="T607" s="1" t="n">
        <v>2026</v>
      </c>
      <c r="U607" s="1" t="n">
        <v>2026</v>
      </c>
      <c r="V607" s="5" t="n">
        <v>46203.65625</v>
      </c>
      <c r="W607" s="6" t="n">
        <v>46387.9999999884</v>
      </c>
    </row>
    <row r="608" customFormat="false" ht="12.75" hidden="false" customHeight="false" outlineLevel="0" collapsed="false">
      <c r="A608" s="1" t="s">
        <v>2506</v>
      </c>
      <c r="B608" s="1" t="n">
        <v>16821774</v>
      </c>
      <c r="C608" s="1" t="s">
        <v>1933</v>
      </c>
      <c r="D608" s="1" t="s">
        <v>1934</v>
      </c>
      <c r="E608" s="1" t="s">
        <v>2507</v>
      </c>
      <c r="F608" s="1" t="s">
        <v>2508</v>
      </c>
      <c r="G608" s="2" t="s">
        <v>28</v>
      </c>
      <c r="H608" s="1" t="n">
        <v>-1</v>
      </c>
      <c r="I608" s="1" t="n">
        <v>-1</v>
      </c>
      <c r="J608" s="1" t="n">
        <v>0</v>
      </c>
      <c r="K608" s="1" t="n">
        <v>-1</v>
      </c>
      <c r="L608" s="2" t="n">
        <v>38</v>
      </c>
      <c r="M608" s="1" t="s">
        <v>65</v>
      </c>
      <c r="N608" s="1" t="s">
        <v>105</v>
      </c>
      <c r="O608" s="5" t="n">
        <v>46203.0388888889</v>
      </c>
      <c r="P608" s="5" t="n">
        <v>46203.0395833333</v>
      </c>
      <c r="Q608" s="1" t="n">
        <v>54.4481</v>
      </c>
      <c r="R608" s="1" t="n">
        <v>-91.6189</v>
      </c>
      <c r="S608" s="1" t="s">
        <v>2509</v>
      </c>
      <c r="T608" s="1" t="n">
        <v>2026</v>
      </c>
      <c r="U608" s="1" t="n">
        <v>2026</v>
      </c>
      <c r="V608" s="5" t="n">
        <v>46203.65625</v>
      </c>
      <c r="W608" s="6" t="n">
        <v>46387.9999999884</v>
      </c>
    </row>
    <row r="609" customFormat="false" ht="12.75" hidden="false" customHeight="false" outlineLevel="0" collapsed="false">
      <c r="A609" s="1" t="s">
        <v>2510</v>
      </c>
      <c r="B609" s="1" t="n">
        <v>16821773</v>
      </c>
      <c r="C609" s="1" t="s">
        <v>1933</v>
      </c>
      <c r="D609" s="1" t="s">
        <v>1934</v>
      </c>
      <c r="E609" s="1" t="s">
        <v>2511</v>
      </c>
      <c r="F609" s="1" t="s">
        <v>2512</v>
      </c>
      <c r="G609" s="2" t="s">
        <v>28</v>
      </c>
      <c r="H609" s="1" t="n">
        <v>-1</v>
      </c>
      <c r="I609" s="1" t="n">
        <v>-1</v>
      </c>
      <c r="J609" s="1" t="n">
        <v>0</v>
      </c>
      <c r="K609" s="1" t="n">
        <v>-1</v>
      </c>
      <c r="L609" s="2" t="n">
        <v>27</v>
      </c>
      <c r="M609" s="1" t="s">
        <v>65</v>
      </c>
      <c r="N609" s="1" t="s">
        <v>105</v>
      </c>
      <c r="O609" s="5" t="n">
        <v>46203.0381944444</v>
      </c>
      <c r="P609" s="5" t="n">
        <v>46203.0388888889</v>
      </c>
      <c r="Q609" s="1" t="n">
        <v>54.7461</v>
      </c>
      <c r="R609" s="1" t="n">
        <v>-91.8433</v>
      </c>
      <c r="S609" s="1" t="s">
        <v>2513</v>
      </c>
      <c r="T609" s="1" t="n">
        <v>2026</v>
      </c>
      <c r="U609" s="1" t="n">
        <v>2026</v>
      </c>
      <c r="V609" s="5" t="n">
        <v>46203.65625</v>
      </c>
      <c r="W609" s="6" t="n">
        <v>46387.9999999884</v>
      </c>
    </row>
    <row r="610" customFormat="false" ht="12.75" hidden="false" customHeight="false" outlineLevel="0" collapsed="false">
      <c r="A610" s="1" t="s">
        <v>2514</v>
      </c>
      <c r="B610" s="1" t="n">
        <v>16821772</v>
      </c>
      <c r="C610" s="1" t="s">
        <v>1933</v>
      </c>
      <c r="D610" s="1" t="s">
        <v>1934</v>
      </c>
      <c r="E610" s="1" t="s">
        <v>2515</v>
      </c>
      <c r="F610" s="1" t="s">
        <v>2516</v>
      </c>
      <c r="G610" s="2" t="s">
        <v>28</v>
      </c>
      <c r="H610" s="1" t="n">
        <v>-1</v>
      </c>
      <c r="I610" s="1" t="n">
        <v>-1</v>
      </c>
      <c r="J610" s="1" t="n">
        <v>0</v>
      </c>
      <c r="K610" s="1" t="n">
        <v>-1</v>
      </c>
      <c r="L610" s="2" t="n">
        <v>442</v>
      </c>
      <c r="M610" s="1" t="s">
        <v>65</v>
      </c>
      <c r="N610" s="1" t="s">
        <v>105</v>
      </c>
      <c r="O610" s="5" t="n">
        <v>46203.0375</v>
      </c>
      <c r="P610" s="5" t="n">
        <v>46203.0388888889</v>
      </c>
      <c r="Q610" s="1" t="n">
        <v>54.8907</v>
      </c>
      <c r="R610" s="1" t="n">
        <v>-92.0356</v>
      </c>
      <c r="S610" s="1" t="s">
        <v>2517</v>
      </c>
      <c r="T610" s="1" t="n">
        <v>2026</v>
      </c>
      <c r="U610" s="1" t="n">
        <v>2026</v>
      </c>
      <c r="V610" s="5" t="n">
        <v>46203.65625</v>
      </c>
      <c r="W610" s="6" t="n">
        <v>46387.9999999884</v>
      </c>
    </row>
    <row r="611" customFormat="false" ht="12.75" hidden="false" customHeight="false" outlineLevel="0" collapsed="false">
      <c r="A611" s="1" t="s">
        <v>2518</v>
      </c>
      <c r="B611" s="1" t="n">
        <v>16821778</v>
      </c>
      <c r="C611" s="1" t="s">
        <v>1933</v>
      </c>
      <c r="D611" s="1" t="s">
        <v>1934</v>
      </c>
      <c r="E611" s="1" t="s">
        <v>2519</v>
      </c>
      <c r="F611" s="1" t="s">
        <v>2520</v>
      </c>
      <c r="G611" s="2" t="s">
        <v>28</v>
      </c>
      <c r="H611" s="1" t="n">
        <v>-1</v>
      </c>
      <c r="I611" s="1" t="n">
        <v>-1</v>
      </c>
      <c r="J611" s="1" t="n">
        <v>0</v>
      </c>
      <c r="K611" s="1" t="n">
        <v>-1</v>
      </c>
      <c r="L611" s="2" t="n">
        <v>240</v>
      </c>
      <c r="M611" s="1" t="s">
        <v>65</v>
      </c>
      <c r="N611" s="1" t="s">
        <v>105</v>
      </c>
      <c r="O611" s="5" t="n">
        <v>46203.0430555556</v>
      </c>
      <c r="P611" s="5" t="n">
        <v>46203.04375</v>
      </c>
      <c r="Q611" s="1" t="n">
        <v>54.5545</v>
      </c>
      <c r="R611" s="1" t="n">
        <v>-90.3904</v>
      </c>
      <c r="S611" s="1" t="s">
        <v>2521</v>
      </c>
      <c r="T611" s="1" t="n">
        <v>2026</v>
      </c>
      <c r="U611" s="1" t="n">
        <v>2026</v>
      </c>
      <c r="V611" s="5" t="n">
        <v>46203.65625</v>
      </c>
      <c r="W611" s="6" t="n">
        <v>46387.9999999884</v>
      </c>
    </row>
    <row r="612" customFormat="false" ht="12.75" hidden="false" customHeight="false" outlineLevel="0" collapsed="false">
      <c r="A612" s="1" t="s">
        <v>2522</v>
      </c>
      <c r="B612" s="1" t="n">
        <v>16821777</v>
      </c>
      <c r="C612" s="1" t="s">
        <v>1933</v>
      </c>
      <c r="D612" s="1" t="s">
        <v>1934</v>
      </c>
      <c r="E612" s="1" t="s">
        <v>2523</v>
      </c>
      <c r="F612" s="1" t="s">
        <v>2524</v>
      </c>
      <c r="G612" s="2" t="s">
        <v>28</v>
      </c>
      <c r="H612" s="1" t="n">
        <v>-1</v>
      </c>
      <c r="I612" s="1" t="n">
        <v>-1</v>
      </c>
      <c r="J612" s="1" t="n">
        <v>0</v>
      </c>
      <c r="K612" s="1" t="n">
        <v>-1</v>
      </c>
      <c r="L612" s="2" t="n">
        <v>323</v>
      </c>
      <c r="M612" s="1" t="s">
        <v>65</v>
      </c>
      <c r="N612" s="1" t="s">
        <v>105</v>
      </c>
      <c r="O612" s="5" t="n">
        <v>46203.0423611111</v>
      </c>
      <c r="P612" s="5" t="n">
        <v>46203.0430555556</v>
      </c>
      <c r="Q612" s="1" t="n">
        <v>54.3206</v>
      </c>
      <c r="R612" s="1" t="n">
        <v>-90.0685</v>
      </c>
      <c r="S612" s="1" t="s">
        <v>2525</v>
      </c>
      <c r="T612" s="1" t="n">
        <v>2026</v>
      </c>
      <c r="U612" s="1" t="n">
        <v>2026</v>
      </c>
      <c r="V612" s="5" t="n">
        <v>46203.65625</v>
      </c>
      <c r="W612" s="6" t="n">
        <v>46387.9999999884</v>
      </c>
    </row>
    <row r="613" customFormat="false" ht="12.75" hidden="false" customHeight="false" outlineLevel="0" collapsed="false">
      <c r="A613" s="1" t="s">
        <v>2526</v>
      </c>
      <c r="B613" s="1" t="n">
        <v>16821779</v>
      </c>
      <c r="C613" s="1" t="s">
        <v>1933</v>
      </c>
      <c r="D613" s="1" t="s">
        <v>1934</v>
      </c>
      <c r="E613" s="1" t="s">
        <v>2527</v>
      </c>
      <c r="F613" s="1" t="s">
        <v>2528</v>
      </c>
      <c r="G613" s="2" t="s">
        <v>28</v>
      </c>
      <c r="H613" s="1" t="n">
        <v>-1</v>
      </c>
      <c r="I613" s="1" t="n">
        <v>-1</v>
      </c>
      <c r="J613" s="1" t="n">
        <v>0</v>
      </c>
      <c r="K613" s="1" t="n">
        <v>-1</v>
      </c>
      <c r="L613" s="2" t="n">
        <v>49</v>
      </c>
      <c r="M613" s="1" t="s">
        <v>65</v>
      </c>
      <c r="N613" s="1" t="s">
        <v>105</v>
      </c>
      <c r="O613" s="5" t="n">
        <v>46203.04375</v>
      </c>
      <c r="P613" s="5" t="n">
        <v>46203.0444444444</v>
      </c>
      <c r="Q613" s="1" t="n">
        <v>54.0763</v>
      </c>
      <c r="R613" s="1" t="n">
        <v>-90.2692</v>
      </c>
      <c r="S613" s="1" t="s">
        <v>2529</v>
      </c>
      <c r="T613" s="1" t="n">
        <v>2026</v>
      </c>
      <c r="U613" s="1" t="n">
        <v>2026</v>
      </c>
      <c r="V613" s="5" t="n">
        <v>46203.65625</v>
      </c>
      <c r="W613" s="6" t="n">
        <v>46387.9999999884</v>
      </c>
    </row>
    <row r="614" customFormat="false" ht="12.75" hidden="false" customHeight="false" outlineLevel="0" collapsed="false">
      <c r="A614" s="1" t="s">
        <v>2530</v>
      </c>
      <c r="B614" s="1" t="n">
        <v>16821771</v>
      </c>
      <c r="C614" s="1" t="s">
        <v>1933</v>
      </c>
      <c r="D614" s="1" t="s">
        <v>1934</v>
      </c>
      <c r="E614" s="1" t="s">
        <v>2531</v>
      </c>
      <c r="F614" s="1" t="s">
        <v>2532</v>
      </c>
      <c r="G614" s="2" t="s">
        <v>28</v>
      </c>
      <c r="H614" s="1" t="n">
        <v>-1</v>
      </c>
      <c r="I614" s="1" t="n">
        <v>-1</v>
      </c>
      <c r="J614" s="1" t="n">
        <v>0</v>
      </c>
      <c r="K614" s="1" t="n">
        <v>-1</v>
      </c>
      <c r="L614" s="2" t="n">
        <v>95</v>
      </c>
      <c r="M614" s="1" t="s">
        <v>65</v>
      </c>
      <c r="N614" s="1" t="s">
        <v>105</v>
      </c>
      <c r="O614" s="5" t="n">
        <v>46203.0368055556</v>
      </c>
      <c r="P614" s="5" t="n">
        <v>46203.0381944444</v>
      </c>
      <c r="Q614" s="1" t="n">
        <v>54.4261</v>
      </c>
      <c r="R614" s="1" t="n">
        <v>-91.931</v>
      </c>
      <c r="S614" s="1" t="s">
        <v>2533</v>
      </c>
      <c r="T614" s="1" t="n">
        <v>2026</v>
      </c>
      <c r="U614" s="1" t="n">
        <v>2026</v>
      </c>
      <c r="V614" s="5" t="n">
        <v>46203.65625</v>
      </c>
      <c r="W614" s="6" t="n">
        <v>46387.9999999884</v>
      </c>
    </row>
    <row r="615" customFormat="false" ht="12.75" hidden="false" customHeight="false" outlineLevel="0" collapsed="false">
      <c r="A615" s="1" t="s">
        <v>2534</v>
      </c>
      <c r="B615" s="1" t="n">
        <v>16821770</v>
      </c>
      <c r="C615" s="1" t="s">
        <v>1933</v>
      </c>
      <c r="D615" s="1" t="s">
        <v>1934</v>
      </c>
      <c r="E615" s="1" t="s">
        <v>2535</v>
      </c>
      <c r="F615" s="1" t="s">
        <v>2536</v>
      </c>
      <c r="G615" s="2" t="s">
        <v>28</v>
      </c>
      <c r="H615" s="1" t="n">
        <v>-1</v>
      </c>
      <c r="I615" s="1" t="n">
        <v>-1</v>
      </c>
      <c r="J615" s="1" t="n">
        <v>0</v>
      </c>
      <c r="K615" s="1" t="n">
        <v>-1</v>
      </c>
      <c r="L615" s="2" t="n">
        <v>55</v>
      </c>
      <c r="M615" s="1" t="s">
        <v>65</v>
      </c>
      <c r="N615" s="1" t="s">
        <v>105</v>
      </c>
      <c r="O615" s="5" t="n">
        <v>46203.0361111111</v>
      </c>
      <c r="P615" s="5" t="n">
        <v>46203.0375</v>
      </c>
      <c r="Q615" s="1" t="n">
        <v>54.0678</v>
      </c>
      <c r="R615" s="1" t="n">
        <v>-91.9662</v>
      </c>
      <c r="S615" s="1" t="s">
        <v>2537</v>
      </c>
      <c r="T615" s="1" t="n">
        <v>2026</v>
      </c>
      <c r="U615" s="1" t="n">
        <v>2026</v>
      </c>
      <c r="V615" s="5" t="n">
        <v>46203.65625</v>
      </c>
      <c r="W615" s="6" t="n">
        <v>46387.9999999884</v>
      </c>
    </row>
    <row r="616" customFormat="false" ht="12.75" hidden="false" customHeight="false" outlineLevel="0" collapsed="false">
      <c r="A616" s="1" t="s">
        <v>2538</v>
      </c>
      <c r="B616" s="1" t="n">
        <v>16821781</v>
      </c>
      <c r="C616" s="1" t="s">
        <v>1933</v>
      </c>
      <c r="D616" s="1" t="s">
        <v>1934</v>
      </c>
      <c r="E616" s="1" t="s">
        <v>2539</v>
      </c>
      <c r="F616" s="1" t="s">
        <v>2540</v>
      </c>
      <c r="G616" s="2" t="s">
        <v>28</v>
      </c>
      <c r="H616" s="1" t="n">
        <v>-1</v>
      </c>
      <c r="I616" s="1" t="n">
        <v>-1</v>
      </c>
      <c r="J616" s="1" t="n">
        <v>0</v>
      </c>
      <c r="K616" s="1" t="n">
        <v>-1</v>
      </c>
      <c r="L616" s="2" t="n">
        <v>9</v>
      </c>
      <c r="M616" s="1" t="s">
        <v>65</v>
      </c>
      <c r="N616" s="1" t="s">
        <v>105</v>
      </c>
      <c r="O616" s="5" t="n">
        <v>46203.0465277778</v>
      </c>
      <c r="P616" s="5" t="n">
        <v>46203.0472222222</v>
      </c>
      <c r="Q616" s="1" t="n">
        <v>53.4061</v>
      </c>
      <c r="R616" s="1" t="n">
        <v>-90.4613</v>
      </c>
      <c r="S616" s="1" t="s">
        <v>2541</v>
      </c>
      <c r="T616" s="1" t="n">
        <v>2026</v>
      </c>
      <c r="U616" s="1" t="n">
        <v>2026</v>
      </c>
      <c r="V616" s="5" t="n">
        <v>46203.65625</v>
      </c>
      <c r="W616" s="6" t="n">
        <v>46387.9999999884</v>
      </c>
    </row>
    <row r="617" customFormat="false" ht="12.75" hidden="false" customHeight="false" outlineLevel="0" collapsed="false">
      <c r="A617" s="1" t="s">
        <v>2542</v>
      </c>
      <c r="B617" s="1" t="n">
        <v>16821776</v>
      </c>
      <c r="C617" s="1" t="s">
        <v>1933</v>
      </c>
      <c r="D617" s="1" t="s">
        <v>1934</v>
      </c>
      <c r="E617" s="1" t="s">
        <v>2543</v>
      </c>
      <c r="F617" s="1" t="s">
        <v>2544</v>
      </c>
      <c r="G617" s="2" t="s">
        <v>28</v>
      </c>
      <c r="H617" s="1" t="n">
        <v>-1</v>
      </c>
      <c r="I617" s="1" t="n">
        <v>-1</v>
      </c>
      <c r="J617" s="1" t="n">
        <v>0</v>
      </c>
      <c r="K617" s="1" t="n">
        <v>-1</v>
      </c>
      <c r="L617" s="2" t="n">
        <v>181</v>
      </c>
      <c r="M617" s="1" t="s">
        <v>65</v>
      </c>
      <c r="N617" s="1" t="s">
        <v>105</v>
      </c>
      <c r="O617" s="5" t="n">
        <v>46203.0416666667</v>
      </c>
      <c r="P617" s="5" t="n">
        <v>46203.0423611111</v>
      </c>
      <c r="Q617" s="1" t="n">
        <v>54.2487</v>
      </c>
      <c r="R617" s="1" t="n">
        <v>-89.894</v>
      </c>
      <c r="S617" s="1" t="s">
        <v>2545</v>
      </c>
      <c r="T617" s="1" t="n">
        <v>2026</v>
      </c>
      <c r="U617" s="1" t="n">
        <v>2026</v>
      </c>
      <c r="V617" s="5" t="n">
        <v>46203.65625</v>
      </c>
      <c r="W617" s="6" t="n">
        <v>46387.9999999884</v>
      </c>
    </row>
    <row r="618" customFormat="false" ht="12.75" hidden="false" customHeight="false" outlineLevel="0" collapsed="false">
      <c r="A618" s="1" t="s">
        <v>2546</v>
      </c>
      <c r="B618" s="1" t="n">
        <v>16821780</v>
      </c>
      <c r="C618" s="1" t="s">
        <v>1933</v>
      </c>
      <c r="D618" s="1" t="s">
        <v>1934</v>
      </c>
      <c r="E618" s="1" t="s">
        <v>2547</v>
      </c>
      <c r="F618" s="1" t="s">
        <v>2548</v>
      </c>
      <c r="G618" s="2" t="s">
        <v>28</v>
      </c>
      <c r="H618" s="1" t="n">
        <v>-1</v>
      </c>
      <c r="I618" s="1" t="n">
        <v>-1</v>
      </c>
      <c r="J618" s="1" t="n">
        <v>0</v>
      </c>
      <c r="K618" s="1" t="n">
        <v>-1</v>
      </c>
      <c r="L618" s="2" t="n">
        <v>48</v>
      </c>
      <c r="M618" s="1" t="s">
        <v>65</v>
      </c>
      <c r="N618" s="1" t="s">
        <v>105</v>
      </c>
      <c r="O618" s="5" t="n">
        <v>46203.0465277778</v>
      </c>
      <c r="P618" s="5" t="n">
        <v>46203.0472222222</v>
      </c>
      <c r="Q618" s="1" t="n">
        <v>54.0604</v>
      </c>
      <c r="R618" s="1" t="n">
        <v>-90.2855</v>
      </c>
      <c r="S618" s="1" t="s">
        <v>2549</v>
      </c>
      <c r="T618" s="1" t="n">
        <v>2026</v>
      </c>
      <c r="U618" s="1" t="n">
        <v>2026</v>
      </c>
      <c r="V618" s="5" t="n">
        <v>46203.65625</v>
      </c>
      <c r="W618" s="6" t="n">
        <v>46387.9999999884</v>
      </c>
    </row>
    <row r="619" customFormat="false" ht="12.75" hidden="false" customHeight="false" outlineLevel="0" collapsed="false">
      <c r="A619" s="1" t="s">
        <v>2550</v>
      </c>
      <c r="B619" s="1" t="n">
        <v>16770699</v>
      </c>
      <c r="C619" s="1" t="s">
        <v>1933</v>
      </c>
      <c r="D619" s="1" t="s">
        <v>2166</v>
      </c>
      <c r="E619" s="1" t="s">
        <v>2551</v>
      </c>
      <c r="F619" s="1" t="s">
        <v>2552</v>
      </c>
      <c r="G619" s="2" t="s">
        <v>28</v>
      </c>
      <c r="H619" s="1" t="n">
        <v>-1</v>
      </c>
      <c r="I619" s="1" t="n">
        <v>-1</v>
      </c>
      <c r="J619" s="1" t="n">
        <v>0</v>
      </c>
      <c r="K619" s="1" t="n">
        <v>-1</v>
      </c>
      <c r="L619" s="2" t="n">
        <v>79</v>
      </c>
      <c r="M619" s="1" t="s">
        <v>65</v>
      </c>
      <c r="N619" s="1" t="s">
        <v>105</v>
      </c>
      <c r="O619" s="5" t="n">
        <v>46202.6527777778</v>
      </c>
      <c r="P619" s="5" t="n">
        <v>46202.6541666667</v>
      </c>
      <c r="Q619" s="1" t="n">
        <v>55.7043</v>
      </c>
      <c r="R619" s="1" t="n">
        <v>-87.6404</v>
      </c>
      <c r="S619" s="1" t="s">
        <v>2553</v>
      </c>
      <c r="T619" s="1" t="n">
        <v>2026</v>
      </c>
      <c r="U619" s="1" t="n">
        <v>2026</v>
      </c>
      <c r="V619" s="5" t="n">
        <v>46202.8645833333</v>
      </c>
      <c r="W619" s="6" t="n">
        <v>46387.9999999884</v>
      </c>
    </row>
    <row r="620" customFormat="false" ht="12.75" hidden="false" customHeight="false" outlineLevel="0" collapsed="false">
      <c r="A620" s="1" t="s">
        <v>2554</v>
      </c>
      <c r="B620" s="1" t="n">
        <v>16764327</v>
      </c>
      <c r="C620" s="1" t="s">
        <v>1933</v>
      </c>
      <c r="D620" s="1" t="s">
        <v>2166</v>
      </c>
      <c r="E620" s="1" t="s">
        <v>2555</v>
      </c>
      <c r="F620" s="1" t="s">
        <v>2556</v>
      </c>
      <c r="G620" s="2" t="s">
        <v>28</v>
      </c>
      <c r="H620" s="1" t="n">
        <v>-1</v>
      </c>
      <c r="I620" s="1" t="n">
        <v>-1</v>
      </c>
      <c r="J620" s="1" t="n">
        <v>0</v>
      </c>
      <c r="K620" s="1" t="n">
        <v>-1</v>
      </c>
      <c r="L620" s="2" t="n">
        <v>15</v>
      </c>
      <c r="M620" s="1" t="s">
        <v>65</v>
      </c>
      <c r="N620" s="1" t="s">
        <v>105</v>
      </c>
      <c r="O620" s="5" t="n">
        <v>46202.7173611111</v>
      </c>
      <c r="P620" s="5" t="n">
        <v>46202.7180555556</v>
      </c>
      <c r="Q620" s="1" t="n">
        <v>55.8576</v>
      </c>
      <c r="R620" s="1" t="n">
        <v>-87.8394</v>
      </c>
      <c r="S620" s="1" t="s">
        <v>2557</v>
      </c>
      <c r="T620" s="1" t="n">
        <v>2026</v>
      </c>
      <c r="U620" s="1" t="n">
        <v>2026</v>
      </c>
      <c r="V620" s="5" t="n">
        <v>46202.78125</v>
      </c>
      <c r="W620" s="6" t="n">
        <v>46387.9999999884</v>
      </c>
    </row>
    <row r="621" customFormat="false" ht="12.75" hidden="false" customHeight="false" outlineLevel="0" collapsed="false">
      <c r="A621" s="1" t="s">
        <v>2558</v>
      </c>
      <c r="B621" s="1" t="n">
        <v>16758953</v>
      </c>
      <c r="C621" s="1" t="s">
        <v>1933</v>
      </c>
      <c r="D621" s="1" t="s">
        <v>2166</v>
      </c>
      <c r="E621" s="1" t="s">
        <v>2559</v>
      </c>
      <c r="F621" s="1" t="s">
        <v>2560</v>
      </c>
      <c r="G621" s="2" t="s">
        <v>28</v>
      </c>
      <c r="H621" s="1" t="n">
        <v>-1</v>
      </c>
      <c r="I621" s="1" t="n">
        <v>-1</v>
      </c>
      <c r="J621" s="1" t="n">
        <v>0</v>
      </c>
      <c r="K621" s="1" t="n">
        <v>-1</v>
      </c>
      <c r="L621" s="2" t="n">
        <v>10</v>
      </c>
      <c r="M621" s="1" t="s">
        <v>65</v>
      </c>
      <c r="N621" s="1" t="s">
        <v>105</v>
      </c>
      <c r="O621" s="5" t="n">
        <v>46202.6451388889</v>
      </c>
      <c r="P621" s="5" t="n">
        <v>46202.6548611111</v>
      </c>
      <c r="Q621" s="1" t="n">
        <v>55.2162</v>
      </c>
      <c r="R621" s="1" t="n">
        <v>-87.0982</v>
      </c>
      <c r="S621" s="1" t="s">
        <v>2561</v>
      </c>
      <c r="T621" s="1" t="n">
        <v>2026</v>
      </c>
      <c r="U621" s="1" t="n">
        <v>2026</v>
      </c>
      <c r="V621" s="5" t="n">
        <v>46202.6979166667</v>
      </c>
      <c r="W621" s="6" t="n">
        <v>46387.9999999884</v>
      </c>
    </row>
    <row r="622" customFormat="false" ht="12.75" hidden="false" customHeight="false" outlineLevel="0" collapsed="false">
      <c r="A622" s="1" t="s">
        <v>2562</v>
      </c>
      <c r="B622" s="1" t="n">
        <v>16758952</v>
      </c>
      <c r="C622" s="1" t="s">
        <v>1933</v>
      </c>
      <c r="D622" s="1" t="s">
        <v>2166</v>
      </c>
      <c r="E622" s="1" t="s">
        <v>2563</v>
      </c>
      <c r="F622" s="1" t="s">
        <v>2564</v>
      </c>
      <c r="G622" s="2" t="s">
        <v>28</v>
      </c>
      <c r="H622" s="1" t="n">
        <v>-1</v>
      </c>
      <c r="I622" s="1" t="n">
        <v>-1</v>
      </c>
      <c r="J622" s="1" t="n">
        <v>0</v>
      </c>
      <c r="K622" s="1" t="n">
        <v>-1</v>
      </c>
      <c r="L622" s="2" t="n">
        <v>650</v>
      </c>
      <c r="M622" s="1" t="s">
        <v>65</v>
      </c>
      <c r="N622" s="1" t="s">
        <v>105</v>
      </c>
      <c r="O622" s="5" t="n">
        <v>46202.00625</v>
      </c>
      <c r="P622" s="5" t="n">
        <v>46202.0076388889</v>
      </c>
      <c r="Q622" s="1" t="n">
        <v>54.7176</v>
      </c>
      <c r="R622" s="1" t="n">
        <v>-85.7758</v>
      </c>
      <c r="S622" s="1" t="s">
        <v>2565</v>
      </c>
      <c r="T622" s="1" t="n">
        <v>2026</v>
      </c>
      <c r="U622" s="1" t="n">
        <v>2026</v>
      </c>
      <c r="V622" s="5" t="n">
        <v>46202.6979166667</v>
      </c>
      <c r="W622" s="6" t="n">
        <v>46387.9999999884</v>
      </c>
    </row>
    <row r="623" customFormat="false" ht="12.75" hidden="false" customHeight="false" outlineLevel="0" collapsed="false">
      <c r="A623" s="1" t="s">
        <v>2566</v>
      </c>
      <c r="B623" s="1" t="n">
        <v>16758954</v>
      </c>
      <c r="C623" s="1" t="s">
        <v>1933</v>
      </c>
      <c r="D623" s="1" t="s">
        <v>2166</v>
      </c>
      <c r="E623" s="1" t="s">
        <v>2567</v>
      </c>
      <c r="F623" s="1" t="s">
        <v>2568</v>
      </c>
      <c r="G623" s="2" t="s">
        <v>28</v>
      </c>
      <c r="H623" s="1" t="n">
        <v>-1</v>
      </c>
      <c r="I623" s="1" t="n">
        <v>-1</v>
      </c>
      <c r="J623" s="1" t="n">
        <v>0</v>
      </c>
      <c r="K623" s="1" t="n">
        <v>-1</v>
      </c>
      <c r="L623" s="2" t="n">
        <v>350</v>
      </c>
      <c r="M623" s="1" t="s">
        <v>65</v>
      </c>
      <c r="N623" s="1" t="s">
        <v>105</v>
      </c>
      <c r="O623" s="5" t="n">
        <v>46202.6506944444</v>
      </c>
      <c r="P623" s="5" t="n">
        <v>46202.6548611111</v>
      </c>
      <c r="Q623" s="1" t="n">
        <v>55.2531</v>
      </c>
      <c r="R623" s="1" t="n">
        <v>-87.0857</v>
      </c>
      <c r="S623" s="1" t="s">
        <v>2569</v>
      </c>
      <c r="T623" s="1" t="n">
        <v>2026</v>
      </c>
      <c r="U623" s="1" t="n">
        <v>2026</v>
      </c>
      <c r="V623" s="5" t="n">
        <v>46202.6979166667</v>
      </c>
      <c r="W623" s="6" t="n">
        <v>46387.9999999884</v>
      </c>
    </row>
    <row r="624" customFormat="false" ht="12.75" hidden="false" customHeight="false" outlineLevel="0" collapsed="false">
      <c r="A624" s="1" t="s">
        <v>2570</v>
      </c>
      <c r="B624" s="1" t="n">
        <v>16758950</v>
      </c>
      <c r="C624" s="1" t="s">
        <v>1933</v>
      </c>
      <c r="D624" s="1" t="s">
        <v>2166</v>
      </c>
      <c r="E624" s="1" t="s">
        <v>2571</v>
      </c>
      <c r="F624" s="1" t="s">
        <v>2572</v>
      </c>
      <c r="G624" s="2" t="s">
        <v>28</v>
      </c>
      <c r="H624" s="1" t="n">
        <v>-1</v>
      </c>
      <c r="I624" s="1" t="n">
        <v>-1</v>
      </c>
      <c r="J624" s="1" t="n">
        <v>0</v>
      </c>
      <c r="K624" s="1" t="n">
        <v>-1</v>
      </c>
      <c r="L624" s="2" t="n">
        <v>17</v>
      </c>
      <c r="M624" s="1" t="s">
        <v>65</v>
      </c>
      <c r="N624" s="1" t="s">
        <v>105</v>
      </c>
      <c r="O624" s="5" t="n">
        <v>46201.9902777778</v>
      </c>
      <c r="P624" s="5" t="n">
        <v>46202.0013888889</v>
      </c>
      <c r="Q624" s="1" t="n">
        <v>54.9236</v>
      </c>
      <c r="R624" s="1" t="n">
        <v>-85.7914</v>
      </c>
      <c r="S624" s="1" t="s">
        <v>2573</v>
      </c>
      <c r="T624" s="1" t="n">
        <v>2026</v>
      </c>
      <c r="U624" s="1" t="n">
        <v>2026</v>
      </c>
      <c r="V624" s="5" t="n">
        <v>46202.6979166667</v>
      </c>
      <c r="W624" s="6" t="n">
        <v>46387.9999999884</v>
      </c>
    </row>
    <row r="625" customFormat="false" ht="12.75" hidden="false" customHeight="false" outlineLevel="0" collapsed="false">
      <c r="A625" s="1" t="s">
        <v>2574</v>
      </c>
      <c r="B625" s="1" t="n">
        <v>16759119</v>
      </c>
      <c r="C625" s="1" t="s">
        <v>1933</v>
      </c>
      <c r="D625" s="1" t="s">
        <v>1934</v>
      </c>
      <c r="E625" s="1" t="s">
        <v>2575</v>
      </c>
      <c r="F625" s="1" t="s">
        <v>2576</v>
      </c>
      <c r="G625" s="2" t="s">
        <v>28</v>
      </c>
      <c r="H625" s="1" t="n">
        <v>-1</v>
      </c>
      <c r="I625" s="1" t="n">
        <v>-1</v>
      </c>
      <c r="J625" s="1" t="n">
        <v>0</v>
      </c>
      <c r="K625" s="1" t="n">
        <v>-1</v>
      </c>
      <c r="L625" s="2" t="n">
        <v>3</v>
      </c>
      <c r="M625" s="1" t="s">
        <v>65</v>
      </c>
      <c r="N625" s="1" t="s">
        <v>105</v>
      </c>
      <c r="O625" s="5" t="n">
        <v>46201.7805555556</v>
      </c>
      <c r="P625" s="5" t="n">
        <v>46202.6597222222</v>
      </c>
      <c r="Q625" s="1" t="n">
        <v>52.2489</v>
      </c>
      <c r="R625" s="1" t="n">
        <v>-89.1742</v>
      </c>
      <c r="S625" s="1" t="s">
        <v>2577</v>
      </c>
      <c r="T625" s="1" t="n">
        <v>2026</v>
      </c>
      <c r="U625" s="1" t="n">
        <v>2026</v>
      </c>
      <c r="V625" s="5" t="n">
        <v>46202.6979166667</v>
      </c>
      <c r="W625" s="6" t="n">
        <v>46387.9999999884</v>
      </c>
    </row>
    <row r="626" customFormat="false" ht="12.75" hidden="false" customHeight="false" outlineLevel="0" collapsed="false">
      <c r="A626" s="1" t="s">
        <v>2578</v>
      </c>
      <c r="B626" s="1" t="n">
        <v>16758951</v>
      </c>
      <c r="C626" s="1" t="s">
        <v>1933</v>
      </c>
      <c r="D626" s="1" t="s">
        <v>2166</v>
      </c>
      <c r="E626" s="1" t="s">
        <v>2579</v>
      </c>
      <c r="F626" s="1" t="s">
        <v>2580</v>
      </c>
      <c r="G626" s="2" t="s">
        <v>28</v>
      </c>
      <c r="H626" s="1" t="n">
        <v>-1</v>
      </c>
      <c r="I626" s="1" t="n">
        <v>-1</v>
      </c>
      <c r="J626" s="1" t="n">
        <v>0</v>
      </c>
      <c r="K626" s="1" t="n">
        <v>-1</v>
      </c>
      <c r="L626" s="2" t="n">
        <v>5</v>
      </c>
      <c r="M626" s="1" t="s">
        <v>65</v>
      </c>
      <c r="N626" s="1" t="s">
        <v>105</v>
      </c>
      <c r="O626" s="5" t="n">
        <v>46201.9986111111</v>
      </c>
      <c r="P626" s="5" t="n">
        <v>46202</v>
      </c>
      <c r="Q626" s="1" t="n">
        <v>54.8813</v>
      </c>
      <c r="R626" s="1" t="n">
        <v>-85.788</v>
      </c>
      <c r="S626" s="1" t="s">
        <v>2581</v>
      </c>
      <c r="T626" s="1" t="n">
        <v>2026</v>
      </c>
      <c r="U626" s="1" t="n">
        <v>2026</v>
      </c>
      <c r="V626" s="5" t="n">
        <v>46202.6979166667</v>
      </c>
      <c r="W626" s="6" t="n">
        <v>46387.9999999884</v>
      </c>
    </row>
    <row r="627" customFormat="false" ht="12.75" hidden="false" customHeight="false" outlineLevel="0" collapsed="false">
      <c r="A627" s="1" t="s">
        <v>2582</v>
      </c>
      <c r="B627" s="1" t="n">
        <v>16716545</v>
      </c>
      <c r="C627" s="1" t="s">
        <v>1933</v>
      </c>
      <c r="D627" s="1" t="s">
        <v>1934</v>
      </c>
      <c r="E627" s="1" t="s">
        <v>2583</v>
      </c>
      <c r="F627" s="1" t="s">
        <v>2584</v>
      </c>
      <c r="G627" s="2" t="s">
        <v>28</v>
      </c>
      <c r="H627" s="1" t="n">
        <v>-1</v>
      </c>
      <c r="I627" s="1" t="n">
        <v>-1</v>
      </c>
      <c r="J627" s="1" t="n">
        <v>0</v>
      </c>
      <c r="K627" s="1" t="n">
        <v>-1</v>
      </c>
      <c r="L627" s="2" t="n">
        <v>15</v>
      </c>
      <c r="M627" s="1" t="s">
        <v>65</v>
      </c>
      <c r="N627" s="1" t="s">
        <v>105</v>
      </c>
      <c r="O627" s="5" t="n">
        <v>46200.9930555556</v>
      </c>
      <c r="P627" s="5" t="n">
        <v>46201.5902777778</v>
      </c>
      <c r="Q627" s="1" t="n">
        <v>53.1864</v>
      </c>
      <c r="R627" s="1" t="n">
        <v>-91.6236</v>
      </c>
      <c r="S627" s="1" t="s">
        <v>2585</v>
      </c>
      <c r="T627" s="1" t="n">
        <v>2026</v>
      </c>
      <c r="U627" s="1" t="n">
        <v>2026</v>
      </c>
      <c r="V627" s="5" t="n">
        <v>46201.9895833333</v>
      </c>
      <c r="W627" s="6" t="n">
        <v>46387.9999999884</v>
      </c>
    </row>
    <row r="628" customFormat="false" ht="12.75" hidden="false" customHeight="false" outlineLevel="0" collapsed="false">
      <c r="A628" s="1" t="s">
        <v>2586</v>
      </c>
      <c r="B628" s="1" t="n">
        <v>16716503</v>
      </c>
      <c r="C628" s="1" t="s">
        <v>1933</v>
      </c>
      <c r="D628" s="1" t="s">
        <v>1962</v>
      </c>
      <c r="E628" s="1" t="s">
        <v>2587</v>
      </c>
      <c r="F628" s="1" t="s">
        <v>2588</v>
      </c>
      <c r="G628" s="2" t="s">
        <v>28</v>
      </c>
      <c r="H628" s="1" t="n">
        <v>-1</v>
      </c>
      <c r="I628" s="1" t="n">
        <v>-1</v>
      </c>
      <c r="J628" s="1" t="n">
        <v>0</v>
      </c>
      <c r="K628" s="1" t="n">
        <v>-1</v>
      </c>
      <c r="L628" s="2" t="n">
        <v>450</v>
      </c>
      <c r="M628" s="1" t="s">
        <v>65</v>
      </c>
      <c r="N628" s="1" t="s">
        <v>105</v>
      </c>
      <c r="O628" s="5" t="n">
        <v>46198.9145833333</v>
      </c>
      <c r="P628" s="5" t="n">
        <v>46201.9222222222</v>
      </c>
      <c r="Q628" s="1" t="n">
        <v>52.3615</v>
      </c>
      <c r="R628" s="1" t="n">
        <v>-94.666</v>
      </c>
      <c r="S628" s="1" t="s">
        <v>2589</v>
      </c>
      <c r="T628" s="1" t="n">
        <v>2026</v>
      </c>
      <c r="U628" s="1" t="n">
        <v>2026</v>
      </c>
      <c r="V628" s="5" t="n">
        <v>46201.9895833333</v>
      </c>
      <c r="W628" s="6" t="n">
        <v>46387.9999999884</v>
      </c>
    </row>
    <row r="629" customFormat="false" ht="12.75" hidden="false" customHeight="false" outlineLevel="0" collapsed="false">
      <c r="A629" s="1" t="s">
        <v>2590</v>
      </c>
      <c r="B629" s="1" t="n">
        <v>16716506</v>
      </c>
      <c r="C629" s="1" t="s">
        <v>1933</v>
      </c>
      <c r="D629" s="1" t="s">
        <v>1962</v>
      </c>
      <c r="E629" s="1" t="s">
        <v>2591</v>
      </c>
      <c r="F629" s="1" t="s">
        <v>2592</v>
      </c>
      <c r="G629" s="2" t="s">
        <v>28</v>
      </c>
      <c r="H629" s="1" t="n">
        <v>-1</v>
      </c>
      <c r="I629" s="1" t="n">
        <v>-1</v>
      </c>
      <c r="J629" s="1" t="n">
        <v>0</v>
      </c>
      <c r="K629" s="1" t="n">
        <v>-1</v>
      </c>
      <c r="L629" s="2" t="n">
        <v>30</v>
      </c>
      <c r="M629" s="1" t="s">
        <v>65</v>
      </c>
      <c r="N629" s="1" t="s">
        <v>105</v>
      </c>
      <c r="O629" s="5" t="n">
        <v>46199.8361111111</v>
      </c>
      <c r="P629" s="5" t="n">
        <v>46201.9340277778</v>
      </c>
      <c r="Q629" s="1" t="n">
        <v>52.703</v>
      </c>
      <c r="R629" s="1" t="n">
        <v>-94.4762</v>
      </c>
      <c r="S629" s="1" t="s">
        <v>2593</v>
      </c>
      <c r="T629" s="1" t="n">
        <v>2026</v>
      </c>
      <c r="U629" s="1" t="n">
        <v>2026</v>
      </c>
      <c r="V629" s="5" t="n">
        <v>46201.9895833333</v>
      </c>
      <c r="W629" s="6" t="n">
        <v>46387.9999999884</v>
      </c>
    </row>
    <row r="630" customFormat="false" ht="12.75" hidden="false" customHeight="false" outlineLevel="0" collapsed="false">
      <c r="A630" s="1" t="s">
        <v>2594</v>
      </c>
      <c r="B630" s="1" t="n">
        <v>16711250</v>
      </c>
      <c r="C630" s="1" t="s">
        <v>1933</v>
      </c>
      <c r="D630" s="1" t="s">
        <v>2166</v>
      </c>
      <c r="E630" s="1" t="s">
        <v>2595</v>
      </c>
      <c r="F630" s="1" t="s">
        <v>2596</v>
      </c>
      <c r="G630" s="2" t="s">
        <v>28</v>
      </c>
      <c r="H630" s="1" t="n">
        <v>-1</v>
      </c>
      <c r="I630" s="1" t="n">
        <v>-1</v>
      </c>
      <c r="J630" s="1" t="n">
        <v>0</v>
      </c>
      <c r="K630" s="1" t="n">
        <v>-1</v>
      </c>
      <c r="L630" s="2" t="n">
        <v>0.5</v>
      </c>
      <c r="M630" s="1" t="s">
        <v>65</v>
      </c>
      <c r="N630" s="1" t="s">
        <v>105</v>
      </c>
      <c r="O630" s="5" t="n">
        <v>46201.7493055556</v>
      </c>
      <c r="P630" s="5" t="n">
        <v>46201.8736111111</v>
      </c>
      <c r="Q630" s="1" t="n">
        <v>55.9082</v>
      </c>
      <c r="R630" s="1" t="n">
        <v>-88.2388</v>
      </c>
      <c r="S630" s="1" t="s">
        <v>2597</v>
      </c>
      <c r="T630" s="1" t="n">
        <v>2026</v>
      </c>
      <c r="U630" s="1" t="n">
        <v>2026</v>
      </c>
      <c r="V630" s="5" t="n">
        <v>46201.90625</v>
      </c>
      <c r="W630" s="6" t="n">
        <v>46387.9999999884</v>
      </c>
    </row>
    <row r="631" customFormat="false" ht="12.75" hidden="false" customHeight="false" outlineLevel="0" collapsed="false">
      <c r="A631" s="1" t="s">
        <v>2598</v>
      </c>
      <c r="B631" s="1" t="n">
        <v>16711243</v>
      </c>
      <c r="C631" s="1" t="s">
        <v>1933</v>
      </c>
      <c r="D631" s="1" t="s">
        <v>2166</v>
      </c>
      <c r="E631" s="1" t="s">
        <v>2599</v>
      </c>
      <c r="F631" s="1" t="s">
        <v>2600</v>
      </c>
      <c r="G631" s="2" t="s">
        <v>28</v>
      </c>
      <c r="H631" s="1" t="n">
        <v>-1</v>
      </c>
      <c r="I631" s="1" t="n">
        <v>-1</v>
      </c>
      <c r="J631" s="1" t="n">
        <v>0</v>
      </c>
      <c r="K631" s="1" t="n">
        <v>-1</v>
      </c>
      <c r="L631" s="2" t="n">
        <v>0.5</v>
      </c>
      <c r="M631" s="1" t="s">
        <v>65</v>
      </c>
      <c r="N631" s="1" t="s">
        <v>105</v>
      </c>
      <c r="O631" s="5" t="n">
        <v>46201.7395833333</v>
      </c>
      <c r="P631" s="5" t="n">
        <v>46201.8763888889</v>
      </c>
      <c r="Q631" s="1" t="n">
        <v>55.1736</v>
      </c>
      <c r="R631" s="1" t="n">
        <v>-89.3152</v>
      </c>
      <c r="S631" s="1" t="s">
        <v>2601</v>
      </c>
      <c r="T631" s="1" t="n">
        <v>2026</v>
      </c>
      <c r="U631" s="1" t="n">
        <v>2026</v>
      </c>
      <c r="V631" s="5" t="n">
        <v>46201.90625</v>
      </c>
      <c r="W631" s="6" t="n">
        <v>46387.9999999884</v>
      </c>
    </row>
    <row r="632" customFormat="false" ht="12.75" hidden="false" customHeight="false" outlineLevel="0" collapsed="false">
      <c r="A632" s="1" t="s">
        <v>2602</v>
      </c>
      <c r="B632" s="1" t="n">
        <v>16711248</v>
      </c>
      <c r="C632" s="1" t="s">
        <v>1933</v>
      </c>
      <c r="D632" s="1" t="s">
        <v>2166</v>
      </c>
      <c r="E632" s="1" t="s">
        <v>2603</v>
      </c>
      <c r="F632" s="1" t="s">
        <v>2604</v>
      </c>
      <c r="G632" s="2" t="s">
        <v>28</v>
      </c>
      <c r="H632" s="1" t="n">
        <v>-1</v>
      </c>
      <c r="I632" s="1" t="n">
        <v>-1</v>
      </c>
      <c r="J632" s="1" t="n">
        <v>0</v>
      </c>
      <c r="K632" s="1" t="n">
        <v>-1</v>
      </c>
      <c r="L632" s="2" t="n">
        <v>19</v>
      </c>
      <c r="M632" s="1" t="s">
        <v>65</v>
      </c>
      <c r="N632" s="1" t="s">
        <v>105</v>
      </c>
      <c r="O632" s="5" t="n">
        <v>46201.7465277778</v>
      </c>
      <c r="P632" s="5" t="n">
        <v>46201.8743055556</v>
      </c>
      <c r="Q632" s="1" t="n">
        <v>56.0882</v>
      </c>
      <c r="R632" s="1" t="n">
        <v>-88.9197</v>
      </c>
      <c r="S632" s="1" t="s">
        <v>2605</v>
      </c>
      <c r="T632" s="1" t="n">
        <v>2026</v>
      </c>
      <c r="U632" s="1" t="n">
        <v>2026</v>
      </c>
      <c r="V632" s="5" t="n">
        <v>46201.90625</v>
      </c>
      <c r="W632" s="6" t="n">
        <v>46387.9999999884</v>
      </c>
    </row>
    <row r="633" customFormat="false" ht="12.75" hidden="false" customHeight="false" outlineLevel="0" collapsed="false">
      <c r="A633" s="1" t="s">
        <v>2606</v>
      </c>
      <c r="B633" s="1" t="n">
        <v>16711247</v>
      </c>
      <c r="C633" s="1" t="s">
        <v>1933</v>
      </c>
      <c r="D633" s="1" t="s">
        <v>2166</v>
      </c>
      <c r="E633" s="1" t="s">
        <v>2607</v>
      </c>
      <c r="F633" s="1" t="s">
        <v>2608</v>
      </c>
      <c r="G633" s="2" t="s">
        <v>28</v>
      </c>
      <c r="H633" s="1" t="n">
        <v>-1</v>
      </c>
      <c r="I633" s="1" t="n">
        <v>-1</v>
      </c>
      <c r="J633" s="1" t="n">
        <v>0</v>
      </c>
      <c r="K633" s="1" t="n">
        <v>-1</v>
      </c>
      <c r="L633" s="2" t="n">
        <v>1</v>
      </c>
      <c r="M633" s="1" t="s">
        <v>65</v>
      </c>
      <c r="N633" s="1" t="s">
        <v>105</v>
      </c>
      <c r="O633" s="5" t="n">
        <v>46201.7444444444</v>
      </c>
      <c r="P633" s="5" t="n">
        <v>46201.875</v>
      </c>
      <c r="Q633" s="1" t="n">
        <v>55.5736</v>
      </c>
      <c r="R633" s="1" t="n">
        <v>-88.4345</v>
      </c>
      <c r="S633" s="1" t="s">
        <v>2609</v>
      </c>
      <c r="T633" s="1" t="n">
        <v>2026</v>
      </c>
      <c r="U633" s="1" t="n">
        <v>2026</v>
      </c>
      <c r="V633" s="5" t="n">
        <v>46201.90625</v>
      </c>
      <c r="W633" s="6" t="n">
        <v>46387.9999999884</v>
      </c>
    </row>
    <row r="634" customFormat="false" ht="12.75" hidden="false" customHeight="false" outlineLevel="0" collapsed="false">
      <c r="A634" s="1" t="s">
        <v>2610</v>
      </c>
      <c r="B634" s="1" t="n">
        <v>16711249</v>
      </c>
      <c r="C634" s="1" t="s">
        <v>1933</v>
      </c>
      <c r="D634" s="1" t="s">
        <v>2166</v>
      </c>
      <c r="E634" s="1" t="s">
        <v>2611</v>
      </c>
      <c r="F634" s="1" t="s">
        <v>2612</v>
      </c>
      <c r="G634" s="2" t="s">
        <v>28</v>
      </c>
      <c r="H634" s="1" t="n">
        <v>-1</v>
      </c>
      <c r="I634" s="1" t="n">
        <v>-1</v>
      </c>
      <c r="J634" s="1" t="n">
        <v>0</v>
      </c>
      <c r="K634" s="1" t="n">
        <v>-1</v>
      </c>
      <c r="L634" s="2" t="n">
        <v>1.5</v>
      </c>
      <c r="M634" s="1" t="s">
        <v>65</v>
      </c>
      <c r="N634" s="1" t="s">
        <v>105</v>
      </c>
      <c r="O634" s="5" t="n">
        <v>46201.7479166667</v>
      </c>
      <c r="P634" s="5" t="n">
        <v>46201.8743055556</v>
      </c>
      <c r="Q634" s="1" t="n">
        <v>55.32</v>
      </c>
      <c r="R634" s="1" t="n">
        <v>-87.5743</v>
      </c>
      <c r="S634" s="1" t="s">
        <v>2613</v>
      </c>
      <c r="T634" s="1" t="n">
        <v>2026</v>
      </c>
      <c r="U634" s="1" t="n">
        <v>2026</v>
      </c>
      <c r="V634" s="5" t="n">
        <v>46201.90625</v>
      </c>
      <c r="W634" s="6" t="n">
        <v>46387.9999999884</v>
      </c>
    </row>
    <row r="635" customFormat="false" ht="12.75" hidden="false" customHeight="false" outlineLevel="0" collapsed="false">
      <c r="A635" s="1" t="s">
        <v>2614</v>
      </c>
      <c r="B635" s="1" t="n">
        <v>16711242</v>
      </c>
      <c r="C635" s="1" t="s">
        <v>1933</v>
      </c>
      <c r="D635" s="1" t="s">
        <v>2166</v>
      </c>
      <c r="E635" s="1" t="s">
        <v>2615</v>
      </c>
      <c r="F635" s="1" t="s">
        <v>2616</v>
      </c>
      <c r="G635" s="2" t="s">
        <v>28</v>
      </c>
      <c r="H635" s="1" t="n">
        <v>-1</v>
      </c>
      <c r="I635" s="1" t="n">
        <v>-1</v>
      </c>
      <c r="J635" s="1" t="n">
        <v>0</v>
      </c>
      <c r="K635" s="1" t="n">
        <v>-1</v>
      </c>
      <c r="L635" s="2" t="n">
        <v>153</v>
      </c>
      <c r="M635" s="1" t="s">
        <v>65</v>
      </c>
      <c r="N635" s="1" t="s">
        <v>105</v>
      </c>
      <c r="O635" s="5" t="n">
        <v>46201.7381944444</v>
      </c>
      <c r="P635" s="5" t="n">
        <v>46201.8763888889</v>
      </c>
      <c r="Q635" s="1" t="n">
        <v>54.7911</v>
      </c>
      <c r="R635" s="1" t="n">
        <v>-88.4844</v>
      </c>
      <c r="S635" s="1" t="s">
        <v>2617</v>
      </c>
      <c r="T635" s="1" t="n">
        <v>2026</v>
      </c>
      <c r="U635" s="1" t="n">
        <v>2026</v>
      </c>
      <c r="V635" s="5" t="n">
        <v>46201.90625</v>
      </c>
      <c r="W635" s="6" t="n">
        <v>46387.9999999884</v>
      </c>
    </row>
    <row r="636" customFormat="false" ht="12.75" hidden="false" customHeight="false" outlineLevel="0" collapsed="false">
      <c r="A636" s="1" t="s">
        <v>2618</v>
      </c>
      <c r="B636" s="1" t="n">
        <v>16711246</v>
      </c>
      <c r="C636" s="1" t="s">
        <v>1933</v>
      </c>
      <c r="D636" s="1" t="s">
        <v>2166</v>
      </c>
      <c r="E636" s="1" t="s">
        <v>2619</v>
      </c>
      <c r="F636" s="1" t="s">
        <v>2620</v>
      </c>
      <c r="G636" s="2" t="s">
        <v>28</v>
      </c>
      <c r="H636" s="1" t="n">
        <v>-1</v>
      </c>
      <c r="I636" s="1" t="n">
        <v>-1</v>
      </c>
      <c r="J636" s="1" t="n">
        <v>0</v>
      </c>
      <c r="K636" s="1" t="n">
        <v>-1</v>
      </c>
      <c r="L636" s="2" t="n">
        <v>93</v>
      </c>
      <c r="M636" s="1" t="s">
        <v>65</v>
      </c>
      <c r="N636" s="1" t="s">
        <v>105</v>
      </c>
      <c r="O636" s="5" t="n">
        <v>46201.7430555556</v>
      </c>
      <c r="P636" s="5" t="n">
        <v>46201.875</v>
      </c>
      <c r="Q636" s="1" t="n">
        <v>55.3198</v>
      </c>
      <c r="R636" s="1" t="n">
        <v>-89.639</v>
      </c>
      <c r="S636" s="1" t="s">
        <v>2621</v>
      </c>
      <c r="T636" s="1" t="n">
        <v>2026</v>
      </c>
      <c r="U636" s="1" t="n">
        <v>2026</v>
      </c>
      <c r="V636" s="5" t="n">
        <v>46201.90625</v>
      </c>
      <c r="W636" s="6" t="n">
        <v>46387.9999999884</v>
      </c>
    </row>
    <row r="637" customFormat="false" ht="12.75" hidden="false" customHeight="false" outlineLevel="0" collapsed="false">
      <c r="A637" s="1" t="s">
        <v>2622</v>
      </c>
      <c r="B637" s="1" t="n">
        <v>16711245</v>
      </c>
      <c r="C637" s="1" t="s">
        <v>1933</v>
      </c>
      <c r="D637" s="1" t="s">
        <v>2166</v>
      </c>
      <c r="E637" s="1" t="s">
        <v>2623</v>
      </c>
      <c r="F637" s="1" t="s">
        <v>2624</v>
      </c>
      <c r="G637" s="2" t="s">
        <v>28</v>
      </c>
      <c r="H637" s="1" t="n">
        <v>-1</v>
      </c>
      <c r="I637" s="1" t="n">
        <v>-1</v>
      </c>
      <c r="J637" s="1" t="n">
        <v>0</v>
      </c>
      <c r="K637" s="1" t="n">
        <v>-1</v>
      </c>
      <c r="L637" s="2" t="n">
        <v>8</v>
      </c>
      <c r="M637" s="1" t="s">
        <v>65</v>
      </c>
      <c r="N637" s="1" t="s">
        <v>105</v>
      </c>
      <c r="O637" s="5" t="n">
        <v>46201.7423611111</v>
      </c>
      <c r="P637" s="5" t="n">
        <v>46201.8756944445</v>
      </c>
      <c r="Q637" s="1" t="n">
        <v>55.2801</v>
      </c>
      <c r="R637" s="1" t="n">
        <v>-89.3844</v>
      </c>
      <c r="S637" s="1" t="s">
        <v>2625</v>
      </c>
      <c r="T637" s="1" t="n">
        <v>2026</v>
      </c>
      <c r="U637" s="1" t="n">
        <v>2026</v>
      </c>
      <c r="V637" s="5" t="n">
        <v>46201.90625</v>
      </c>
      <c r="W637" s="6" t="n">
        <v>46387.9999999884</v>
      </c>
    </row>
    <row r="638" customFormat="false" ht="12.75" hidden="false" customHeight="false" outlineLevel="0" collapsed="false">
      <c r="A638" s="1" t="s">
        <v>2626</v>
      </c>
      <c r="B638" s="1" t="n">
        <v>16711244</v>
      </c>
      <c r="C638" s="1" t="s">
        <v>1933</v>
      </c>
      <c r="D638" s="1" t="s">
        <v>2166</v>
      </c>
      <c r="E638" s="1" t="s">
        <v>2627</v>
      </c>
      <c r="F638" s="1" t="s">
        <v>2628</v>
      </c>
      <c r="G638" s="2" t="s">
        <v>28</v>
      </c>
      <c r="H638" s="1" t="n">
        <v>-1</v>
      </c>
      <c r="I638" s="1" t="n">
        <v>-1</v>
      </c>
      <c r="J638" s="1" t="n">
        <v>0</v>
      </c>
      <c r="K638" s="1" t="n">
        <v>-1</v>
      </c>
      <c r="L638" s="2" t="n">
        <v>9</v>
      </c>
      <c r="M638" s="1" t="s">
        <v>65</v>
      </c>
      <c r="N638" s="1" t="s">
        <v>105</v>
      </c>
      <c r="O638" s="5" t="n">
        <v>46201.7402777778</v>
      </c>
      <c r="P638" s="5" t="n">
        <v>46201.8763888889</v>
      </c>
      <c r="Q638" s="1" t="n">
        <v>55.3074</v>
      </c>
      <c r="R638" s="1" t="n">
        <v>-89.3702</v>
      </c>
      <c r="S638" s="1" t="s">
        <v>2629</v>
      </c>
      <c r="T638" s="1" t="n">
        <v>2026</v>
      </c>
      <c r="U638" s="1" t="n">
        <v>2026</v>
      </c>
      <c r="V638" s="5" t="n">
        <v>46201.90625</v>
      </c>
      <c r="W638" s="6" t="n">
        <v>46387.9999999884</v>
      </c>
    </row>
    <row r="639" customFormat="false" ht="12.75" hidden="false" customHeight="false" outlineLevel="0" collapsed="false">
      <c r="A639" s="1" t="s">
        <v>2630</v>
      </c>
      <c r="B639" s="1" t="n">
        <v>16695405</v>
      </c>
      <c r="C639" s="1" t="s">
        <v>1933</v>
      </c>
      <c r="D639" s="1" t="s">
        <v>1934</v>
      </c>
      <c r="E639" s="1" t="s">
        <v>2631</v>
      </c>
      <c r="F639" s="1" t="s">
        <v>2632</v>
      </c>
      <c r="G639" s="2" t="s">
        <v>28</v>
      </c>
      <c r="H639" s="1" t="n">
        <v>-1</v>
      </c>
      <c r="I639" s="1" t="n">
        <v>-1</v>
      </c>
      <c r="J639" s="1" t="n">
        <v>0</v>
      </c>
      <c r="K639" s="1" t="n">
        <v>-1</v>
      </c>
      <c r="L639" s="2" t="n">
        <v>20</v>
      </c>
      <c r="M639" s="1" t="s">
        <v>65</v>
      </c>
      <c r="N639" s="1" t="s">
        <v>105</v>
      </c>
      <c r="O639" s="5" t="n">
        <v>46200.9993055556</v>
      </c>
      <c r="P639" s="5" t="n">
        <v>46201.5909722222</v>
      </c>
      <c r="Q639" s="1" t="n">
        <v>53.1665</v>
      </c>
      <c r="R639" s="1" t="n">
        <v>-91.7202</v>
      </c>
      <c r="S639" s="1" t="s">
        <v>2633</v>
      </c>
      <c r="T639" s="1" t="n">
        <v>2026</v>
      </c>
      <c r="U639" s="1" t="n">
        <v>2026</v>
      </c>
      <c r="V639" s="5" t="n">
        <v>46201.65625</v>
      </c>
      <c r="W639" s="6" t="n">
        <v>46387.9999999884</v>
      </c>
    </row>
    <row r="640" customFormat="false" ht="12.75" hidden="false" customHeight="false" outlineLevel="0" collapsed="false">
      <c r="A640" s="1" t="s">
        <v>2634</v>
      </c>
      <c r="B640" s="1" t="n">
        <v>16695406</v>
      </c>
      <c r="C640" s="1" t="s">
        <v>1933</v>
      </c>
      <c r="D640" s="1" t="s">
        <v>1934</v>
      </c>
      <c r="E640" s="1" t="s">
        <v>2635</v>
      </c>
      <c r="F640" s="1" t="s">
        <v>2636</v>
      </c>
      <c r="G640" s="2" t="s">
        <v>28</v>
      </c>
      <c r="H640" s="1" t="n">
        <v>-1</v>
      </c>
      <c r="I640" s="1" t="n">
        <v>-1</v>
      </c>
      <c r="J640" s="1" t="n">
        <v>0</v>
      </c>
      <c r="K640" s="1" t="n">
        <v>-1</v>
      </c>
      <c r="L640" s="2" t="n">
        <v>0.3</v>
      </c>
      <c r="M640" s="1" t="s">
        <v>65</v>
      </c>
      <c r="N640" s="1" t="s">
        <v>105</v>
      </c>
      <c r="O640" s="5" t="n">
        <v>46201.0027777778</v>
      </c>
      <c r="P640" s="5" t="n">
        <v>46201.5930555556</v>
      </c>
      <c r="Q640" s="1" t="n">
        <v>53.032</v>
      </c>
      <c r="R640" s="1" t="n">
        <v>-91.754</v>
      </c>
      <c r="S640" s="1" t="s">
        <v>2637</v>
      </c>
      <c r="T640" s="1" t="n">
        <v>2026</v>
      </c>
      <c r="U640" s="1" t="n">
        <v>2026</v>
      </c>
      <c r="V640" s="5" t="n">
        <v>46201.65625</v>
      </c>
      <c r="W640" s="6" t="n">
        <v>46387.9999999884</v>
      </c>
    </row>
    <row r="641" customFormat="false" ht="12.75" hidden="false" customHeight="false" outlineLevel="0" collapsed="false">
      <c r="A641" s="1" t="s">
        <v>2638</v>
      </c>
      <c r="B641" s="1" t="n">
        <v>16693215</v>
      </c>
      <c r="C641" s="1" t="s">
        <v>1933</v>
      </c>
      <c r="D641" s="1" t="s">
        <v>1934</v>
      </c>
      <c r="E641" s="1" t="s">
        <v>2639</v>
      </c>
      <c r="F641" s="1" t="s">
        <v>2640</v>
      </c>
      <c r="G641" s="2" t="s">
        <v>28</v>
      </c>
      <c r="H641" s="1" t="n">
        <v>-1</v>
      </c>
      <c r="I641" s="1" t="n">
        <v>-1</v>
      </c>
      <c r="J641" s="1" t="n">
        <v>0</v>
      </c>
      <c r="K641" s="1" t="n">
        <v>-1</v>
      </c>
      <c r="L641" s="2" t="n">
        <v>5</v>
      </c>
      <c r="M641" s="1" t="s">
        <v>65</v>
      </c>
      <c r="N641" s="1" t="s">
        <v>105</v>
      </c>
      <c r="O641" s="5" t="n">
        <v>46200.8041666667</v>
      </c>
      <c r="P641" s="5" t="n">
        <v>46201.5826388889</v>
      </c>
      <c r="Q641" s="1" t="n">
        <v>51.9619</v>
      </c>
      <c r="R641" s="1" t="n">
        <v>-91.7402</v>
      </c>
      <c r="S641" s="1" t="s">
        <v>2641</v>
      </c>
      <c r="T641" s="1" t="n">
        <v>2026</v>
      </c>
      <c r="U641" s="1" t="n">
        <v>2026</v>
      </c>
      <c r="V641" s="5" t="n">
        <v>46201.6145833333</v>
      </c>
      <c r="W641" s="6" t="n">
        <v>46387.9999999884</v>
      </c>
    </row>
    <row r="642" customFormat="false" ht="12.75" hidden="false" customHeight="false" outlineLevel="0" collapsed="false">
      <c r="A642" s="1" t="s">
        <v>2642</v>
      </c>
      <c r="B642" s="1" t="n">
        <v>16693218</v>
      </c>
      <c r="C642" s="1" t="s">
        <v>1933</v>
      </c>
      <c r="D642" s="1" t="s">
        <v>1934</v>
      </c>
      <c r="E642" s="1" t="s">
        <v>2643</v>
      </c>
      <c r="F642" s="1" t="s">
        <v>2644</v>
      </c>
      <c r="G642" s="2" t="s">
        <v>28</v>
      </c>
      <c r="H642" s="1" t="n">
        <v>-1</v>
      </c>
      <c r="I642" s="1" t="n">
        <v>-1</v>
      </c>
      <c r="J642" s="1" t="n">
        <v>0</v>
      </c>
      <c r="K642" s="1" t="n">
        <v>-1</v>
      </c>
      <c r="L642" s="2" t="n">
        <v>12</v>
      </c>
      <c r="M642" s="1" t="s">
        <v>65</v>
      </c>
      <c r="N642" s="1" t="s">
        <v>105</v>
      </c>
      <c r="O642" s="5" t="n">
        <v>46200.9423611111</v>
      </c>
      <c r="P642" s="5" t="n">
        <v>46201.5854166667</v>
      </c>
      <c r="Q642" s="1" t="n">
        <v>52.7119</v>
      </c>
      <c r="R642" s="1" t="n">
        <v>-90.7713</v>
      </c>
      <c r="S642" s="1" t="s">
        <v>2645</v>
      </c>
      <c r="T642" s="1" t="n">
        <v>2026</v>
      </c>
      <c r="U642" s="1" t="n">
        <v>2026</v>
      </c>
      <c r="V642" s="5" t="n">
        <v>46201.6145833333</v>
      </c>
      <c r="W642" s="6" t="n">
        <v>46387.9999999884</v>
      </c>
    </row>
    <row r="643" customFormat="false" ht="12.75" hidden="false" customHeight="false" outlineLevel="0" collapsed="false">
      <c r="A643" s="1" t="s">
        <v>2646</v>
      </c>
      <c r="B643" s="1" t="n">
        <v>16643835</v>
      </c>
      <c r="C643" s="1" t="s">
        <v>1933</v>
      </c>
      <c r="D643" s="1" t="s">
        <v>1962</v>
      </c>
      <c r="E643" s="1" t="s">
        <v>2647</v>
      </c>
      <c r="F643" s="1" t="s">
        <v>2648</v>
      </c>
      <c r="G643" s="2" t="s">
        <v>28</v>
      </c>
      <c r="H643" s="1" t="n">
        <v>-1</v>
      </c>
      <c r="I643" s="1" t="n">
        <v>-1</v>
      </c>
      <c r="J643" s="1" t="n">
        <v>0</v>
      </c>
      <c r="K643" s="1" t="n">
        <v>-1</v>
      </c>
      <c r="L643" s="2" t="n">
        <v>1</v>
      </c>
      <c r="M643" s="1" t="s">
        <v>65</v>
      </c>
      <c r="N643" s="1" t="s">
        <v>105</v>
      </c>
      <c r="O643" s="5" t="n">
        <v>46198.9201388889</v>
      </c>
      <c r="P643" s="5" t="n">
        <v>46200.6784722222</v>
      </c>
      <c r="Q643" s="1" t="n">
        <v>52.3636</v>
      </c>
      <c r="R643" s="1" t="n">
        <v>-94.7116</v>
      </c>
      <c r="S643" s="1" t="s">
        <v>2649</v>
      </c>
      <c r="T643" s="1" t="n">
        <v>2026</v>
      </c>
      <c r="U643" s="1" t="n">
        <v>2026</v>
      </c>
      <c r="V643" s="5" t="n">
        <v>46200.7395833333</v>
      </c>
      <c r="W643" s="6" t="n">
        <v>46387.9999999884</v>
      </c>
    </row>
    <row r="644" customFormat="false" ht="12.75" hidden="false" customHeight="false" outlineLevel="0" collapsed="false">
      <c r="A644" s="1" t="s">
        <v>2650</v>
      </c>
      <c r="B644" s="1" t="n">
        <v>16386098</v>
      </c>
      <c r="C644" s="1" t="s">
        <v>1933</v>
      </c>
      <c r="D644" s="1" t="s">
        <v>1934</v>
      </c>
      <c r="E644" s="1" t="s">
        <v>2651</v>
      </c>
      <c r="F644" s="1" t="s">
        <v>2652</v>
      </c>
      <c r="G644" s="2" t="s">
        <v>28</v>
      </c>
      <c r="H644" s="1" t="n">
        <v>-1</v>
      </c>
      <c r="I644" s="1" t="n">
        <v>-1</v>
      </c>
      <c r="J644" s="1" t="n">
        <v>0</v>
      </c>
      <c r="K644" s="1" t="n">
        <v>-1</v>
      </c>
      <c r="L644" s="2" t="n">
        <v>17248.1</v>
      </c>
      <c r="M644" s="1" t="s">
        <v>70</v>
      </c>
      <c r="N644" s="1" t="s">
        <v>105</v>
      </c>
      <c r="O644" s="5" t="n">
        <v>46172.8083333333</v>
      </c>
      <c r="P644" s="5" t="n">
        <v>46184.56875</v>
      </c>
      <c r="Q644" s="1" t="n">
        <v>51.7106</v>
      </c>
      <c r="R644" s="1" t="n">
        <v>-91.4708</v>
      </c>
      <c r="S644" s="1" t="s">
        <v>2653</v>
      </c>
      <c r="T644" s="1" t="n">
        <v>2026</v>
      </c>
      <c r="U644" s="1" t="n">
        <v>2026</v>
      </c>
      <c r="V644" s="5" t="n">
        <v>46195.5729166667</v>
      </c>
      <c r="W644" s="6" t="n">
        <v>46387.9999999884</v>
      </c>
    </row>
    <row r="645" customFormat="false" ht="12.75" hidden="false" customHeight="false" outlineLevel="0" collapsed="false">
      <c r="A645" s="1" t="s">
        <v>2654</v>
      </c>
      <c r="B645" s="1" t="n">
        <v>16165871</v>
      </c>
      <c r="C645" s="1" t="s">
        <v>1933</v>
      </c>
      <c r="D645" s="1" t="s">
        <v>2655</v>
      </c>
      <c r="E645" s="1" t="s">
        <v>2656</v>
      </c>
      <c r="F645" s="1" t="s">
        <v>2657</v>
      </c>
      <c r="G645" s="2" t="s">
        <v>84</v>
      </c>
      <c r="H645" s="1" t="n">
        <v>-1</v>
      </c>
      <c r="I645" s="1" t="n">
        <v>-1</v>
      </c>
      <c r="J645" s="1" t="n">
        <v>0</v>
      </c>
      <c r="K645" s="1" t="n">
        <v>-1</v>
      </c>
      <c r="L645" s="2" t="n">
        <v>3151</v>
      </c>
      <c r="M645" s="1" t="s">
        <v>29</v>
      </c>
      <c r="N645" s="1" t="s">
        <v>37</v>
      </c>
      <c r="O645" s="5" t="n">
        <v>46173.85625</v>
      </c>
      <c r="P645" s="5" t="n">
        <v>46198.7604166667</v>
      </c>
      <c r="Q645" s="1" t="n">
        <v>47.7841</v>
      </c>
      <c r="R645" s="1" t="n">
        <v>-81.7268</v>
      </c>
      <c r="S645" s="1" t="s">
        <v>2658</v>
      </c>
      <c r="T645" s="1" t="n">
        <v>2026</v>
      </c>
      <c r="U645" s="1" t="n">
        <v>2026</v>
      </c>
      <c r="V645" s="5" t="n">
        <v>46190.5729166667</v>
      </c>
      <c r="W645" s="6" t="n">
        <v>46387.9999999884</v>
      </c>
    </row>
    <row r="646" customFormat="false" ht="12.75" hidden="false" customHeight="false" outlineLevel="0" collapsed="false">
      <c r="A646" s="1" t="s">
        <v>2659</v>
      </c>
      <c r="B646" s="1" t="n">
        <v>15838748</v>
      </c>
      <c r="C646" s="1" t="s">
        <v>1933</v>
      </c>
      <c r="D646" s="1" t="s">
        <v>2166</v>
      </c>
      <c r="E646" s="1" t="s">
        <v>2660</v>
      </c>
      <c r="F646" s="1" t="s">
        <v>2661</v>
      </c>
      <c r="G646" s="2" t="s">
        <v>28</v>
      </c>
      <c r="H646" s="1" t="n">
        <v>-1</v>
      </c>
      <c r="I646" s="1" t="n">
        <v>-1</v>
      </c>
      <c r="J646" s="1" t="n">
        <v>0</v>
      </c>
      <c r="K646" s="1" t="n">
        <v>-1</v>
      </c>
      <c r="L646" s="2" t="n">
        <v>30</v>
      </c>
      <c r="M646" s="1" t="s">
        <v>65</v>
      </c>
      <c r="N646" s="1" t="s">
        <v>105</v>
      </c>
      <c r="O646" s="5" t="n">
        <v>46182.7486111111</v>
      </c>
      <c r="P646" s="5" t="n">
        <v>46182.7493055556</v>
      </c>
      <c r="Q646" s="1" t="n">
        <v>55.5315</v>
      </c>
      <c r="R646" s="1" t="n">
        <v>-88.1636</v>
      </c>
      <c r="S646" s="1" t="s">
        <v>2662</v>
      </c>
      <c r="T646" s="1" t="n">
        <v>2026</v>
      </c>
      <c r="U646" s="1" t="n">
        <v>2026</v>
      </c>
      <c r="V646" s="5" t="n">
        <v>46182.8229166667</v>
      </c>
      <c r="W646" s="6" t="n">
        <v>46387.9999999884</v>
      </c>
    </row>
    <row r="647" customFormat="false" ht="12.75" hidden="false" customHeight="false" outlineLevel="0" collapsed="false">
      <c r="A647" s="1" t="s">
        <v>2663</v>
      </c>
      <c r="B647" s="1" t="n">
        <v>18378790</v>
      </c>
      <c r="C647" s="1" t="s">
        <v>2664</v>
      </c>
      <c r="D647" s="1" t="s">
        <v>2665</v>
      </c>
      <c r="E647" s="1" t="s">
        <v>2666</v>
      </c>
      <c r="F647" s="1" t="s">
        <v>2667</v>
      </c>
      <c r="G647" s="2" t="s">
        <v>28</v>
      </c>
      <c r="H647" s="1" t="n">
        <v>1</v>
      </c>
      <c r="I647" s="1" t="n">
        <v>-1</v>
      </c>
      <c r="J647" s="1" t="n">
        <v>0</v>
      </c>
      <c r="K647" s="1" t="n">
        <v>-1</v>
      </c>
      <c r="L647" s="2" t="n">
        <v>46</v>
      </c>
      <c r="M647" s="1" t="s">
        <v>65</v>
      </c>
      <c r="N647" s="1" t="s">
        <v>105</v>
      </c>
      <c r="O647" s="5" t="n">
        <v>46222.9666666667</v>
      </c>
      <c r="P647" s="5" t="n">
        <v>46223.25</v>
      </c>
      <c r="Q647" s="1" t="n">
        <v>62.9988</v>
      </c>
      <c r="R647" s="1" t="n">
        <v>-108.6513</v>
      </c>
      <c r="S647" s="1" t="s">
        <v>2668</v>
      </c>
      <c r="T647" s="1" t="n">
        <v>2026</v>
      </c>
      <c r="U647" s="1" t="n">
        <v>2026</v>
      </c>
      <c r="V647" s="5" t="n">
        <v>46223.90625</v>
      </c>
      <c r="W647" s="6" t="n">
        <v>46387.9999999884</v>
      </c>
    </row>
    <row r="648" customFormat="false" ht="12.75" hidden="false" customHeight="false" outlineLevel="0" collapsed="false">
      <c r="A648" s="1" t="s">
        <v>2669</v>
      </c>
      <c r="B648" s="1" t="n">
        <v>18374409</v>
      </c>
      <c r="C648" s="1" t="s">
        <v>2664</v>
      </c>
      <c r="D648" s="1" t="s">
        <v>2670</v>
      </c>
      <c r="E648" s="1" t="s">
        <v>2671</v>
      </c>
      <c r="F648" s="1" t="s">
        <v>2672</v>
      </c>
      <c r="G648" s="2" t="s">
        <v>28</v>
      </c>
      <c r="H648" s="1" t="n">
        <v>5</v>
      </c>
      <c r="I648" s="1" t="n">
        <v>-1</v>
      </c>
      <c r="J648" s="1" t="n">
        <v>0</v>
      </c>
      <c r="K648" s="1" t="n">
        <v>-1</v>
      </c>
      <c r="L648" s="2" t="n">
        <v>0.1</v>
      </c>
      <c r="M648" s="1" t="s">
        <v>65</v>
      </c>
      <c r="N648" s="1" t="s">
        <v>30</v>
      </c>
      <c r="O648" s="5" t="n">
        <v>46220.8465277778</v>
      </c>
      <c r="P648" s="5" t="n">
        <v>46220.8465277778</v>
      </c>
      <c r="Q648" s="1" t="n">
        <v>46.7795</v>
      </c>
      <c r="R648" s="1" t="n">
        <v>-73.035</v>
      </c>
      <c r="S648" s="1" t="s">
        <v>2673</v>
      </c>
      <c r="T648" s="1" t="n">
        <v>2026</v>
      </c>
      <c r="U648" s="1" t="n">
        <v>2026</v>
      </c>
      <c r="V648" s="5" t="n">
        <v>46223.8229166667</v>
      </c>
      <c r="W648" s="6" t="n">
        <v>46387.9999999884</v>
      </c>
    </row>
    <row r="649" customFormat="false" ht="12.75" hidden="false" customHeight="false" outlineLevel="0" collapsed="false">
      <c r="A649" s="1" t="s">
        <v>2674</v>
      </c>
      <c r="B649" s="1" t="n">
        <v>18374411</v>
      </c>
      <c r="C649" s="1" t="s">
        <v>2664</v>
      </c>
      <c r="D649" s="1" t="s">
        <v>2670</v>
      </c>
      <c r="E649" s="1" t="s">
        <v>2675</v>
      </c>
      <c r="F649" s="1" t="s">
        <v>2676</v>
      </c>
      <c r="G649" s="2" t="s">
        <v>28</v>
      </c>
      <c r="H649" s="1" t="n">
        <v>5</v>
      </c>
      <c r="I649" s="1" t="n">
        <v>-1</v>
      </c>
      <c r="J649" s="1" t="n">
        <v>0</v>
      </c>
      <c r="K649" s="1" t="n">
        <v>-1</v>
      </c>
      <c r="L649" s="2" t="n">
        <v>0.2</v>
      </c>
      <c r="M649" s="1" t="s">
        <v>65</v>
      </c>
      <c r="N649" s="1" t="s">
        <v>30</v>
      </c>
      <c r="O649" s="5" t="n">
        <v>46220.8527777778</v>
      </c>
      <c r="P649" s="5" t="n">
        <v>46220.8527777778</v>
      </c>
      <c r="Q649" s="1" t="n">
        <v>46.7903</v>
      </c>
      <c r="R649" s="1" t="n">
        <v>-72.9907</v>
      </c>
      <c r="S649" s="1" t="s">
        <v>2677</v>
      </c>
      <c r="T649" s="1" t="n">
        <v>2026</v>
      </c>
      <c r="U649" s="1" t="n">
        <v>2026</v>
      </c>
      <c r="V649" s="5" t="n">
        <v>46223.8229166667</v>
      </c>
      <c r="W649" s="6" t="n">
        <v>46387.9999999884</v>
      </c>
    </row>
    <row r="650" customFormat="false" ht="12.75" hidden="false" customHeight="false" outlineLevel="0" collapsed="false">
      <c r="A650" s="1" t="s">
        <v>2678</v>
      </c>
      <c r="B650" s="1" t="n">
        <v>18374408</v>
      </c>
      <c r="C650" s="1" t="s">
        <v>2664</v>
      </c>
      <c r="D650" s="1" t="s">
        <v>2670</v>
      </c>
      <c r="E650" s="1" t="s">
        <v>2679</v>
      </c>
      <c r="F650" s="1" t="s">
        <v>2680</v>
      </c>
      <c r="G650" s="2" t="s">
        <v>28</v>
      </c>
      <c r="H650" s="1" t="n">
        <v>5</v>
      </c>
      <c r="I650" s="1" t="n">
        <v>-1</v>
      </c>
      <c r="J650" s="1" t="n">
        <v>0</v>
      </c>
      <c r="K650" s="1" t="n">
        <v>-1</v>
      </c>
      <c r="L650" s="2" t="n">
        <v>0.1</v>
      </c>
      <c r="M650" s="1" t="s">
        <v>65</v>
      </c>
      <c r="N650" s="1" t="s">
        <v>30</v>
      </c>
      <c r="O650" s="5" t="n">
        <v>46220.8409722222</v>
      </c>
      <c r="P650" s="5" t="n">
        <v>46220.8409722222</v>
      </c>
      <c r="Q650" s="1" t="n">
        <v>46.776</v>
      </c>
      <c r="R650" s="1" t="n">
        <v>-72.9904</v>
      </c>
      <c r="S650" s="1" t="s">
        <v>2681</v>
      </c>
      <c r="T650" s="1" t="n">
        <v>2026</v>
      </c>
      <c r="U650" s="1" t="n">
        <v>2026</v>
      </c>
      <c r="V650" s="5" t="n">
        <v>46223.8229166667</v>
      </c>
      <c r="W650" s="6" t="n">
        <v>46387.9999999884</v>
      </c>
    </row>
    <row r="651" customFormat="false" ht="12.75" hidden="false" customHeight="false" outlineLevel="0" collapsed="false">
      <c r="A651" s="1" t="s">
        <v>2682</v>
      </c>
      <c r="B651" s="1" t="n">
        <v>18374410</v>
      </c>
      <c r="C651" s="1" t="s">
        <v>2664</v>
      </c>
      <c r="D651" s="1" t="s">
        <v>2670</v>
      </c>
      <c r="E651" s="1" t="s">
        <v>2683</v>
      </c>
      <c r="F651" s="1" t="s">
        <v>2684</v>
      </c>
      <c r="G651" s="2" t="s">
        <v>28</v>
      </c>
      <c r="H651" s="1" t="n">
        <v>5</v>
      </c>
      <c r="I651" s="1" t="n">
        <v>-1</v>
      </c>
      <c r="J651" s="1" t="n">
        <v>0</v>
      </c>
      <c r="K651" s="1" t="n">
        <v>-1</v>
      </c>
      <c r="L651" s="2" t="n">
        <v>0.2</v>
      </c>
      <c r="M651" s="1" t="s">
        <v>65</v>
      </c>
      <c r="N651" s="1" t="s">
        <v>30</v>
      </c>
      <c r="O651" s="5" t="n">
        <v>46220.8493055556</v>
      </c>
      <c r="P651" s="5" t="n">
        <v>46220.8493055556</v>
      </c>
      <c r="Q651" s="1" t="n">
        <v>46.809</v>
      </c>
      <c r="R651" s="1" t="n">
        <v>-72.9914</v>
      </c>
      <c r="S651" s="1" t="s">
        <v>2685</v>
      </c>
      <c r="T651" s="1" t="n">
        <v>2026</v>
      </c>
      <c r="U651" s="1" t="n">
        <v>2026</v>
      </c>
      <c r="V651" s="5" t="n">
        <v>46223.8229166667</v>
      </c>
      <c r="W651" s="6" t="n">
        <v>46387.9999999884</v>
      </c>
    </row>
    <row r="652" customFormat="false" ht="12.75" hidden="false" customHeight="false" outlineLevel="0" collapsed="false">
      <c r="A652" s="1" t="s">
        <v>2686</v>
      </c>
      <c r="B652" s="1" t="n">
        <v>18193140</v>
      </c>
      <c r="C652" s="1" t="s">
        <v>2664</v>
      </c>
      <c r="D652" s="1" t="s">
        <v>2687</v>
      </c>
      <c r="E652" s="1" t="s">
        <v>2688</v>
      </c>
      <c r="F652" s="1" t="s">
        <v>2689</v>
      </c>
      <c r="G652" s="2" t="s">
        <v>28</v>
      </c>
      <c r="H652" s="1" t="n">
        <v>5</v>
      </c>
      <c r="I652" s="1" t="n">
        <v>-1</v>
      </c>
      <c r="J652" s="1" t="n">
        <v>0</v>
      </c>
      <c r="K652" s="1" t="n">
        <v>-1</v>
      </c>
      <c r="L652" s="2" t="n">
        <v>55</v>
      </c>
      <c r="M652" s="1" t="s">
        <v>65</v>
      </c>
      <c r="N652" s="1" t="s">
        <v>105</v>
      </c>
      <c r="O652" s="5" t="n">
        <v>46188.0152777778</v>
      </c>
      <c r="P652" s="5" t="n">
        <v>46221.25</v>
      </c>
      <c r="Q652" s="1" t="n">
        <v>61.1535</v>
      </c>
      <c r="R652" s="1" t="n">
        <v>-125.0664</v>
      </c>
      <c r="S652" s="1" t="s">
        <v>2690</v>
      </c>
      <c r="T652" s="1" t="n">
        <v>2026</v>
      </c>
      <c r="U652" s="1" t="n">
        <v>2026</v>
      </c>
      <c r="V652" s="5" t="n">
        <v>46221.8229166667</v>
      </c>
      <c r="W652" s="6" t="n">
        <v>46387.9999999884</v>
      </c>
    </row>
    <row r="653" customFormat="false" ht="12.75" hidden="false" customHeight="false" outlineLevel="0" collapsed="false">
      <c r="A653" s="1" t="s">
        <v>2691</v>
      </c>
      <c r="B653" s="1" t="n">
        <v>18193142</v>
      </c>
      <c r="C653" s="1" t="s">
        <v>2664</v>
      </c>
      <c r="D653" s="1" t="s">
        <v>2687</v>
      </c>
      <c r="E653" s="1" t="s">
        <v>2692</v>
      </c>
      <c r="F653" s="1" t="s">
        <v>2693</v>
      </c>
      <c r="G653" s="2" t="s">
        <v>28</v>
      </c>
      <c r="H653" s="1" t="n">
        <v>5</v>
      </c>
      <c r="I653" s="1" t="n">
        <v>-1</v>
      </c>
      <c r="J653" s="1" t="n">
        <v>0</v>
      </c>
      <c r="K653" s="1" t="n">
        <v>-1</v>
      </c>
      <c r="L653" s="2" t="n">
        <v>45</v>
      </c>
      <c r="M653" s="1" t="s">
        <v>65</v>
      </c>
      <c r="N653" s="1" t="s">
        <v>105</v>
      </c>
      <c r="O653" s="5" t="n">
        <v>46199.0236111111</v>
      </c>
      <c r="P653" s="5" t="n">
        <v>46220.25</v>
      </c>
      <c r="Q653" s="1" t="n">
        <v>61.8886</v>
      </c>
      <c r="R653" s="1" t="n">
        <v>-124.8073</v>
      </c>
      <c r="S653" s="1" t="s">
        <v>2694</v>
      </c>
      <c r="T653" s="1" t="n">
        <v>2026</v>
      </c>
      <c r="U653" s="1" t="n">
        <v>2026</v>
      </c>
      <c r="V653" s="5" t="n">
        <v>46221.8229166667</v>
      </c>
      <c r="W653" s="6" t="n">
        <v>46387.9999999884</v>
      </c>
    </row>
    <row r="654" customFormat="false" ht="12.75" hidden="false" customHeight="false" outlineLevel="0" collapsed="false">
      <c r="A654" s="1" t="s">
        <v>2695</v>
      </c>
      <c r="B654" s="1" t="n">
        <v>18193141</v>
      </c>
      <c r="C654" s="1" t="s">
        <v>2664</v>
      </c>
      <c r="D654" s="1" t="s">
        <v>2687</v>
      </c>
      <c r="E654" s="1" t="s">
        <v>2696</v>
      </c>
      <c r="F654" s="1" t="s">
        <v>2697</v>
      </c>
      <c r="G654" s="2" t="s">
        <v>28</v>
      </c>
      <c r="H654" s="1" t="n">
        <v>5</v>
      </c>
      <c r="I654" s="1" t="n">
        <v>-1</v>
      </c>
      <c r="J654" s="1" t="n">
        <v>0</v>
      </c>
      <c r="K654" s="1" t="n">
        <v>-1</v>
      </c>
      <c r="L654" s="2" t="n">
        <v>230</v>
      </c>
      <c r="M654" s="1" t="s">
        <v>65</v>
      </c>
      <c r="N654" s="1" t="s">
        <v>105</v>
      </c>
      <c r="O654" s="5" t="n">
        <v>46198.7388888889</v>
      </c>
      <c r="P654" s="5" t="n">
        <v>46220.25</v>
      </c>
      <c r="Q654" s="1" t="n">
        <v>61.6639</v>
      </c>
      <c r="R654" s="1" t="n">
        <v>-124.0087</v>
      </c>
      <c r="S654" s="1" t="s">
        <v>2698</v>
      </c>
      <c r="T654" s="1" t="n">
        <v>2026</v>
      </c>
      <c r="U654" s="1" t="n">
        <v>2026</v>
      </c>
      <c r="V654" s="5" t="n">
        <v>46221.8229166667</v>
      </c>
      <c r="W654" s="6" t="n">
        <v>46387.9999999884</v>
      </c>
    </row>
    <row r="655" customFormat="false" ht="12.75" hidden="false" customHeight="false" outlineLevel="0" collapsed="false">
      <c r="A655" s="1" t="s">
        <v>2699</v>
      </c>
      <c r="B655" s="1" t="n">
        <v>18023747</v>
      </c>
      <c r="C655" s="1" t="s">
        <v>2664</v>
      </c>
      <c r="D655" s="1" t="s">
        <v>2700</v>
      </c>
      <c r="E655" s="1" t="s">
        <v>2701</v>
      </c>
      <c r="F655" s="1" t="s">
        <v>2702</v>
      </c>
      <c r="G655" s="2" t="s">
        <v>28</v>
      </c>
      <c r="H655" s="1" t="n">
        <v>5</v>
      </c>
      <c r="I655" s="1" t="n">
        <v>-1</v>
      </c>
      <c r="J655" s="1" t="n">
        <v>0</v>
      </c>
      <c r="K655" s="1" t="n">
        <v>-1</v>
      </c>
      <c r="L655" s="2" t="n">
        <v>2400</v>
      </c>
      <c r="M655" s="1" t="s">
        <v>65</v>
      </c>
      <c r="N655" s="1" t="s">
        <v>105</v>
      </c>
      <c r="O655" s="5" t="n">
        <v>46201.6833333333</v>
      </c>
      <c r="P655" s="5" t="n">
        <v>46217.25</v>
      </c>
      <c r="Q655" s="1" t="n">
        <v>66.156</v>
      </c>
      <c r="R655" s="1" t="n">
        <v>-122.4975</v>
      </c>
      <c r="S655" s="1" t="s">
        <v>2703</v>
      </c>
      <c r="T655" s="1" t="n">
        <v>2026</v>
      </c>
      <c r="U655" s="1" t="n">
        <v>2026</v>
      </c>
      <c r="V655" s="5" t="n">
        <v>46219.90625</v>
      </c>
      <c r="W655" s="6" t="n">
        <v>46387.9999999884</v>
      </c>
    </row>
    <row r="656" customFormat="false" ht="12.75" hidden="false" customHeight="false" outlineLevel="0" collapsed="false">
      <c r="A656" s="1" t="s">
        <v>2704</v>
      </c>
      <c r="B656" s="1" t="n">
        <v>18013402</v>
      </c>
      <c r="C656" s="1" t="s">
        <v>2664</v>
      </c>
      <c r="D656" s="1" t="s">
        <v>2705</v>
      </c>
      <c r="E656" s="1" t="s">
        <v>2706</v>
      </c>
      <c r="F656" s="1" t="s">
        <v>2707</v>
      </c>
      <c r="G656" s="2" t="s">
        <v>28</v>
      </c>
      <c r="H656" s="1" t="n">
        <v>5</v>
      </c>
      <c r="I656" s="1" t="n">
        <v>-1</v>
      </c>
      <c r="J656" s="1" t="n">
        <v>0</v>
      </c>
      <c r="K656" s="1" t="n">
        <v>-1</v>
      </c>
      <c r="L656" s="2" t="n">
        <v>34</v>
      </c>
      <c r="M656" s="1" t="s">
        <v>29</v>
      </c>
      <c r="N656" s="1" t="s">
        <v>105</v>
      </c>
      <c r="O656" s="5" t="n">
        <v>46219.0951388889</v>
      </c>
      <c r="P656" s="5" t="n">
        <v>46218.25</v>
      </c>
      <c r="Q656" s="1" t="n">
        <v>58.8847</v>
      </c>
      <c r="R656" s="1" t="n">
        <v>-113.9608</v>
      </c>
      <c r="S656" s="1" t="s">
        <v>2708</v>
      </c>
      <c r="T656" s="1" t="n">
        <v>2026</v>
      </c>
      <c r="U656" s="1" t="n">
        <v>2026</v>
      </c>
      <c r="V656" s="5" t="n">
        <v>46219.78125</v>
      </c>
      <c r="W656" s="6" t="n">
        <v>46387.9999999884</v>
      </c>
    </row>
    <row r="657" customFormat="false" ht="12.75" hidden="false" customHeight="false" outlineLevel="0" collapsed="false">
      <c r="A657" s="1" t="s">
        <v>2709</v>
      </c>
      <c r="B657" s="1" t="n">
        <v>17926407</v>
      </c>
      <c r="C657" s="1" t="s">
        <v>2664</v>
      </c>
      <c r="D657" s="1" t="s">
        <v>2705</v>
      </c>
      <c r="E657" s="1" t="s">
        <v>2710</v>
      </c>
      <c r="F657" s="1" t="s">
        <v>2711</v>
      </c>
      <c r="G657" s="2" t="s">
        <v>28</v>
      </c>
      <c r="H657" s="1" t="n">
        <v>2</v>
      </c>
      <c r="I657" s="1" t="n">
        <v>-1</v>
      </c>
      <c r="J657" s="1" t="n">
        <v>0</v>
      </c>
      <c r="K657" s="1" t="n">
        <v>-1</v>
      </c>
      <c r="L657" s="2" t="n">
        <v>51780</v>
      </c>
      <c r="M657" s="1" t="s">
        <v>29</v>
      </c>
      <c r="N657" s="1" t="s">
        <v>37</v>
      </c>
      <c r="O657" s="5" t="n">
        <v>46164.0111111111</v>
      </c>
      <c r="P657" s="5" t="n">
        <v>46173.25</v>
      </c>
      <c r="Q657" s="1" t="n">
        <v>60.354</v>
      </c>
      <c r="R657" s="1" t="n">
        <v>-113.1068</v>
      </c>
      <c r="S657" s="1" t="s">
        <v>2712</v>
      </c>
      <c r="T657" s="1" t="n">
        <v>2026</v>
      </c>
      <c r="U657" s="1" t="n">
        <v>2026</v>
      </c>
      <c r="V657" s="5" t="n">
        <v>46218.7395833333</v>
      </c>
      <c r="W657" s="6" t="n">
        <v>46387.9999999884</v>
      </c>
    </row>
    <row r="658" customFormat="false" ht="12.75" hidden="false" customHeight="false" outlineLevel="0" collapsed="false">
      <c r="A658" s="1" t="s">
        <v>2713</v>
      </c>
      <c r="B658" s="1" t="n">
        <v>17926398</v>
      </c>
      <c r="C658" s="1" t="s">
        <v>2664</v>
      </c>
      <c r="D658" s="1" t="s">
        <v>2705</v>
      </c>
      <c r="E658" s="1" t="s">
        <v>2714</v>
      </c>
      <c r="F658" s="1" t="s">
        <v>2715</v>
      </c>
      <c r="G658" s="2" t="s">
        <v>28</v>
      </c>
      <c r="H658" s="1" t="n">
        <v>5</v>
      </c>
      <c r="I658" s="1" t="n">
        <v>-1</v>
      </c>
      <c r="J658" s="1" t="n">
        <v>0</v>
      </c>
      <c r="K658" s="1" t="n">
        <v>-1</v>
      </c>
      <c r="L658" s="2" t="n">
        <v>2707</v>
      </c>
      <c r="M658" s="1" t="s">
        <v>70</v>
      </c>
      <c r="N658" s="1" t="s">
        <v>105</v>
      </c>
      <c r="O658" s="5" t="n">
        <v>46198.0423611111</v>
      </c>
      <c r="P658" s="5" t="n">
        <v>46198.25</v>
      </c>
      <c r="Q658" s="1" t="n">
        <v>58.9558</v>
      </c>
      <c r="R658" s="1" t="n">
        <v>-113.6464</v>
      </c>
      <c r="S658" s="1" t="s">
        <v>2716</v>
      </c>
      <c r="T658" s="1" t="n">
        <v>2026</v>
      </c>
      <c r="U658" s="1" t="n">
        <v>2026</v>
      </c>
      <c r="V658" s="5" t="n">
        <v>46218.7395833333</v>
      </c>
      <c r="W658" s="6" t="n">
        <v>46387.9999999884</v>
      </c>
    </row>
    <row r="659" customFormat="false" ht="12.75" hidden="false" customHeight="false" outlineLevel="0" collapsed="false">
      <c r="A659" s="1" t="s">
        <v>2717</v>
      </c>
      <c r="B659" s="1" t="n">
        <v>17926406</v>
      </c>
      <c r="C659" s="1" t="s">
        <v>2664</v>
      </c>
      <c r="D659" s="1" t="s">
        <v>2705</v>
      </c>
      <c r="E659" s="1" t="s">
        <v>2718</v>
      </c>
      <c r="F659" s="1" t="s">
        <v>2719</v>
      </c>
      <c r="G659" s="2" t="s">
        <v>28</v>
      </c>
      <c r="H659" s="1" t="n">
        <v>5</v>
      </c>
      <c r="I659" s="1" t="n">
        <v>-1</v>
      </c>
      <c r="J659" s="1" t="n">
        <v>0</v>
      </c>
      <c r="K659" s="1" t="n">
        <v>-1</v>
      </c>
      <c r="L659" s="2" t="n">
        <v>2.2</v>
      </c>
      <c r="M659" s="1" t="s">
        <v>29</v>
      </c>
      <c r="N659" s="1" t="s">
        <v>37</v>
      </c>
      <c r="O659" s="5" t="n">
        <v>46164.0048611111</v>
      </c>
      <c r="P659" s="5" t="n">
        <v>46163.25</v>
      </c>
      <c r="Q659" s="1" t="n">
        <v>60.3469</v>
      </c>
      <c r="R659" s="1" t="n">
        <v>-113.1578</v>
      </c>
      <c r="S659" s="1" t="s">
        <v>2720</v>
      </c>
      <c r="T659" s="1" t="n">
        <v>2026</v>
      </c>
      <c r="U659" s="1" t="n">
        <v>2026</v>
      </c>
      <c r="V659" s="5" t="n">
        <v>46218.7395833333</v>
      </c>
      <c r="W659" s="6" t="n">
        <v>46387.9999999884</v>
      </c>
    </row>
    <row r="660" customFormat="false" ht="12.75" hidden="false" customHeight="false" outlineLevel="0" collapsed="false">
      <c r="A660" s="1" t="s">
        <v>2721</v>
      </c>
      <c r="B660" s="1" t="n">
        <v>17926412</v>
      </c>
      <c r="C660" s="1" t="s">
        <v>2664</v>
      </c>
      <c r="D660" s="1" t="s">
        <v>2705</v>
      </c>
      <c r="E660" s="1" t="s">
        <v>2722</v>
      </c>
      <c r="F660" s="1" t="s">
        <v>2723</v>
      </c>
      <c r="G660" s="2" t="s">
        <v>28</v>
      </c>
      <c r="H660" s="1" t="n">
        <v>3</v>
      </c>
      <c r="I660" s="1" t="n">
        <v>-1</v>
      </c>
      <c r="J660" s="1" t="n">
        <v>0</v>
      </c>
      <c r="K660" s="1" t="n">
        <v>-1</v>
      </c>
      <c r="L660" s="2" t="n">
        <v>760</v>
      </c>
      <c r="M660" s="1" t="s">
        <v>70</v>
      </c>
      <c r="N660" s="1" t="s">
        <v>37</v>
      </c>
      <c r="O660" s="5" t="n">
        <v>46172.7347222222</v>
      </c>
      <c r="P660" s="5" t="n">
        <v>46172.25</v>
      </c>
      <c r="Q660" s="1" t="n">
        <v>60.5578</v>
      </c>
      <c r="R660" s="1" t="n">
        <v>-113.0924</v>
      </c>
      <c r="S660" s="1" t="s">
        <v>2724</v>
      </c>
      <c r="T660" s="1" t="n">
        <v>2026</v>
      </c>
      <c r="U660" s="1" t="n">
        <v>2026</v>
      </c>
      <c r="V660" s="5" t="n">
        <v>46218.7395833333</v>
      </c>
      <c r="W660" s="6" t="n">
        <v>46387.9999999884</v>
      </c>
    </row>
    <row r="661" customFormat="false" ht="12.75" hidden="false" customHeight="false" outlineLevel="0" collapsed="false">
      <c r="A661" s="1" t="s">
        <v>2725</v>
      </c>
      <c r="B661" s="1" t="n">
        <v>17917967</v>
      </c>
      <c r="C661" s="1" t="s">
        <v>2664</v>
      </c>
      <c r="D661" s="1" t="s">
        <v>2705</v>
      </c>
      <c r="E661" s="1" t="s">
        <v>2726</v>
      </c>
      <c r="F661" s="1" t="s">
        <v>2727</v>
      </c>
      <c r="G661" s="2" t="s">
        <v>28</v>
      </c>
      <c r="H661" s="1" t="n">
        <v>5</v>
      </c>
      <c r="I661" s="1" t="n">
        <v>-1</v>
      </c>
      <c r="J661" s="1" t="n">
        <v>0</v>
      </c>
      <c r="K661" s="1" t="n">
        <v>-1</v>
      </c>
      <c r="L661" s="2" t="n">
        <v>1.5</v>
      </c>
      <c r="M661" s="1" t="s">
        <v>29</v>
      </c>
      <c r="N661" s="1" t="s">
        <v>37</v>
      </c>
      <c r="O661" s="5" t="n">
        <v>46216.1173611111</v>
      </c>
      <c r="P661" s="5" t="n">
        <v>46215.25</v>
      </c>
      <c r="Q661" s="1" t="n">
        <v>60.0181</v>
      </c>
      <c r="R661" s="1" t="n">
        <v>-113.5006</v>
      </c>
      <c r="S661" s="1" t="s">
        <v>2728</v>
      </c>
      <c r="T661" s="1" t="n">
        <v>2026</v>
      </c>
      <c r="U661" s="1" t="n">
        <v>2026</v>
      </c>
      <c r="V661" s="5" t="n">
        <v>46218.65625</v>
      </c>
      <c r="W661" s="6" t="n">
        <v>46387.9999999884</v>
      </c>
    </row>
    <row r="662" customFormat="false" ht="12.75" hidden="false" customHeight="false" outlineLevel="0" collapsed="false">
      <c r="A662" s="1" t="s">
        <v>2729</v>
      </c>
      <c r="B662" s="1" t="n">
        <v>17770606</v>
      </c>
      <c r="C662" s="1" t="s">
        <v>2664</v>
      </c>
      <c r="D662" s="1" t="s">
        <v>2730</v>
      </c>
      <c r="E662" s="1" t="s">
        <v>2731</v>
      </c>
      <c r="F662" s="1" t="s">
        <v>2732</v>
      </c>
      <c r="G662" s="2" t="s">
        <v>28</v>
      </c>
      <c r="H662" s="1" t="n">
        <v>5</v>
      </c>
      <c r="I662" s="1" t="n">
        <v>-1</v>
      </c>
      <c r="J662" s="1" t="n">
        <v>0</v>
      </c>
      <c r="K662" s="1" t="n">
        <v>-1</v>
      </c>
      <c r="L662" s="2" t="n">
        <v>65</v>
      </c>
      <c r="M662" s="1" t="s">
        <v>65</v>
      </c>
      <c r="N662" s="1" t="s">
        <v>105</v>
      </c>
      <c r="O662" s="5" t="n">
        <v>46207.1270833333</v>
      </c>
      <c r="P662" s="5" t="n">
        <v>46207.2083333333</v>
      </c>
      <c r="Q662" s="1" t="n">
        <v>58.46</v>
      </c>
      <c r="R662" s="1" t="n">
        <v>-93.7</v>
      </c>
      <c r="S662" s="1" t="s">
        <v>2733</v>
      </c>
      <c r="T662" s="1" t="n">
        <v>2026</v>
      </c>
      <c r="U662" s="1" t="n">
        <v>2026</v>
      </c>
      <c r="V662" s="5" t="n">
        <v>46216.8229166667</v>
      </c>
      <c r="W662" s="6" t="n">
        <v>46387.9999999884</v>
      </c>
    </row>
    <row r="663" customFormat="false" ht="12.75" hidden="false" customHeight="false" outlineLevel="0" collapsed="false">
      <c r="A663" s="1" t="s">
        <v>2734</v>
      </c>
      <c r="B663" s="1" t="n">
        <v>17459187</v>
      </c>
      <c r="C663" s="1" t="s">
        <v>2664</v>
      </c>
      <c r="D663" s="1" t="s">
        <v>2705</v>
      </c>
      <c r="E663" s="1" t="s">
        <v>2735</v>
      </c>
      <c r="F663" s="1" t="s">
        <v>2736</v>
      </c>
      <c r="G663" s="2" t="s">
        <v>28</v>
      </c>
      <c r="H663" s="1" t="n">
        <v>5</v>
      </c>
      <c r="I663" s="1" t="n">
        <v>-1</v>
      </c>
      <c r="J663" s="1" t="n">
        <v>0</v>
      </c>
      <c r="K663" s="1" t="n">
        <v>-1</v>
      </c>
      <c r="L663" s="2" t="n">
        <v>15065</v>
      </c>
      <c r="M663" s="1" t="s">
        <v>70</v>
      </c>
      <c r="N663" s="1" t="s">
        <v>105</v>
      </c>
      <c r="O663" s="5" t="n">
        <v>46199.0444444444</v>
      </c>
      <c r="P663" s="5" t="n">
        <v>46198.25</v>
      </c>
      <c r="Q663" s="1" t="n">
        <v>60.0874</v>
      </c>
      <c r="R663" s="1" t="n">
        <v>-113.9371</v>
      </c>
      <c r="S663" s="1" t="s">
        <v>2737</v>
      </c>
      <c r="T663" s="1" t="n">
        <v>2026</v>
      </c>
      <c r="U663" s="1" t="n">
        <v>2026</v>
      </c>
      <c r="V663" s="5" t="n">
        <v>46212.7395833333</v>
      </c>
      <c r="W663" s="6" t="n">
        <v>46387.9999999884</v>
      </c>
    </row>
    <row r="664" customFormat="false" ht="12.75" hidden="false" customHeight="false" outlineLevel="0" collapsed="false">
      <c r="A664" s="1" t="s">
        <v>2738</v>
      </c>
      <c r="B664" s="1" t="n">
        <v>17459189</v>
      </c>
      <c r="C664" s="1" t="s">
        <v>2664</v>
      </c>
      <c r="D664" s="1" t="s">
        <v>2705</v>
      </c>
      <c r="E664" s="1" t="s">
        <v>2739</v>
      </c>
      <c r="F664" s="1" t="s">
        <v>2740</v>
      </c>
      <c r="G664" s="2" t="s">
        <v>28</v>
      </c>
      <c r="H664" s="1" t="n">
        <v>5</v>
      </c>
      <c r="I664" s="1" t="n">
        <v>-1</v>
      </c>
      <c r="J664" s="1" t="n">
        <v>0</v>
      </c>
      <c r="K664" s="1" t="n">
        <v>-1</v>
      </c>
      <c r="L664" s="2" t="n">
        <v>20134</v>
      </c>
      <c r="M664" s="1" t="s">
        <v>70</v>
      </c>
      <c r="N664" s="1" t="s">
        <v>105</v>
      </c>
      <c r="O664" s="5" t="n">
        <v>46199.05</v>
      </c>
      <c r="P664" s="5" t="n">
        <v>46198.25</v>
      </c>
      <c r="Q664" s="1" t="n">
        <v>60.209</v>
      </c>
      <c r="R664" s="1" t="n">
        <v>-113.3417</v>
      </c>
      <c r="S664" s="1" t="s">
        <v>2741</v>
      </c>
      <c r="T664" s="1" t="n">
        <v>2026</v>
      </c>
      <c r="U664" s="1" t="n">
        <v>2026</v>
      </c>
      <c r="V664" s="5" t="n">
        <v>46212.7395833333</v>
      </c>
      <c r="W664" s="6" t="n">
        <v>46387.9999999884</v>
      </c>
    </row>
    <row r="665" customFormat="false" ht="12.75" hidden="false" customHeight="false" outlineLevel="0" collapsed="false">
      <c r="A665" s="1" t="s">
        <v>2742</v>
      </c>
      <c r="B665" s="1" t="n">
        <v>17458154</v>
      </c>
      <c r="C665" s="1" t="s">
        <v>2664</v>
      </c>
      <c r="D665" s="1" t="s">
        <v>2705</v>
      </c>
      <c r="E665" s="1" t="s">
        <v>2743</v>
      </c>
      <c r="F665" s="1" t="s">
        <v>2744</v>
      </c>
      <c r="G665" s="2" t="s">
        <v>28</v>
      </c>
      <c r="H665" s="1" t="n">
        <v>4</v>
      </c>
      <c r="I665" s="1" t="n">
        <v>-1</v>
      </c>
      <c r="J665" s="1" t="n">
        <v>0</v>
      </c>
      <c r="K665" s="1" t="n">
        <v>-1</v>
      </c>
      <c r="L665" s="2" t="n">
        <v>11984</v>
      </c>
      <c r="M665" s="1" t="s">
        <v>29</v>
      </c>
      <c r="N665" s="1" t="s">
        <v>105</v>
      </c>
      <c r="O665" s="5" t="n">
        <v>46199.6819444444</v>
      </c>
      <c r="P665" s="5" t="n">
        <v>46199.25</v>
      </c>
      <c r="Q665" s="1" t="n">
        <v>60.116</v>
      </c>
      <c r="R665" s="1" t="n">
        <v>-112.8568</v>
      </c>
      <c r="S665" s="1" t="s">
        <v>2745</v>
      </c>
      <c r="T665" s="1" t="n">
        <v>2026</v>
      </c>
      <c r="U665" s="1" t="n">
        <v>2026</v>
      </c>
      <c r="V665" s="5" t="n">
        <v>46212.6979166667</v>
      </c>
      <c r="W665" s="6" t="n">
        <v>46387.9999999884</v>
      </c>
    </row>
    <row r="666" customFormat="false" ht="12.75" hidden="false" customHeight="false" outlineLevel="0" collapsed="false">
      <c r="A666" s="1" t="s">
        <v>2746</v>
      </c>
      <c r="B666" s="1" t="n">
        <v>17451333</v>
      </c>
      <c r="C666" s="1" t="s">
        <v>2664</v>
      </c>
      <c r="D666" s="1" t="s">
        <v>2700</v>
      </c>
      <c r="E666" s="1" t="s">
        <v>2747</v>
      </c>
      <c r="F666" s="1" t="s">
        <v>2748</v>
      </c>
      <c r="G666" s="2" t="s">
        <v>28</v>
      </c>
      <c r="H666" s="1" t="n">
        <v>5</v>
      </c>
      <c r="I666" s="1" t="n">
        <v>-1</v>
      </c>
      <c r="J666" s="1" t="n">
        <v>0</v>
      </c>
      <c r="K666" s="1" t="n">
        <v>-1</v>
      </c>
      <c r="L666" s="2" t="n">
        <v>260</v>
      </c>
      <c r="M666" s="1" t="s">
        <v>65</v>
      </c>
      <c r="N666" s="1" t="s">
        <v>105</v>
      </c>
      <c r="O666" s="5" t="n">
        <v>46211.6597222222</v>
      </c>
      <c r="P666" s="5" t="n">
        <v>46218.25</v>
      </c>
      <c r="Q666" s="1" t="n">
        <v>64.9034</v>
      </c>
      <c r="R666" s="1" t="n">
        <v>-121.7069</v>
      </c>
      <c r="S666" s="1" t="s">
        <v>2749</v>
      </c>
      <c r="T666" s="1" t="n">
        <v>2026</v>
      </c>
      <c r="U666" s="1" t="n">
        <v>2026</v>
      </c>
      <c r="V666" s="5" t="n">
        <v>46212.6145833333</v>
      </c>
      <c r="W666" s="6" t="n">
        <v>46387.9999999884</v>
      </c>
    </row>
    <row r="667" customFormat="false" ht="12.75" hidden="false" customHeight="false" outlineLevel="0" collapsed="false">
      <c r="A667" s="1" t="s">
        <v>2750</v>
      </c>
      <c r="B667" s="1" t="n">
        <v>17399429</v>
      </c>
      <c r="C667" s="1" t="s">
        <v>2664</v>
      </c>
      <c r="D667" s="1" t="s">
        <v>2700</v>
      </c>
      <c r="E667" s="1" t="s">
        <v>2751</v>
      </c>
      <c r="F667" s="1" t="s">
        <v>2752</v>
      </c>
      <c r="G667" s="2" t="s">
        <v>28</v>
      </c>
      <c r="H667" s="1" t="n">
        <v>5</v>
      </c>
      <c r="I667" s="1" t="n">
        <v>-1</v>
      </c>
      <c r="J667" s="1" t="n">
        <v>0</v>
      </c>
      <c r="K667" s="1" t="n">
        <v>-1</v>
      </c>
      <c r="L667" s="2" t="n">
        <v>3000</v>
      </c>
      <c r="M667" s="1" t="s">
        <v>65</v>
      </c>
      <c r="N667" s="1" t="s">
        <v>105</v>
      </c>
      <c r="O667" s="5" t="n">
        <v>46199.9888888889</v>
      </c>
      <c r="P667" s="5" t="n">
        <v>46218.25</v>
      </c>
      <c r="Q667" s="1" t="n">
        <v>65.1599</v>
      </c>
      <c r="R667" s="1" t="n">
        <v>-121.5504</v>
      </c>
      <c r="S667" s="1" t="s">
        <v>2753</v>
      </c>
      <c r="T667" s="1" t="n">
        <v>2026</v>
      </c>
      <c r="U667" s="1" t="n">
        <v>2026</v>
      </c>
      <c r="V667" s="5" t="n">
        <v>46211.90625</v>
      </c>
      <c r="W667" s="6" t="n">
        <v>46387.9999999884</v>
      </c>
    </row>
    <row r="668" customFormat="false" ht="12.75" hidden="false" customHeight="false" outlineLevel="0" collapsed="false">
      <c r="A668" s="1" t="s">
        <v>2754</v>
      </c>
      <c r="B668" s="1" t="n">
        <v>17399415</v>
      </c>
      <c r="C668" s="1" t="s">
        <v>2664</v>
      </c>
      <c r="D668" s="1" t="s">
        <v>2755</v>
      </c>
      <c r="E668" s="1" t="s">
        <v>2756</v>
      </c>
      <c r="F668" s="1" t="s">
        <v>2757</v>
      </c>
      <c r="G668" s="2" t="s">
        <v>28</v>
      </c>
      <c r="H668" s="1" t="n">
        <v>1</v>
      </c>
      <c r="I668" s="1" t="n">
        <v>-1</v>
      </c>
      <c r="J668" s="1" t="n">
        <v>0</v>
      </c>
      <c r="K668" s="1" t="n">
        <v>-1</v>
      </c>
      <c r="L668" s="2" t="n">
        <v>1089</v>
      </c>
      <c r="M668" s="1" t="s">
        <v>65</v>
      </c>
      <c r="N668" s="1" t="s">
        <v>105</v>
      </c>
      <c r="O668" s="5" t="n">
        <v>46204.6944444444</v>
      </c>
      <c r="P668" s="5" t="n">
        <v>46211.125</v>
      </c>
      <c r="Q668" s="1" t="n">
        <v>53.9166</v>
      </c>
      <c r="R668" s="1" t="n">
        <v>-57.5053</v>
      </c>
      <c r="S668" s="1" t="s">
        <v>2758</v>
      </c>
      <c r="T668" s="1" t="n">
        <v>2026</v>
      </c>
      <c r="U668" s="1" t="n">
        <v>2026</v>
      </c>
      <c r="V668" s="5" t="n">
        <v>46211.90625</v>
      </c>
      <c r="W668" s="6" t="n">
        <v>46387.9999999884</v>
      </c>
    </row>
    <row r="669" customFormat="false" ht="12.75" hidden="false" customHeight="false" outlineLevel="0" collapsed="false">
      <c r="A669" s="1" t="s">
        <v>2759</v>
      </c>
      <c r="B669" s="1" t="n">
        <v>16895580</v>
      </c>
      <c r="C669" s="1" t="s">
        <v>2664</v>
      </c>
      <c r="D669" s="1" t="s">
        <v>2705</v>
      </c>
      <c r="E669" s="1" t="s">
        <v>2760</v>
      </c>
      <c r="F669" s="1" t="s">
        <v>2761</v>
      </c>
      <c r="G669" s="2" t="s">
        <v>28</v>
      </c>
      <c r="H669" s="1" t="n">
        <v>4</v>
      </c>
      <c r="I669" s="1" t="n">
        <v>-1</v>
      </c>
      <c r="J669" s="1" t="n">
        <v>0</v>
      </c>
      <c r="K669" s="1" t="n">
        <v>-1</v>
      </c>
      <c r="L669" s="2" t="n">
        <v>2405</v>
      </c>
      <c r="M669" s="1" t="s">
        <v>29</v>
      </c>
      <c r="N669" s="1" t="s">
        <v>105</v>
      </c>
      <c r="O669" s="5" t="n">
        <v>46197.7145833333</v>
      </c>
      <c r="P669" s="5" t="n">
        <v>46201.25</v>
      </c>
      <c r="Q669" s="1" t="n">
        <v>60.3429</v>
      </c>
      <c r="R669" s="1" t="n">
        <v>-113.7093</v>
      </c>
      <c r="S669" s="1" t="s">
        <v>2762</v>
      </c>
      <c r="T669" s="1" t="n">
        <v>2026</v>
      </c>
      <c r="U669" s="1" t="n">
        <v>2026</v>
      </c>
      <c r="V669" s="5" t="n">
        <v>46204.78125</v>
      </c>
      <c r="W669" s="6" t="n">
        <v>46387.9999999884</v>
      </c>
    </row>
    <row r="670" customFormat="false" ht="12.75" hidden="false" customHeight="false" outlineLevel="0" collapsed="false">
      <c r="A670" s="1" t="s">
        <v>2763</v>
      </c>
      <c r="B670" s="1" t="n">
        <v>16892048</v>
      </c>
      <c r="C670" s="1" t="s">
        <v>2664</v>
      </c>
      <c r="D670" s="1" t="s">
        <v>2705</v>
      </c>
      <c r="E670" s="1" t="s">
        <v>2764</v>
      </c>
      <c r="F670" s="1" t="s">
        <v>2765</v>
      </c>
      <c r="G670" s="2" t="s">
        <v>28</v>
      </c>
      <c r="H670" s="1" t="n">
        <v>5</v>
      </c>
      <c r="I670" s="1" t="n">
        <v>-1</v>
      </c>
      <c r="J670" s="1" t="n">
        <v>0</v>
      </c>
      <c r="K670" s="1" t="n">
        <v>-1</v>
      </c>
      <c r="L670" s="2" t="n">
        <v>42</v>
      </c>
      <c r="M670" s="1" t="s">
        <v>70</v>
      </c>
      <c r="N670" s="1" t="s">
        <v>105</v>
      </c>
      <c r="O670" s="5" t="n">
        <v>46170.9881944444</v>
      </c>
      <c r="P670" s="5" t="n">
        <v>46172.25</v>
      </c>
      <c r="Q670" s="1" t="n">
        <v>59.2882</v>
      </c>
      <c r="R670" s="1" t="n">
        <v>-113.6355</v>
      </c>
      <c r="S670" s="1" t="s">
        <v>2766</v>
      </c>
      <c r="T670" s="1" t="n">
        <v>2026</v>
      </c>
      <c r="U670" s="1" t="n">
        <v>2026</v>
      </c>
      <c r="V670" s="5" t="n">
        <v>46204.7395833333</v>
      </c>
      <c r="W670" s="6" t="n">
        <v>46387.9999999884</v>
      </c>
    </row>
    <row r="671" customFormat="false" ht="12.75" hidden="false" customHeight="false" outlineLevel="0" collapsed="false">
      <c r="A671" s="1" t="s">
        <v>2767</v>
      </c>
      <c r="B671" s="1" t="n">
        <v>16653008</v>
      </c>
      <c r="C671" s="1" t="s">
        <v>2664</v>
      </c>
      <c r="D671" s="1" t="s">
        <v>2700</v>
      </c>
      <c r="E671" s="1" t="s">
        <v>2768</v>
      </c>
      <c r="F671" s="1" t="s">
        <v>2769</v>
      </c>
      <c r="G671" s="2" t="s">
        <v>28</v>
      </c>
      <c r="H671" s="1" t="n">
        <v>5</v>
      </c>
      <c r="I671" s="1" t="n">
        <v>-1</v>
      </c>
      <c r="J671" s="1" t="n">
        <v>0</v>
      </c>
      <c r="K671" s="1" t="n">
        <v>-1</v>
      </c>
      <c r="L671" s="2" t="n">
        <v>897</v>
      </c>
      <c r="M671" s="1" t="s">
        <v>65</v>
      </c>
      <c r="N671" s="1" t="s">
        <v>105</v>
      </c>
      <c r="O671" s="5" t="n">
        <v>46197.9777777778</v>
      </c>
      <c r="P671" s="5" t="n">
        <v>46217.25</v>
      </c>
      <c r="Q671" s="1" t="n">
        <v>65.2811</v>
      </c>
      <c r="R671" s="1" t="n">
        <v>-121.1131</v>
      </c>
      <c r="S671" s="1" t="s">
        <v>2770</v>
      </c>
      <c r="T671" s="1" t="n">
        <v>2026</v>
      </c>
      <c r="U671" s="1" t="n">
        <v>2026</v>
      </c>
      <c r="V671" s="5" t="n">
        <v>46200.90625</v>
      </c>
      <c r="W671" s="6" t="n">
        <v>46387.9999999884</v>
      </c>
    </row>
    <row r="672" customFormat="false" ht="12.75" hidden="false" customHeight="false" outlineLevel="0" collapsed="false">
      <c r="A672" s="1" t="s">
        <v>2771</v>
      </c>
      <c r="B672" s="1" t="n">
        <v>16650606</v>
      </c>
      <c r="C672" s="1" t="s">
        <v>2664</v>
      </c>
      <c r="D672" s="1" t="s">
        <v>2772</v>
      </c>
      <c r="E672" s="1" t="s">
        <v>2773</v>
      </c>
      <c r="F672" s="1" t="s">
        <v>2774</v>
      </c>
      <c r="G672" s="2" t="s">
        <v>28</v>
      </c>
      <c r="H672" s="1" t="n">
        <v>5</v>
      </c>
      <c r="I672" s="1" t="n">
        <v>-1</v>
      </c>
      <c r="J672" s="1" t="n">
        <v>0</v>
      </c>
      <c r="K672" s="1" t="n">
        <v>-1</v>
      </c>
      <c r="L672" s="2" t="n">
        <v>0</v>
      </c>
      <c r="M672" s="1" t="s">
        <v>65</v>
      </c>
      <c r="N672" s="1" t="s">
        <v>105</v>
      </c>
      <c r="O672" s="5" t="n">
        <v>46199.9423611111</v>
      </c>
      <c r="P672" s="5" t="n">
        <v>46200.2916666667</v>
      </c>
      <c r="Q672" s="1" t="n">
        <v>68.971</v>
      </c>
      <c r="R672" s="1" t="n">
        <v>-140.658</v>
      </c>
      <c r="S672" s="1" t="s">
        <v>2775</v>
      </c>
      <c r="T672" s="1" t="n">
        <v>2026</v>
      </c>
      <c r="U672" s="1" t="n">
        <v>2026</v>
      </c>
      <c r="V672" s="5" t="n">
        <v>46200.8645833333</v>
      </c>
      <c r="W672" s="6" t="n">
        <v>46387.9999999884</v>
      </c>
    </row>
    <row r="673" customFormat="false" ht="12.75" hidden="false" customHeight="false" outlineLevel="0" collapsed="false">
      <c r="A673" s="1" t="s">
        <v>2776</v>
      </c>
      <c r="B673" s="1" t="n">
        <v>16648766</v>
      </c>
      <c r="C673" s="1" t="s">
        <v>2664</v>
      </c>
      <c r="D673" s="1" t="s">
        <v>2730</v>
      </c>
      <c r="E673" s="1" t="s">
        <v>2777</v>
      </c>
      <c r="F673" s="1" t="s">
        <v>2778</v>
      </c>
      <c r="G673" s="2" t="s">
        <v>28</v>
      </c>
      <c r="H673" s="1" t="n">
        <v>5</v>
      </c>
      <c r="I673" s="1" t="n">
        <v>-1</v>
      </c>
      <c r="J673" s="1" t="n">
        <v>0</v>
      </c>
      <c r="K673" s="1" t="n">
        <v>-1</v>
      </c>
      <c r="L673" s="2" t="n">
        <v>30</v>
      </c>
      <c r="M673" s="1" t="s">
        <v>65</v>
      </c>
      <c r="N673" s="1" t="s">
        <v>105</v>
      </c>
      <c r="O673" s="5" t="n">
        <v>46200.8347222222</v>
      </c>
      <c r="P673" s="5" t="n">
        <v>46200.2083333333</v>
      </c>
      <c r="Q673" s="1" t="n">
        <v>57.1383</v>
      </c>
      <c r="R673" s="1" t="n">
        <v>-92.9013</v>
      </c>
      <c r="S673" s="1" t="s">
        <v>2779</v>
      </c>
      <c r="T673" s="1" t="n">
        <v>2026</v>
      </c>
      <c r="U673" s="1" t="n">
        <v>2026</v>
      </c>
      <c r="V673" s="5" t="n">
        <v>46200.8229166667</v>
      </c>
      <c r="W673" s="6" t="n">
        <v>46387.9999999884</v>
      </c>
    </row>
    <row r="674" customFormat="false" ht="12.75" hidden="false" customHeight="false" outlineLevel="0" collapsed="false">
      <c r="A674" s="1" t="s">
        <v>2780</v>
      </c>
      <c r="B674" s="1" t="n">
        <v>16484774</v>
      </c>
      <c r="C674" s="1" t="s">
        <v>2664</v>
      </c>
      <c r="D674" s="1" t="s">
        <v>2705</v>
      </c>
      <c r="E674" s="1" t="s">
        <v>2781</v>
      </c>
      <c r="F674" s="1" t="s">
        <v>2782</v>
      </c>
      <c r="G674" s="2" t="s">
        <v>28</v>
      </c>
      <c r="H674" s="1" t="n">
        <v>5</v>
      </c>
      <c r="I674" s="1" t="n">
        <v>-1</v>
      </c>
      <c r="J674" s="1" t="n">
        <v>0</v>
      </c>
      <c r="K674" s="1" t="n">
        <v>-1</v>
      </c>
      <c r="L674" s="2" t="n">
        <v>0.2</v>
      </c>
      <c r="M674" s="1" t="s">
        <v>65</v>
      </c>
      <c r="N674" s="1" t="s">
        <v>105</v>
      </c>
      <c r="O674" s="5" t="n">
        <v>46197.7513888889</v>
      </c>
      <c r="P674" s="5" t="n">
        <v>46201.25</v>
      </c>
      <c r="Q674" s="1" t="n">
        <v>60.36</v>
      </c>
      <c r="R674" s="1" t="n">
        <v>-113.96</v>
      </c>
      <c r="S674" s="1" t="s">
        <v>2783</v>
      </c>
      <c r="T674" s="1" t="n">
        <v>2026</v>
      </c>
      <c r="U674" s="1" t="n">
        <v>2026</v>
      </c>
      <c r="V674" s="5" t="n">
        <v>46197.6979166667</v>
      </c>
      <c r="W674" s="6" t="n">
        <v>46387.9999999884</v>
      </c>
    </row>
    <row r="675" customFormat="false" ht="12.75" hidden="false" customHeight="false" outlineLevel="0" collapsed="false">
      <c r="A675" s="1" t="s">
        <v>2784</v>
      </c>
      <c r="B675" s="1" t="n">
        <v>16131803</v>
      </c>
      <c r="C675" s="1" t="s">
        <v>2664</v>
      </c>
      <c r="D675" s="1" t="s">
        <v>2705</v>
      </c>
      <c r="E675" s="1" t="s">
        <v>2785</v>
      </c>
      <c r="F675" s="1" t="s">
        <v>2786</v>
      </c>
      <c r="G675" s="2" t="s">
        <v>28</v>
      </c>
      <c r="H675" s="1" t="n">
        <v>4</v>
      </c>
      <c r="I675" s="1" t="n">
        <v>-1</v>
      </c>
      <c r="J675" s="1" t="n">
        <v>0</v>
      </c>
      <c r="K675" s="1" t="n">
        <v>-1</v>
      </c>
      <c r="L675" s="2" t="n">
        <v>1357</v>
      </c>
      <c r="M675" s="1" t="s">
        <v>70</v>
      </c>
      <c r="N675" s="1" t="s">
        <v>30</v>
      </c>
      <c r="O675" s="5" t="n">
        <v>46172.8256944444</v>
      </c>
      <c r="P675" s="5" t="n">
        <v>46172.25</v>
      </c>
      <c r="Q675" s="1" t="n">
        <v>58.9658</v>
      </c>
      <c r="R675" s="1" t="n">
        <v>-112.8549</v>
      </c>
      <c r="S675" s="1" t="s">
        <v>2787</v>
      </c>
      <c r="T675" s="1" t="n">
        <v>2026</v>
      </c>
      <c r="U675" s="1" t="n">
        <v>2026</v>
      </c>
      <c r="V675" s="5" t="n">
        <v>46189.78125</v>
      </c>
      <c r="W675" s="6" t="n">
        <v>46387.9999999884</v>
      </c>
    </row>
    <row r="676" customFormat="false" ht="12.75" hidden="false" customHeight="false" outlineLevel="0" collapsed="false">
      <c r="A676" s="1" t="s">
        <v>2788</v>
      </c>
      <c r="B676" s="1" t="n">
        <v>16097935</v>
      </c>
      <c r="C676" s="1" t="s">
        <v>2664</v>
      </c>
      <c r="D676" s="1" t="s">
        <v>2705</v>
      </c>
      <c r="E676" s="1" t="s">
        <v>2789</v>
      </c>
      <c r="F676" s="1" t="s">
        <v>2790</v>
      </c>
      <c r="G676" s="2" t="s">
        <v>28</v>
      </c>
      <c r="H676" s="1" t="n">
        <v>5</v>
      </c>
      <c r="I676" s="1" t="n">
        <v>-1</v>
      </c>
      <c r="J676" s="1" t="n">
        <v>0</v>
      </c>
      <c r="K676" s="1" t="n">
        <v>-1</v>
      </c>
      <c r="L676" s="2" t="n">
        <v>659</v>
      </c>
      <c r="M676" s="1" t="s">
        <v>70</v>
      </c>
      <c r="N676" s="1" t="s">
        <v>105</v>
      </c>
      <c r="O676" s="5" t="n">
        <v>46170.7833333333</v>
      </c>
      <c r="P676" s="5" t="n">
        <v>46170.25</v>
      </c>
      <c r="Q676" s="1" t="n">
        <v>59.4312</v>
      </c>
      <c r="R676" s="1" t="n">
        <v>-113.3894</v>
      </c>
      <c r="S676" s="1" t="s">
        <v>2791</v>
      </c>
      <c r="T676" s="1" t="n">
        <v>2026</v>
      </c>
      <c r="U676" s="1" t="n">
        <v>2026</v>
      </c>
      <c r="V676" s="5" t="n">
        <v>46188.9895833333</v>
      </c>
      <c r="W676" s="6" t="n">
        <v>46387.9999999884</v>
      </c>
    </row>
    <row r="677" customFormat="false" ht="12.75" hidden="false" customHeight="false" outlineLevel="0" collapsed="false">
      <c r="A677" s="1" t="s">
        <v>2792</v>
      </c>
      <c r="B677" s="1" t="n">
        <v>18439004</v>
      </c>
      <c r="C677" s="1" t="s">
        <v>2793</v>
      </c>
      <c r="E677" s="1" t="s">
        <v>2794</v>
      </c>
      <c r="F677" s="1" t="n">
        <v>289</v>
      </c>
      <c r="G677" s="2" t="s">
        <v>28</v>
      </c>
      <c r="H677" s="1" t="n">
        <v>-1</v>
      </c>
      <c r="I677" s="1" t="n">
        <v>7</v>
      </c>
      <c r="J677" s="1" t="n">
        <v>0</v>
      </c>
      <c r="K677" s="1" t="n">
        <v>-1</v>
      </c>
      <c r="L677" s="2" t="n">
        <v>3471.3</v>
      </c>
      <c r="M677" s="1" t="s">
        <v>70</v>
      </c>
      <c r="N677" s="1" t="s">
        <v>105</v>
      </c>
      <c r="O677" s="5" t="n">
        <v>46199.8722222222</v>
      </c>
      <c r="P677" s="5" t="n">
        <v>46224.5222222222</v>
      </c>
      <c r="Q677" s="1" t="n">
        <v>51.3631</v>
      </c>
      <c r="R677" s="1" t="n">
        <v>-78.3894</v>
      </c>
      <c r="S677" s="1" t="s">
        <v>2795</v>
      </c>
      <c r="T677" s="1" t="n">
        <v>2026</v>
      </c>
      <c r="U677" s="1" t="n">
        <v>2026</v>
      </c>
      <c r="V677" s="5" t="n">
        <v>46224.5729166667</v>
      </c>
      <c r="W677" s="6" t="n">
        <v>46387.9999999884</v>
      </c>
    </row>
    <row r="678" customFormat="false" ht="12.75" hidden="false" customHeight="false" outlineLevel="0" collapsed="false">
      <c r="A678" s="1" t="s">
        <v>2796</v>
      </c>
      <c r="B678" s="1" t="n">
        <v>18439038</v>
      </c>
      <c r="C678" s="1" t="s">
        <v>2793</v>
      </c>
      <c r="E678" s="1" t="s">
        <v>2797</v>
      </c>
      <c r="F678" s="1" t="n">
        <v>319</v>
      </c>
      <c r="G678" s="2" t="s">
        <v>28</v>
      </c>
      <c r="H678" s="1" t="n">
        <v>-1</v>
      </c>
      <c r="I678" s="1" t="n">
        <v>1</v>
      </c>
      <c r="J678" s="1" t="n">
        <v>0</v>
      </c>
      <c r="K678" s="1" t="n">
        <v>-1</v>
      </c>
      <c r="L678" s="2" t="n">
        <v>139.1</v>
      </c>
      <c r="M678" s="1" t="s">
        <v>65</v>
      </c>
      <c r="N678" s="1" t="s">
        <v>105</v>
      </c>
      <c r="O678" s="5" t="n">
        <v>46200.7354166667</v>
      </c>
      <c r="P678" s="5" t="n">
        <v>46224.5229166667</v>
      </c>
      <c r="Q678" s="1" t="n">
        <v>52.1556</v>
      </c>
      <c r="R678" s="1" t="n">
        <v>-76.4736</v>
      </c>
      <c r="S678" s="1" t="s">
        <v>2798</v>
      </c>
      <c r="T678" s="1" t="n">
        <v>2026</v>
      </c>
      <c r="U678" s="1" t="n">
        <v>2026</v>
      </c>
      <c r="V678" s="5" t="n">
        <v>46224.5729166667</v>
      </c>
      <c r="W678" s="6" t="n">
        <v>46387.9999999884</v>
      </c>
    </row>
    <row r="679" customFormat="false" ht="12.75" hidden="false" customHeight="false" outlineLevel="0" collapsed="false">
      <c r="A679" s="1" t="s">
        <v>2799</v>
      </c>
      <c r="B679" s="1" t="n">
        <v>18439040</v>
      </c>
      <c r="C679" s="1" t="s">
        <v>2793</v>
      </c>
      <c r="E679" s="1" t="s">
        <v>2800</v>
      </c>
      <c r="F679" s="1" t="n">
        <v>320</v>
      </c>
      <c r="G679" s="2" t="s">
        <v>28</v>
      </c>
      <c r="H679" s="1" t="n">
        <v>-1</v>
      </c>
      <c r="I679" s="1" t="n">
        <v>2</v>
      </c>
      <c r="J679" s="1" t="n">
        <v>0</v>
      </c>
      <c r="K679" s="1" t="n">
        <v>-1</v>
      </c>
      <c r="L679" s="2" t="n">
        <v>2310.8</v>
      </c>
      <c r="M679" s="1" t="s">
        <v>65</v>
      </c>
      <c r="N679" s="1" t="s">
        <v>105</v>
      </c>
      <c r="O679" s="5" t="n">
        <v>46201.7381944444</v>
      </c>
      <c r="P679" s="5" t="n">
        <v>46224.5229166667</v>
      </c>
      <c r="Q679" s="1" t="n">
        <v>52.0889</v>
      </c>
      <c r="R679" s="1" t="n">
        <v>-76.3203</v>
      </c>
      <c r="S679" s="1" t="s">
        <v>2801</v>
      </c>
      <c r="T679" s="1" t="n">
        <v>2026</v>
      </c>
      <c r="U679" s="1" t="n">
        <v>2026</v>
      </c>
      <c r="V679" s="5" t="n">
        <v>46224.5729166667</v>
      </c>
      <c r="W679" s="6" t="n">
        <v>46387.9999999884</v>
      </c>
    </row>
    <row r="680" customFormat="false" ht="12.75" hidden="false" customHeight="false" outlineLevel="0" collapsed="false">
      <c r="A680" s="1" t="s">
        <v>2802</v>
      </c>
      <c r="B680" s="1" t="n">
        <v>18439101</v>
      </c>
      <c r="C680" s="1" t="s">
        <v>2793</v>
      </c>
      <c r="E680" s="1" t="s">
        <v>2803</v>
      </c>
      <c r="F680" s="1" t="n">
        <v>376</v>
      </c>
      <c r="G680" s="2" t="s">
        <v>28</v>
      </c>
      <c r="H680" s="1" t="n">
        <v>-1</v>
      </c>
      <c r="I680" s="1" t="n">
        <v>5</v>
      </c>
      <c r="J680" s="1" t="n">
        <v>0</v>
      </c>
      <c r="K680" s="1" t="n">
        <v>-1</v>
      </c>
      <c r="L680" s="2" t="n">
        <v>3380.3</v>
      </c>
      <c r="M680" s="1" t="s">
        <v>65</v>
      </c>
      <c r="N680" s="1" t="s">
        <v>105</v>
      </c>
      <c r="O680" s="5" t="n">
        <v>46201.8638888889</v>
      </c>
      <c r="P680" s="5" t="n">
        <v>46224.5229166667</v>
      </c>
      <c r="Q680" s="1" t="n">
        <v>52.1392</v>
      </c>
      <c r="R680" s="1" t="n">
        <v>-76.715</v>
      </c>
      <c r="S680" s="1" t="s">
        <v>2804</v>
      </c>
      <c r="T680" s="1" t="n">
        <v>2026</v>
      </c>
      <c r="U680" s="1" t="n">
        <v>2026</v>
      </c>
      <c r="V680" s="5" t="n">
        <v>46224.5729166667</v>
      </c>
      <c r="W680" s="6" t="n">
        <v>46387.9999999884</v>
      </c>
    </row>
    <row r="681" customFormat="false" ht="12.75" hidden="false" customHeight="false" outlineLevel="0" collapsed="false">
      <c r="A681" s="1" t="s">
        <v>2805</v>
      </c>
      <c r="B681" s="1" t="n">
        <v>18431362</v>
      </c>
      <c r="C681" s="1" t="s">
        <v>2793</v>
      </c>
      <c r="E681" s="1" t="s">
        <v>2806</v>
      </c>
      <c r="F681" s="1" t="n">
        <v>327</v>
      </c>
      <c r="G681" s="2" t="s">
        <v>28</v>
      </c>
      <c r="H681" s="1" t="n">
        <v>-1</v>
      </c>
      <c r="I681" s="1" t="n">
        <v>5</v>
      </c>
      <c r="J681" s="1" t="n">
        <v>0</v>
      </c>
      <c r="K681" s="1" t="n">
        <v>-1</v>
      </c>
      <c r="L681" s="2" t="n">
        <v>2986.1</v>
      </c>
      <c r="M681" s="1" t="s">
        <v>65</v>
      </c>
      <c r="N681" s="1" t="s">
        <v>105</v>
      </c>
      <c r="O681" s="5" t="n">
        <v>46201.8555555556</v>
      </c>
      <c r="P681" s="5" t="n">
        <v>46224.3930555556</v>
      </c>
      <c r="Q681" s="1" t="n">
        <v>52.0072</v>
      </c>
      <c r="R681" s="1" t="n">
        <v>-77.0572</v>
      </c>
      <c r="S681" s="1" t="s">
        <v>2807</v>
      </c>
      <c r="T681" s="1" t="n">
        <v>2026</v>
      </c>
      <c r="U681" s="1" t="n">
        <v>2026</v>
      </c>
      <c r="V681" s="5" t="n">
        <v>46224.4895833333</v>
      </c>
      <c r="W681" s="6" t="n">
        <v>46387.9999999884</v>
      </c>
    </row>
    <row r="682" customFormat="false" ht="12.75" hidden="false" customHeight="false" outlineLevel="0" collapsed="false">
      <c r="A682" s="1" t="s">
        <v>2808</v>
      </c>
      <c r="B682" s="1" t="n">
        <v>18381693</v>
      </c>
      <c r="C682" s="1" t="s">
        <v>2793</v>
      </c>
      <c r="E682" s="1" t="s">
        <v>2809</v>
      </c>
      <c r="F682" s="1" t="n">
        <v>500</v>
      </c>
      <c r="G682" s="2" t="s">
        <v>28</v>
      </c>
      <c r="H682" s="1" t="n">
        <v>-1</v>
      </c>
      <c r="I682" s="1" t="n">
        <v>5</v>
      </c>
      <c r="J682" s="1" t="n">
        <v>0</v>
      </c>
      <c r="K682" s="1" t="n">
        <v>-1</v>
      </c>
      <c r="L682" s="2" t="n">
        <v>10416.6</v>
      </c>
      <c r="M682" s="1" t="s">
        <v>65</v>
      </c>
      <c r="N682" s="1" t="s">
        <v>105</v>
      </c>
      <c r="O682" s="5" t="n">
        <v>46200.9256944444</v>
      </c>
      <c r="P682" s="5" t="n">
        <v>46209.6354166667</v>
      </c>
      <c r="Q682" s="1" t="n">
        <v>55.0028</v>
      </c>
      <c r="R682" s="1" t="n">
        <v>-75.0836</v>
      </c>
      <c r="S682" s="1" t="s">
        <v>2810</v>
      </c>
      <c r="T682" s="1" t="n">
        <v>2026</v>
      </c>
      <c r="U682" s="1" t="n">
        <v>2026</v>
      </c>
      <c r="V682" s="5" t="n">
        <v>46223.90625</v>
      </c>
      <c r="W682" s="6" t="n">
        <v>46387.9999999884</v>
      </c>
    </row>
    <row r="683" customFormat="false" ht="12.75" hidden="false" customHeight="false" outlineLevel="0" collapsed="false">
      <c r="A683" s="1" t="s">
        <v>2811</v>
      </c>
      <c r="B683" s="1" t="n">
        <v>18370846</v>
      </c>
      <c r="C683" s="1" t="s">
        <v>2793</v>
      </c>
      <c r="E683" s="1" t="s">
        <v>2812</v>
      </c>
      <c r="F683" s="1" t="n">
        <v>431</v>
      </c>
      <c r="G683" s="2" t="s">
        <v>28</v>
      </c>
      <c r="H683" s="1" t="n">
        <v>-1</v>
      </c>
      <c r="I683" s="1" t="n">
        <v>3</v>
      </c>
      <c r="J683" s="1" t="n">
        <v>0</v>
      </c>
      <c r="K683" s="1" t="n">
        <v>-1</v>
      </c>
      <c r="L683" s="2" t="n">
        <v>211.8</v>
      </c>
      <c r="M683" s="1" t="s">
        <v>65</v>
      </c>
      <c r="N683" s="1" t="s">
        <v>105</v>
      </c>
      <c r="O683" s="5" t="n">
        <v>46202.6180555556</v>
      </c>
      <c r="P683" s="5" t="n">
        <v>46202.6180555556</v>
      </c>
      <c r="Q683" s="1" t="n">
        <v>55.4194</v>
      </c>
      <c r="R683" s="1" t="n">
        <v>-70.1978</v>
      </c>
      <c r="S683" s="1" t="s">
        <v>2813</v>
      </c>
      <c r="T683" s="1" t="n">
        <v>2026</v>
      </c>
      <c r="U683" s="1" t="n">
        <v>2026</v>
      </c>
      <c r="V683" s="5" t="n">
        <v>46223.78125</v>
      </c>
      <c r="W683" s="6" t="n">
        <v>46387.9999999884</v>
      </c>
    </row>
    <row r="684" customFormat="false" ht="12.75" hidden="false" customHeight="false" outlineLevel="0" collapsed="false">
      <c r="A684" s="1" t="s">
        <v>2814</v>
      </c>
      <c r="B684" s="1" t="n">
        <v>18370668</v>
      </c>
      <c r="C684" s="1" t="s">
        <v>2793</v>
      </c>
      <c r="E684" s="1" t="s">
        <v>2815</v>
      </c>
      <c r="F684" s="1" t="n">
        <v>271</v>
      </c>
      <c r="G684" s="2" t="s">
        <v>28</v>
      </c>
      <c r="H684" s="1" t="n">
        <v>-1</v>
      </c>
      <c r="I684" s="1" t="n">
        <v>8</v>
      </c>
      <c r="J684" s="1" t="n">
        <v>0</v>
      </c>
      <c r="K684" s="1" t="n">
        <v>-1</v>
      </c>
      <c r="L684" s="2" t="n">
        <v>29976.5</v>
      </c>
      <c r="M684" s="1" t="s">
        <v>65</v>
      </c>
      <c r="N684" s="1" t="s">
        <v>105</v>
      </c>
      <c r="O684" s="5" t="n">
        <v>46198.8625</v>
      </c>
      <c r="P684" s="5" t="n">
        <v>46213.9013888889</v>
      </c>
      <c r="Q684" s="1" t="n">
        <v>51.605</v>
      </c>
      <c r="R684" s="1" t="n">
        <v>-78.3261</v>
      </c>
      <c r="S684" s="1" t="s">
        <v>2816</v>
      </c>
      <c r="T684" s="1" t="n">
        <v>2026</v>
      </c>
      <c r="U684" s="1" t="n">
        <v>2026</v>
      </c>
      <c r="V684" s="5" t="n">
        <v>46223.78125</v>
      </c>
      <c r="W684" s="6" t="n">
        <v>46387.9999999884</v>
      </c>
    </row>
    <row r="685" customFormat="false" ht="12.75" hidden="false" customHeight="false" outlineLevel="0" collapsed="false">
      <c r="A685" s="1" t="s">
        <v>2817</v>
      </c>
      <c r="B685" s="1" t="n">
        <v>18366458</v>
      </c>
      <c r="C685" s="1" t="s">
        <v>2793</v>
      </c>
      <c r="E685" s="1" t="s">
        <v>2818</v>
      </c>
      <c r="F685" s="1" t="n">
        <v>358</v>
      </c>
      <c r="G685" s="2" t="s">
        <v>28</v>
      </c>
      <c r="H685" s="1" t="n">
        <v>-1</v>
      </c>
      <c r="I685" s="1" t="n">
        <v>-1</v>
      </c>
      <c r="J685" s="1" t="n">
        <v>0</v>
      </c>
      <c r="K685" s="1" t="n">
        <v>-1</v>
      </c>
      <c r="L685" s="2" t="n">
        <v>8698.2</v>
      </c>
      <c r="M685" s="1" t="s">
        <v>70</v>
      </c>
      <c r="N685" s="1" t="s">
        <v>105</v>
      </c>
      <c r="O685" s="5" t="n">
        <v>46202.8145833333</v>
      </c>
      <c r="P685" s="5" t="n">
        <v>46223.66875</v>
      </c>
      <c r="Q685" s="1" t="n">
        <v>52.9028</v>
      </c>
      <c r="R685" s="1" t="n">
        <v>-67.6639</v>
      </c>
      <c r="S685" s="1" t="s">
        <v>2819</v>
      </c>
      <c r="T685" s="1" t="n">
        <v>2026</v>
      </c>
      <c r="U685" s="1" t="n">
        <v>2026</v>
      </c>
      <c r="V685" s="5" t="n">
        <v>46223.7395833333</v>
      </c>
      <c r="W685" s="6" t="n">
        <v>46387.9999999884</v>
      </c>
    </row>
    <row r="686" customFormat="false" ht="12.75" hidden="false" customHeight="false" outlineLevel="0" collapsed="false">
      <c r="A686" s="1" t="s">
        <v>2820</v>
      </c>
      <c r="B686" s="1" t="n">
        <v>18366624</v>
      </c>
      <c r="C686" s="1" t="s">
        <v>2793</v>
      </c>
      <c r="E686" s="1" t="s">
        <v>2821</v>
      </c>
      <c r="F686" s="1" t="n">
        <v>507</v>
      </c>
      <c r="G686" s="2" t="s">
        <v>28</v>
      </c>
      <c r="H686" s="1" t="n">
        <v>-1</v>
      </c>
      <c r="I686" s="1" t="n">
        <v>4</v>
      </c>
      <c r="J686" s="1" t="n">
        <v>0</v>
      </c>
      <c r="K686" s="1" t="n">
        <v>-1</v>
      </c>
      <c r="L686" s="2" t="n">
        <v>163.8</v>
      </c>
      <c r="M686" s="1" t="s">
        <v>70</v>
      </c>
      <c r="N686" s="1" t="s">
        <v>105</v>
      </c>
      <c r="O686" s="5" t="n">
        <v>46199.7486111111</v>
      </c>
      <c r="P686" s="5" t="n">
        <v>46223.5618055556</v>
      </c>
      <c r="Q686" s="1" t="n">
        <v>52.2164</v>
      </c>
      <c r="R686" s="1" t="n">
        <v>-75.9414</v>
      </c>
      <c r="S686" s="1" t="s">
        <v>2822</v>
      </c>
      <c r="T686" s="1" t="n">
        <v>2026</v>
      </c>
      <c r="U686" s="1" t="n">
        <v>2026</v>
      </c>
      <c r="V686" s="5" t="n">
        <v>46223.7395833333</v>
      </c>
      <c r="W686" s="6" t="n">
        <v>46387.9999999884</v>
      </c>
    </row>
    <row r="687" customFormat="false" ht="12.75" hidden="false" customHeight="false" outlineLevel="0" collapsed="false">
      <c r="A687" s="1" t="s">
        <v>2823</v>
      </c>
      <c r="B687" s="1" t="n">
        <v>18366601</v>
      </c>
      <c r="C687" s="1" t="s">
        <v>2793</v>
      </c>
      <c r="E687" s="1" t="s">
        <v>2824</v>
      </c>
      <c r="F687" s="1" t="n">
        <v>487</v>
      </c>
      <c r="G687" s="2" t="s">
        <v>28</v>
      </c>
      <c r="H687" s="1" t="n">
        <v>-1</v>
      </c>
      <c r="I687" s="1" t="n">
        <v>7</v>
      </c>
      <c r="J687" s="1" t="n">
        <v>0</v>
      </c>
      <c r="K687" s="1" t="n">
        <v>-1</v>
      </c>
      <c r="L687" s="2" t="n">
        <v>1832.8</v>
      </c>
      <c r="M687" s="1" t="s">
        <v>65</v>
      </c>
      <c r="N687" s="1" t="s">
        <v>105</v>
      </c>
      <c r="O687" s="5" t="n">
        <v>46201.9361111111</v>
      </c>
      <c r="P687" s="5" t="n">
        <v>46201.9361111111</v>
      </c>
      <c r="Q687" s="1" t="n">
        <v>53.4853</v>
      </c>
      <c r="R687" s="1" t="n">
        <v>-70.2533</v>
      </c>
      <c r="S687" s="1" t="s">
        <v>2825</v>
      </c>
      <c r="T687" s="1" t="n">
        <v>2026</v>
      </c>
      <c r="U687" s="1" t="n">
        <v>2026</v>
      </c>
      <c r="V687" s="5" t="n">
        <v>46223.7395833333</v>
      </c>
      <c r="W687" s="6" t="n">
        <v>46387.9999999884</v>
      </c>
    </row>
    <row r="688" customFormat="false" ht="12.75" hidden="false" customHeight="false" outlineLevel="0" collapsed="false">
      <c r="A688" s="1" t="s">
        <v>2826</v>
      </c>
      <c r="B688" s="1" t="n">
        <v>18366666</v>
      </c>
      <c r="C688" s="1" t="s">
        <v>2793</v>
      </c>
      <c r="E688" s="1" t="s">
        <v>2827</v>
      </c>
      <c r="F688" s="1" t="n">
        <v>545</v>
      </c>
      <c r="G688" s="2" t="s">
        <v>28</v>
      </c>
      <c r="H688" s="1" t="n">
        <v>-1</v>
      </c>
      <c r="I688" s="1" t="n">
        <v>2</v>
      </c>
      <c r="J688" s="1" t="n">
        <v>0</v>
      </c>
      <c r="K688" s="1" t="n">
        <v>-1</v>
      </c>
      <c r="L688" s="2" t="n">
        <v>1434.2</v>
      </c>
      <c r="M688" s="1" t="s">
        <v>29</v>
      </c>
      <c r="N688" s="1" t="s">
        <v>37</v>
      </c>
      <c r="O688" s="5" t="n">
        <v>46213.7847222222</v>
      </c>
      <c r="P688" s="5" t="n">
        <v>46221.9027777778</v>
      </c>
      <c r="Q688" s="1" t="n">
        <v>49.5236</v>
      </c>
      <c r="R688" s="1" t="n">
        <v>-79.4517</v>
      </c>
      <c r="S688" s="1" t="s">
        <v>2828</v>
      </c>
      <c r="T688" s="1" t="n">
        <v>2026</v>
      </c>
      <c r="U688" s="1" t="n">
        <v>2026</v>
      </c>
      <c r="V688" s="5" t="n">
        <v>46223.7395833333</v>
      </c>
      <c r="W688" s="6" t="n">
        <v>46387.9999999884</v>
      </c>
    </row>
    <row r="689" customFormat="false" ht="12.75" hidden="false" customHeight="false" outlineLevel="0" collapsed="false">
      <c r="A689" s="1" t="s">
        <v>2829</v>
      </c>
      <c r="B689" s="1" t="n">
        <v>18366554</v>
      </c>
      <c r="C689" s="1" t="s">
        <v>2793</v>
      </c>
      <c r="E689" s="1" t="s">
        <v>2830</v>
      </c>
      <c r="F689" s="1" t="n">
        <v>444</v>
      </c>
      <c r="G689" s="2" t="s">
        <v>28</v>
      </c>
      <c r="H689" s="1" t="n">
        <v>-1</v>
      </c>
      <c r="I689" s="1" t="n">
        <v>7</v>
      </c>
      <c r="J689" s="1" t="n">
        <v>0</v>
      </c>
      <c r="K689" s="1" t="n">
        <v>-1</v>
      </c>
      <c r="L689" s="2" t="n">
        <v>1517.8</v>
      </c>
      <c r="M689" s="1" t="s">
        <v>65</v>
      </c>
      <c r="N689" s="1" t="s">
        <v>105</v>
      </c>
      <c r="O689" s="5" t="n">
        <v>46201.8791666667</v>
      </c>
      <c r="P689" s="5" t="n">
        <v>46204.7472222222</v>
      </c>
      <c r="Q689" s="1" t="n">
        <v>53.5603</v>
      </c>
      <c r="R689" s="1" t="n">
        <v>-69.6653</v>
      </c>
      <c r="S689" s="1" t="s">
        <v>2831</v>
      </c>
      <c r="T689" s="1" t="n">
        <v>2026</v>
      </c>
      <c r="U689" s="1" t="n">
        <v>2026</v>
      </c>
      <c r="V689" s="5" t="n">
        <v>46223.7395833333</v>
      </c>
      <c r="W689" s="6" t="n">
        <v>46387.9999999884</v>
      </c>
    </row>
    <row r="690" customFormat="false" ht="12.75" hidden="false" customHeight="false" outlineLevel="0" collapsed="false">
      <c r="A690" s="1" t="s">
        <v>2832</v>
      </c>
      <c r="B690" s="1" t="n">
        <v>18366606</v>
      </c>
      <c r="C690" s="1" t="s">
        <v>2793</v>
      </c>
      <c r="E690" s="1" t="s">
        <v>2833</v>
      </c>
      <c r="F690" s="1" t="n">
        <v>491</v>
      </c>
      <c r="G690" s="2" t="s">
        <v>28</v>
      </c>
      <c r="H690" s="1" t="n">
        <v>-1</v>
      </c>
      <c r="I690" s="1" t="n">
        <v>2</v>
      </c>
      <c r="J690" s="1" t="n">
        <v>0</v>
      </c>
      <c r="K690" s="1" t="n">
        <v>-1</v>
      </c>
      <c r="L690" s="2" t="n">
        <v>459.6</v>
      </c>
      <c r="M690" s="1" t="s">
        <v>65</v>
      </c>
      <c r="N690" s="1" t="s">
        <v>105</v>
      </c>
      <c r="O690" s="5" t="n">
        <v>46204.3</v>
      </c>
      <c r="P690" s="5" t="n">
        <v>46204.3</v>
      </c>
      <c r="Q690" s="1" t="n">
        <v>55.4483</v>
      </c>
      <c r="R690" s="1" t="n">
        <v>-75.3033</v>
      </c>
      <c r="S690" s="1" t="s">
        <v>2834</v>
      </c>
      <c r="T690" s="1" t="n">
        <v>2026</v>
      </c>
      <c r="U690" s="1" t="n">
        <v>2026</v>
      </c>
      <c r="V690" s="5" t="n">
        <v>46223.7395833333</v>
      </c>
      <c r="W690" s="6" t="n">
        <v>46387.9999999884</v>
      </c>
    </row>
    <row r="691" customFormat="false" ht="12.75" hidden="false" customHeight="false" outlineLevel="0" collapsed="false">
      <c r="A691" s="1" t="s">
        <v>2835</v>
      </c>
      <c r="B691" s="1" t="n">
        <v>18366598</v>
      </c>
      <c r="C691" s="1" t="s">
        <v>2793</v>
      </c>
      <c r="E691" s="1" t="s">
        <v>2836</v>
      </c>
      <c r="F691" s="1" t="n">
        <v>484</v>
      </c>
      <c r="G691" s="2" t="s">
        <v>28</v>
      </c>
      <c r="H691" s="1" t="n">
        <v>-1</v>
      </c>
      <c r="I691" s="1" t="n">
        <v>5</v>
      </c>
      <c r="J691" s="1" t="n">
        <v>0</v>
      </c>
      <c r="K691" s="1" t="n">
        <v>-1</v>
      </c>
      <c r="L691" s="2" t="n">
        <v>3249.9</v>
      </c>
      <c r="M691" s="1" t="s">
        <v>65</v>
      </c>
      <c r="N691" s="1" t="s">
        <v>105</v>
      </c>
      <c r="O691" s="5" t="n">
        <v>46201.8055555556</v>
      </c>
      <c r="P691" s="5" t="n">
        <v>46201.8055555556</v>
      </c>
      <c r="Q691" s="1" t="n">
        <v>53.45</v>
      </c>
      <c r="R691" s="1" t="n">
        <v>-71.2897</v>
      </c>
      <c r="S691" s="1" t="s">
        <v>2837</v>
      </c>
      <c r="T691" s="1" t="n">
        <v>2026</v>
      </c>
      <c r="U691" s="1" t="n">
        <v>2026</v>
      </c>
      <c r="V691" s="5" t="n">
        <v>46223.7395833333</v>
      </c>
      <c r="W691" s="6" t="n">
        <v>46387.9999999884</v>
      </c>
    </row>
    <row r="692" customFormat="false" ht="12.75" hidden="false" customHeight="false" outlineLevel="0" collapsed="false">
      <c r="A692" s="1" t="s">
        <v>2838</v>
      </c>
      <c r="B692" s="1" t="n">
        <v>18366341</v>
      </c>
      <c r="C692" s="1" t="s">
        <v>2793</v>
      </c>
      <c r="E692" s="1" t="s">
        <v>2839</v>
      </c>
      <c r="F692" s="1" t="n">
        <v>252</v>
      </c>
      <c r="G692" s="2" t="s">
        <v>28</v>
      </c>
      <c r="H692" s="1" t="n">
        <v>-1</v>
      </c>
      <c r="I692" s="1" t="n">
        <v>2</v>
      </c>
      <c r="J692" s="1" t="n">
        <v>0</v>
      </c>
      <c r="K692" s="1" t="n">
        <v>-1</v>
      </c>
      <c r="L692" s="2" t="n">
        <v>39797.4</v>
      </c>
      <c r="M692" s="1" t="s">
        <v>65</v>
      </c>
      <c r="N692" s="1" t="s">
        <v>105</v>
      </c>
      <c r="O692" s="5" t="n">
        <v>46195.7743055556</v>
      </c>
      <c r="P692" s="5" t="n">
        <v>46195.7743055556</v>
      </c>
      <c r="Q692" s="1" t="n">
        <v>54.7494</v>
      </c>
      <c r="R692" s="1" t="n">
        <v>-76.4675</v>
      </c>
      <c r="S692" s="1" t="s">
        <v>2840</v>
      </c>
      <c r="T692" s="1" t="n">
        <v>2026</v>
      </c>
      <c r="U692" s="1" t="n">
        <v>2026</v>
      </c>
      <c r="V692" s="5" t="n">
        <v>46223.7395833333</v>
      </c>
      <c r="W692" s="6" t="n">
        <v>46387.9999999884</v>
      </c>
    </row>
    <row r="693" customFormat="false" ht="12.75" hidden="false" customHeight="false" outlineLevel="0" collapsed="false">
      <c r="A693" s="1" t="s">
        <v>2841</v>
      </c>
      <c r="B693" s="1" t="n">
        <v>18366433</v>
      </c>
      <c r="C693" s="1" t="s">
        <v>2793</v>
      </c>
      <c r="E693" s="1" t="s">
        <v>2842</v>
      </c>
      <c r="F693" s="1" t="n">
        <v>335</v>
      </c>
      <c r="G693" s="2" t="s">
        <v>28</v>
      </c>
      <c r="H693" s="1" t="n">
        <v>-1</v>
      </c>
      <c r="I693" s="1" t="n">
        <v>2</v>
      </c>
      <c r="J693" s="1" t="n">
        <v>0</v>
      </c>
      <c r="K693" s="1" t="n">
        <v>-1</v>
      </c>
      <c r="L693" s="2" t="n">
        <v>9296.6</v>
      </c>
      <c r="M693" s="1" t="s">
        <v>65</v>
      </c>
      <c r="N693" s="1" t="s">
        <v>105</v>
      </c>
      <c r="O693" s="5" t="n">
        <v>46200.8798611111</v>
      </c>
      <c r="P693" s="5" t="n">
        <v>46204.8368055556</v>
      </c>
      <c r="Q693" s="1" t="n">
        <v>53.5925</v>
      </c>
      <c r="R693" s="1" t="n">
        <v>-72.2228</v>
      </c>
      <c r="S693" s="1" t="s">
        <v>2843</v>
      </c>
      <c r="T693" s="1" t="n">
        <v>2026</v>
      </c>
      <c r="U693" s="1" t="n">
        <v>2026</v>
      </c>
      <c r="V693" s="5" t="n">
        <v>46223.7395833333</v>
      </c>
      <c r="W693" s="6" t="n">
        <v>46387.9999999884</v>
      </c>
    </row>
    <row r="694" customFormat="false" ht="12.75" hidden="false" customHeight="false" outlineLevel="0" collapsed="false">
      <c r="A694" s="1" t="s">
        <v>2844</v>
      </c>
      <c r="B694" s="1" t="n">
        <v>18359663</v>
      </c>
      <c r="C694" s="1" t="s">
        <v>2793</v>
      </c>
      <c r="E694" s="1" t="s">
        <v>2845</v>
      </c>
      <c r="F694" s="1" t="n">
        <v>284</v>
      </c>
      <c r="G694" s="2" t="s">
        <v>36</v>
      </c>
      <c r="H694" s="1" t="n">
        <v>-1</v>
      </c>
      <c r="I694" s="1" t="n">
        <v>0</v>
      </c>
      <c r="J694" s="1" t="n">
        <v>0</v>
      </c>
      <c r="K694" s="1" t="n">
        <v>-1</v>
      </c>
      <c r="L694" s="2" t="n">
        <v>107721.3</v>
      </c>
      <c r="M694" s="1" t="s">
        <v>29</v>
      </c>
      <c r="N694" s="1" t="s">
        <v>37</v>
      </c>
      <c r="O694" s="5" t="n">
        <v>46191.9166666667</v>
      </c>
      <c r="P694" s="5" t="n">
        <v>46222.7840277778</v>
      </c>
      <c r="Q694" s="1" t="n">
        <v>50.055</v>
      </c>
      <c r="R694" s="1" t="n">
        <v>-78.9553</v>
      </c>
      <c r="S694" s="1" t="s">
        <v>2846</v>
      </c>
      <c r="T694" s="1" t="n">
        <v>2026</v>
      </c>
      <c r="U694" s="1" t="n">
        <v>2026</v>
      </c>
      <c r="V694" s="5" t="n">
        <v>46223.65625</v>
      </c>
      <c r="W694" s="6" t="n">
        <v>46387.9999999884</v>
      </c>
    </row>
    <row r="695" customFormat="false" ht="12.75" hidden="false" customHeight="false" outlineLevel="0" collapsed="false">
      <c r="A695" s="1" t="s">
        <v>2847</v>
      </c>
      <c r="B695" s="1" t="n">
        <v>18351366</v>
      </c>
      <c r="C695" s="1" t="s">
        <v>2793</v>
      </c>
      <c r="E695" s="1" t="s">
        <v>2848</v>
      </c>
      <c r="F695" s="1" t="n">
        <v>296</v>
      </c>
      <c r="G695" s="2" t="s">
        <v>28</v>
      </c>
      <c r="H695" s="1" t="n">
        <v>-1</v>
      </c>
      <c r="I695" s="1" t="n">
        <v>1</v>
      </c>
      <c r="J695" s="1" t="n">
        <v>0</v>
      </c>
      <c r="K695" s="1" t="n">
        <v>-1</v>
      </c>
      <c r="L695" s="2" t="n">
        <v>3305.3</v>
      </c>
      <c r="M695" s="1" t="s">
        <v>29</v>
      </c>
      <c r="N695" s="1" t="s">
        <v>30</v>
      </c>
      <c r="O695" s="5" t="n">
        <v>46200.8333333333</v>
      </c>
      <c r="P695" s="5" t="n">
        <v>46212.8930555556</v>
      </c>
      <c r="Q695" s="1" t="n">
        <v>47.6819</v>
      </c>
      <c r="R695" s="1" t="n">
        <v>-77.7261</v>
      </c>
      <c r="S695" s="1" t="s">
        <v>2849</v>
      </c>
      <c r="T695" s="1" t="n">
        <v>2026</v>
      </c>
      <c r="U695" s="1" t="n">
        <v>2026</v>
      </c>
      <c r="V695" s="5" t="n">
        <v>46223.5729166667</v>
      </c>
      <c r="W695" s="6" t="n">
        <v>46387.9999999884</v>
      </c>
    </row>
    <row r="696" customFormat="false" ht="12.75" hidden="false" customHeight="false" outlineLevel="0" collapsed="false">
      <c r="A696" s="1" t="s">
        <v>2850</v>
      </c>
      <c r="B696" s="1" t="n">
        <v>18351389</v>
      </c>
      <c r="C696" s="1" t="s">
        <v>2793</v>
      </c>
      <c r="E696" s="1" t="s">
        <v>2851</v>
      </c>
      <c r="F696" s="1" t="n">
        <v>316</v>
      </c>
      <c r="G696" s="2" t="s">
        <v>28</v>
      </c>
      <c r="H696" s="1" t="n">
        <v>-1</v>
      </c>
      <c r="I696" s="1" t="n">
        <v>0</v>
      </c>
      <c r="J696" s="1" t="n">
        <v>0</v>
      </c>
      <c r="K696" s="1" t="n">
        <v>-1</v>
      </c>
      <c r="L696" s="2" t="n">
        <v>103.9</v>
      </c>
      <c r="M696" s="1" t="s">
        <v>65</v>
      </c>
      <c r="N696" s="1" t="s">
        <v>105</v>
      </c>
      <c r="O696" s="5" t="n">
        <v>46200.8618055556</v>
      </c>
      <c r="P696" s="5" t="n">
        <v>46223.5361111111</v>
      </c>
      <c r="Q696" s="1" t="n">
        <v>51.3497</v>
      </c>
      <c r="R696" s="1" t="n">
        <v>-78.5647</v>
      </c>
      <c r="S696" s="1" t="s">
        <v>2852</v>
      </c>
      <c r="T696" s="1" t="n">
        <v>2026</v>
      </c>
      <c r="U696" s="1" t="n">
        <v>2026</v>
      </c>
      <c r="V696" s="5" t="n">
        <v>46223.5729166667</v>
      </c>
      <c r="W696" s="6" t="n">
        <v>46387.9999999884</v>
      </c>
    </row>
    <row r="697" customFormat="false" ht="12.75" hidden="false" customHeight="false" outlineLevel="0" collapsed="false">
      <c r="A697" s="1" t="s">
        <v>2853</v>
      </c>
      <c r="B697" s="1" t="n">
        <v>18351628</v>
      </c>
      <c r="C697" s="1" t="s">
        <v>2793</v>
      </c>
      <c r="E697" s="1" t="s">
        <v>2854</v>
      </c>
      <c r="F697" s="1" t="n">
        <v>531</v>
      </c>
      <c r="G697" s="2" t="s">
        <v>28</v>
      </c>
      <c r="H697" s="1" t="n">
        <v>-1</v>
      </c>
      <c r="I697" s="1" t="n">
        <v>1</v>
      </c>
      <c r="J697" s="1" t="n">
        <v>0</v>
      </c>
      <c r="K697" s="1" t="n">
        <v>-1</v>
      </c>
      <c r="L697" s="2" t="n">
        <v>2283.3</v>
      </c>
      <c r="M697" s="1" t="s">
        <v>65</v>
      </c>
      <c r="N697" s="1" t="s">
        <v>105</v>
      </c>
      <c r="O697" s="5" t="n">
        <v>46204.7895833333</v>
      </c>
      <c r="P697" s="5" t="n">
        <v>46211.6138888889</v>
      </c>
      <c r="Q697" s="1" t="n">
        <v>53.3389</v>
      </c>
      <c r="R697" s="1" t="n">
        <v>-71.0653</v>
      </c>
      <c r="S697" s="1" t="s">
        <v>2855</v>
      </c>
      <c r="T697" s="1" t="n">
        <v>2026</v>
      </c>
      <c r="U697" s="1" t="n">
        <v>2026</v>
      </c>
      <c r="V697" s="5" t="n">
        <v>46223.5729166667</v>
      </c>
      <c r="W697" s="6" t="n">
        <v>46387.9999999884</v>
      </c>
    </row>
    <row r="698" customFormat="false" ht="12.75" hidden="false" customHeight="false" outlineLevel="0" collapsed="false">
      <c r="A698" s="1" t="s">
        <v>2856</v>
      </c>
      <c r="B698" s="1" t="n">
        <v>18297694</v>
      </c>
      <c r="C698" s="1" t="s">
        <v>2793</v>
      </c>
      <c r="E698" s="1" t="s">
        <v>2857</v>
      </c>
      <c r="F698" s="1" t="n">
        <v>332</v>
      </c>
      <c r="G698" s="2" t="s">
        <v>28</v>
      </c>
      <c r="H698" s="1" t="n">
        <v>-1</v>
      </c>
      <c r="I698" s="1" t="n">
        <v>5</v>
      </c>
      <c r="J698" s="1" t="n">
        <v>0</v>
      </c>
      <c r="K698" s="1" t="n">
        <v>-1</v>
      </c>
      <c r="L698" s="2" t="n">
        <v>-1</v>
      </c>
      <c r="M698" s="1" t="s">
        <v>65</v>
      </c>
      <c r="N698" s="1" t="s">
        <v>105</v>
      </c>
      <c r="O698" s="5" t="n">
        <v>46201.0333333333</v>
      </c>
      <c r="P698" s="5" t="n">
        <v>46202.5770833333</v>
      </c>
      <c r="Q698" s="1" t="n">
        <v>56.3919</v>
      </c>
      <c r="R698" s="1" t="n">
        <v>-67.9417</v>
      </c>
      <c r="S698" s="1" t="s">
        <v>2858</v>
      </c>
      <c r="T698" s="1" t="n">
        <v>2026</v>
      </c>
      <c r="U698" s="1" t="n">
        <v>2026</v>
      </c>
      <c r="V698" s="5" t="n">
        <v>46222.9895833333</v>
      </c>
      <c r="W698" s="6" t="n">
        <v>46387.9999999884</v>
      </c>
    </row>
    <row r="699" customFormat="false" ht="12.75" hidden="false" customHeight="false" outlineLevel="0" collapsed="false">
      <c r="A699" s="1" t="s">
        <v>2859</v>
      </c>
      <c r="B699" s="1" t="n">
        <v>18297964</v>
      </c>
      <c r="C699" s="1" t="s">
        <v>2793</v>
      </c>
      <c r="E699" s="1" t="s">
        <v>2860</v>
      </c>
      <c r="F699" s="1" t="n">
        <v>576</v>
      </c>
      <c r="G699" s="2" t="s">
        <v>28</v>
      </c>
      <c r="H699" s="1" t="n">
        <v>-1</v>
      </c>
      <c r="I699" s="1" t="n">
        <v>4</v>
      </c>
      <c r="J699" s="1" t="n">
        <v>0</v>
      </c>
      <c r="K699" s="1" t="n">
        <v>-1</v>
      </c>
      <c r="L699" s="2" t="n">
        <v>134.5</v>
      </c>
      <c r="M699" s="1" t="s">
        <v>29</v>
      </c>
      <c r="N699" s="1" t="s">
        <v>30</v>
      </c>
      <c r="O699" s="5" t="n">
        <v>46218.7423611111</v>
      </c>
      <c r="P699" s="5" t="n">
        <v>46221.7736111111</v>
      </c>
      <c r="Q699" s="1" t="n">
        <v>46.7644</v>
      </c>
      <c r="R699" s="1" t="n">
        <v>-76.8044</v>
      </c>
      <c r="S699" s="1" t="s">
        <v>2861</v>
      </c>
      <c r="T699" s="1" t="n">
        <v>2026</v>
      </c>
      <c r="U699" s="1" t="n">
        <v>2026</v>
      </c>
      <c r="V699" s="5" t="n">
        <v>46222.9895833333</v>
      </c>
      <c r="W699" s="6" t="n">
        <v>46387.9999999884</v>
      </c>
    </row>
    <row r="700" customFormat="false" ht="12.75" hidden="false" customHeight="false" outlineLevel="0" collapsed="false">
      <c r="A700" s="1" t="s">
        <v>2862</v>
      </c>
      <c r="B700" s="1" t="n">
        <v>18287074</v>
      </c>
      <c r="C700" s="1" t="s">
        <v>2793</v>
      </c>
      <c r="E700" s="1" t="s">
        <v>2863</v>
      </c>
      <c r="F700" s="1" t="n">
        <v>612</v>
      </c>
      <c r="G700" s="2" t="s">
        <v>28</v>
      </c>
      <c r="H700" s="1" t="n">
        <v>-1</v>
      </c>
      <c r="I700" s="1" t="n">
        <v>13</v>
      </c>
      <c r="J700" s="1" t="n">
        <v>0</v>
      </c>
      <c r="K700" s="1" t="n">
        <v>-1</v>
      </c>
      <c r="L700" s="2" t="n">
        <v>12.8</v>
      </c>
      <c r="M700" s="1" t="s">
        <v>65</v>
      </c>
      <c r="N700" s="1" t="s">
        <v>105</v>
      </c>
      <c r="O700" s="5" t="n">
        <v>46216.5</v>
      </c>
      <c r="P700" s="5" t="n">
        <v>46222.7784722222</v>
      </c>
      <c r="Q700" s="1" t="n">
        <v>54.4036</v>
      </c>
      <c r="R700" s="1" t="n">
        <v>-76.9739</v>
      </c>
      <c r="S700" s="1" t="s">
        <v>2864</v>
      </c>
      <c r="T700" s="1" t="n">
        <v>2026</v>
      </c>
      <c r="U700" s="1" t="n">
        <v>2026</v>
      </c>
      <c r="V700" s="5" t="n">
        <v>46222.8645833333</v>
      </c>
      <c r="W700" s="6" t="n">
        <v>46387.9999999884</v>
      </c>
    </row>
    <row r="701" customFormat="false" ht="12.75" hidden="false" customHeight="false" outlineLevel="0" collapsed="false">
      <c r="A701" s="1" t="s">
        <v>2865</v>
      </c>
      <c r="B701" s="1" t="n">
        <v>18282714</v>
      </c>
      <c r="C701" s="1" t="s">
        <v>2793</v>
      </c>
      <c r="E701" s="1" t="s">
        <v>2866</v>
      </c>
      <c r="F701" s="1" t="n">
        <v>415</v>
      </c>
      <c r="G701" s="2" t="s">
        <v>36</v>
      </c>
      <c r="H701" s="1" t="n">
        <v>-1</v>
      </c>
      <c r="I701" s="1" t="n">
        <v>0</v>
      </c>
      <c r="J701" s="1" t="n">
        <v>0</v>
      </c>
      <c r="K701" s="1" t="n">
        <v>-1</v>
      </c>
      <c r="L701" s="2" t="n">
        <v>302.2</v>
      </c>
      <c r="M701" s="1" t="s">
        <v>65</v>
      </c>
      <c r="N701" s="1" t="s">
        <v>105</v>
      </c>
      <c r="O701" s="5" t="n">
        <v>46203.0020833333</v>
      </c>
      <c r="P701" s="5" t="n">
        <v>46203.0020833333</v>
      </c>
      <c r="Q701" s="1" t="n">
        <v>55.5803</v>
      </c>
      <c r="R701" s="1" t="n">
        <v>-65.7311</v>
      </c>
      <c r="S701" s="1" t="s">
        <v>2867</v>
      </c>
      <c r="T701" s="1" t="n">
        <v>2026</v>
      </c>
      <c r="U701" s="1" t="n">
        <v>2026</v>
      </c>
      <c r="V701" s="5" t="n">
        <v>46222.8229166667</v>
      </c>
      <c r="W701" s="6" t="n">
        <v>46387.9999999884</v>
      </c>
    </row>
    <row r="702" customFormat="false" ht="12.75" hidden="false" customHeight="false" outlineLevel="0" collapsed="false">
      <c r="A702" s="1" t="s">
        <v>2868</v>
      </c>
      <c r="B702" s="1" t="n">
        <v>18282794</v>
      </c>
      <c r="C702" s="1" t="s">
        <v>2793</v>
      </c>
      <c r="E702" s="1" t="s">
        <v>2869</v>
      </c>
      <c r="F702" s="1" t="n">
        <v>488</v>
      </c>
      <c r="G702" s="2" t="s">
        <v>28</v>
      </c>
      <c r="H702" s="1" t="n">
        <v>-1</v>
      </c>
      <c r="I702" s="1" t="n">
        <v>7</v>
      </c>
      <c r="J702" s="1" t="n">
        <v>0</v>
      </c>
      <c r="K702" s="1" t="n">
        <v>-1</v>
      </c>
      <c r="L702" s="2" t="n">
        <v>8417.9</v>
      </c>
      <c r="M702" s="1" t="s">
        <v>65</v>
      </c>
      <c r="N702" s="1" t="s">
        <v>105</v>
      </c>
      <c r="O702" s="5" t="n">
        <v>46201.8791666667</v>
      </c>
      <c r="P702" s="5" t="n">
        <v>46207.5854166667</v>
      </c>
      <c r="Q702" s="1" t="n">
        <v>53.4544</v>
      </c>
      <c r="R702" s="1" t="n">
        <v>-69.6231</v>
      </c>
      <c r="S702" s="1" t="s">
        <v>2870</v>
      </c>
      <c r="T702" s="1" t="n">
        <v>2026</v>
      </c>
      <c r="U702" s="1" t="n">
        <v>2026</v>
      </c>
      <c r="V702" s="5" t="n">
        <v>46222.8229166667</v>
      </c>
      <c r="W702" s="6" t="n">
        <v>46387.9999999884</v>
      </c>
    </row>
    <row r="703" customFormat="false" ht="12.75" hidden="false" customHeight="false" outlineLevel="0" collapsed="false">
      <c r="A703" s="1" t="s">
        <v>2871</v>
      </c>
      <c r="B703" s="1" t="n">
        <v>18282571</v>
      </c>
      <c r="C703" s="1" t="s">
        <v>2793</v>
      </c>
      <c r="E703" s="1" t="s">
        <v>2872</v>
      </c>
      <c r="F703" s="1" t="n">
        <v>287</v>
      </c>
      <c r="G703" s="2" t="s">
        <v>28</v>
      </c>
      <c r="H703" s="1" t="n">
        <v>-1</v>
      </c>
      <c r="I703" s="1" t="n">
        <v>1</v>
      </c>
      <c r="J703" s="1" t="n">
        <v>0</v>
      </c>
      <c r="K703" s="1" t="n">
        <v>-1</v>
      </c>
      <c r="L703" s="2" t="n">
        <v>4314.4</v>
      </c>
      <c r="M703" s="1" t="s">
        <v>65</v>
      </c>
      <c r="N703" s="1" t="s">
        <v>105</v>
      </c>
      <c r="O703" s="5" t="n">
        <v>46199.7861111111</v>
      </c>
      <c r="P703" s="5" t="n">
        <v>46199.7861111111</v>
      </c>
      <c r="Q703" s="1" t="n">
        <v>51.7397</v>
      </c>
      <c r="R703" s="1" t="n">
        <v>-60.1</v>
      </c>
      <c r="S703" s="1" t="s">
        <v>2873</v>
      </c>
      <c r="T703" s="1" t="n">
        <v>2026</v>
      </c>
      <c r="U703" s="1" t="n">
        <v>2026</v>
      </c>
      <c r="V703" s="5" t="n">
        <v>46222.8229166667</v>
      </c>
      <c r="W703" s="6" t="n">
        <v>46387.9999999884</v>
      </c>
    </row>
    <row r="704" customFormat="false" ht="12.75" hidden="false" customHeight="false" outlineLevel="0" collapsed="false">
      <c r="A704" s="1" t="s">
        <v>2874</v>
      </c>
      <c r="B704" s="1" t="n">
        <v>18259399</v>
      </c>
      <c r="C704" s="1" t="s">
        <v>2793</v>
      </c>
      <c r="E704" s="1" t="s">
        <v>2875</v>
      </c>
      <c r="F704" s="1" t="n">
        <v>568</v>
      </c>
      <c r="G704" s="2" t="s">
        <v>28</v>
      </c>
      <c r="H704" s="1" t="n">
        <v>-1</v>
      </c>
      <c r="I704" s="1" t="n">
        <v>3</v>
      </c>
      <c r="J704" s="1" t="n">
        <v>0</v>
      </c>
      <c r="K704" s="1" t="n">
        <v>-1</v>
      </c>
      <c r="L704" s="2" t="n">
        <v>16.6</v>
      </c>
      <c r="M704" s="1" t="s">
        <v>65</v>
      </c>
      <c r="N704" s="1" t="s">
        <v>105</v>
      </c>
      <c r="O704" s="5" t="n">
        <v>46215.4930555556</v>
      </c>
      <c r="P704" s="5" t="n">
        <v>46217.475</v>
      </c>
      <c r="Q704" s="1" t="n">
        <v>53.5675</v>
      </c>
      <c r="R704" s="1" t="n">
        <v>-76.7744</v>
      </c>
      <c r="S704" s="1" t="s">
        <v>2876</v>
      </c>
      <c r="T704" s="1" t="n">
        <v>2026</v>
      </c>
      <c r="U704" s="1" t="n">
        <v>2026</v>
      </c>
      <c r="V704" s="5" t="n">
        <v>46222.5729166667</v>
      </c>
      <c r="W704" s="6" t="n">
        <v>46387.9999999884</v>
      </c>
    </row>
    <row r="705" customFormat="false" ht="12.75" hidden="false" customHeight="false" outlineLevel="0" collapsed="false">
      <c r="A705" s="1" t="s">
        <v>2877</v>
      </c>
      <c r="B705" s="1" t="n">
        <v>18203314</v>
      </c>
      <c r="C705" s="1" t="s">
        <v>2793</v>
      </c>
      <c r="E705" s="1" t="s">
        <v>2878</v>
      </c>
      <c r="F705" s="1" t="n">
        <v>567</v>
      </c>
      <c r="G705" s="2" t="s">
        <v>28</v>
      </c>
      <c r="H705" s="1" t="n">
        <v>-1</v>
      </c>
      <c r="I705" s="1" t="n">
        <v>2</v>
      </c>
      <c r="J705" s="1" t="n">
        <v>0</v>
      </c>
      <c r="K705" s="1" t="n">
        <v>-1</v>
      </c>
      <c r="L705" s="2" t="n">
        <v>3.3</v>
      </c>
      <c r="M705" s="1" t="s">
        <v>65</v>
      </c>
      <c r="N705" s="1" t="s">
        <v>105</v>
      </c>
      <c r="O705" s="5" t="n">
        <v>46215.7229166667</v>
      </c>
      <c r="P705" s="5" t="n">
        <v>46215.7229166667</v>
      </c>
      <c r="Q705" s="1" t="n">
        <v>53.5906</v>
      </c>
      <c r="R705" s="1" t="n">
        <v>-73.8092</v>
      </c>
      <c r="S705" s="1" t="s">
        <v>2879</v>
      </c>
      <c r="T705" s="1" t="n">
        <v>2026</v>
      </c>
      <c r="U705" s="1" t="n">
        <v>2026</v>
      </c>
      <c r="V705" s="5" t="n">
        <v>46221.9479166667</v>
      </c>
      <c r="W705" s="6" t="n">
        <v>46387.9999999884</v>
      </c>
    </row>
    <row r="706" customFormat="false" ht="12.75" hidden="false" customHeight="false" outlineLevel="0" collapsed="false">
      <c r="A706" s="1" t="s">
        <v>2880</v>
      </c>
      <c r="B706" s="1" t="n">
        <v>18203347</v>
      </c>
      <c r="C706" s="1" t="s">
        <v>2793</v>
      </c>
      <c r="E706" s="1" t="s">
        <v>2881</v>
      </c>
      <c r="F706" s="1" t="n">
        <v>597</v>
      </c>
      <c r="G706" s="2" t="s">
        <v>28</v>
      </c>
      <c r="H706" s="1" t="n">
        <v>-1</v>
      </c>
      <c r="I706" s="1" t="n">
        <v>2</v>
      </c>
      <c r="J706" s="1" t="n">
        <v>0</v>
      </c>
      <c r="K706" s="1" t="n">
        <v>-1</v>
      </c>
      <c r="L706" s="2" t="n">
        <v>45.5</v>
      </c>
      <c r="M706" s="1" t="s">
        <v>65</v>
      </c>
      <c r="N706" s="1" t="s">
        <v>105</v>
      </c>
      <c r="O706" s="5" t="n">
        <v>46217.1770833333</v>
      </c>
      <c r="P706" s="5" t="n">
        <v>46219.8694444444</v>
      </c>
      <c r="Q706" s="1" t="n">
        <v>52.7306</v>
      </c>
      <c r="R706" s="1" t="n">
        <v>-77.2919</v>
      </c>
      <c r="S706" s="1" t="s">
        <v>2882</v>
      </c>
      <c r="T706" s="1" t="n">
        <v>2026</v>
      </c>
      <c r="U706" s="1" t="n">
        <v>2026</v>
      </c>
      <c r="V706" s="5" t="n">
        <v>46221.9479166667</v>
      </c>
      <c r="W706" s="6" t="n">
        <v>46387.9999999884</v>
      </c>
    </row>
    <row r="707" customFormat="false" ht="12.75" hidden="false" customHeight="false" outlineLevel="0" collapsed="false">
      <c r="A707" s="1" t="s">
        <v>2883</v>
      </c>
      <c r="B707" s="1" t="n">
        <v>18203313</v>
      </c>
      <c r="C707" s="1" t="s">
        <v>2793</v>
      </c>
      <c r="E707" s="1" t="s">
        <v>2884</v>
      </c>
      <c r="F707" s="1" t="n">
        <v>566</v>
      </c>
      <c r="G707" s="2" t="s">
        <v>28</v>
      </c>
      <c r="H707" s="1" t="n">
        <v>-1</v>
      </c>
      <c r="I707" s="1" t="n">
        <v>0</v>
      </c>
      <c r="J707" s="1" t="n">
        <v>0</v>
      </c>
      <c r="K707" s="1" t="n">
        <v>-1</v>
      </c>
      <c r="L707" s="2" t="n">
        <v>3.3</v>
      </c>
      <c r="M707" s="1" t="s">
        <v>65</v>
      </c>
      <c r="N707" s="1" t="s">
        <v>105</v>
      </c>
      <c r="O707" s="5" t="n">
        <v>46215.9208333333</v>
      </c>
      <c r="P707" s="5" t="n">
        <v>46216.8694444444</v>
      </c>
      <c r="Q707" s="1" t="n">
        <v>53.4464</v>
      </c>
      <c r="R707" s="1" t="n">
        <v>-73.22</v>
      </c>
      <c r="S707" s="1" t="s">
        <v>2885</v>
      </c>
      <c r="T707" s="1" t="n">
        <v>2026</v>
      </c>
      <c r="U707" s="1" t="n">
        <v>2026</v>
      </c>
      <c r="V707" s="5" t="n">
        <v>46221.9479166667</v>
      </c>
      <c r="W707" s="6" t="n">
        <v>46387.9999999884</v>
      </c>
    </row>
    <row r="708" customFormat="false" ht="12.75" hidden="false" customHeight="false" outlineLevel="0" collapsed="false">
      <c r="A708" s="1" t="s">
        <v>2886</v>
      </c>
      <c r="B708" s="1" t="n">
        <v>18203312</v>
      </c>
      <c r="C708" s="1" t="s">
        <v>2793</v>
      </c>
      <c r="E708" s="1" t="s">
        <v>2887</v>
      </c>
      <c r="F708" s="1" t="n">
        <v>565</v>
      </c>
      <c r="G708" s="2" t="s">
        <v>28</v>
      </c>
      <c r="H708" s="1" t="n">
        <v>-1</v>
      </c>
      <c r="I708" s="1" t="n">
        <v>10</v>
      </c>
      <c r="J708" s="1" t="n">
        <v>0</v>
      </c>
      <c r="K708" s="1" t="n">
        <v>-1</v>
      </c>
      <c r="L708" s="2" t="n">
        <v>2.4</v>
      </c>
      <c r="M708" s="1" t="s">
        <v>65</v>
      </c>
      <c r="N708" s="1" t="s">
        <v>105</v>
      </c>
      <c r="O708" s="5" t="n">
        <v>46216.0611111111</v>
      </c>
      <c r="P708" s="5" t="n">
        <v>46216.8069444444</v>
      </c>
      <c r="Q708" s="1" t="n">
        <v>51.6839</v>
      </c>
      <c r="R708" s="1" t="n">
        <v>-77.3631</v>
      </c>
      <c r="S708" s="1" t="s">
        <v>2888</v>
      </c>
      <c r="T708" s="1" t="n">
        <v>2026</v>
      </c>
      <c r="U708" s="1" t="n">
        <v>2026</v>
      </c>
      <c r="V708" s="5" t="n">
        <v>46221.9479166667</v>
      </c>
      <c r="W708" s="6" t="n">
        <v>46387.9999999884</v>
      </c>
    </row>
    <row r="709" customFormat="false" ht="12.75" hidden="false" customHeight="false" outlineLevel="0" collapsed="false">
      <c r="A709" s="1" t="s">
        <v>2889</v>
      </c>
      <c r="B709" s="1" t="n">
        <v>18203277</v>
      </c>
      <c r="C709" s="1" t="s">
        <v>2793</v>
      </c>
      <c r="E709" s="1" t="s">
        <v>2890</v>
      </c>
      <c r="F709" s="1" t="n">
        <v>533</v>
      </c>
      <c r="G709" s="2" t="s">
        <v>28</v>
      </c>
      <c r="H709" s="1" t="n">
        <v>-1</v>
      </c>
      <c r="I709" s="1" t="n">
        <v>2</v>
      </c>
      <c r="J709" s="1" t="n">
        <v>0</v>
      </c>
      <c r="K709" s="1" t="n">
        <v>-1</v>
      </c>
      <c r="L709" s="2" t="n">
        <v>37.5</v>
      </c>
      <c r="M709" s="1" t="s">
        <v>65</v>
      </c>
      <c r="N709" s="1" t="s">
        <v>105</v>
      </c>
      <c r="O709" s="5" t="n">
        <v>46204.7881944444</v>
      </c>
      <c r="P709" s="5" t="n">
        <v>46211.7145833333</v>
      </c>
      <c r="Q709" s="1" t="n">
        <v>52.0136</v>
      </c>
      <c r="R709" s="1" t="n">
        <v>-75.1783</v>
      </c>
      <c r="S709" s="1" t="s">
        <v>2891</v>
      </c>
      <c r="T709" s="1" t="n">
        <v>2026</v>
      </c>
      <c r="U709" s="1" t="n">
        <v>2026</v>
      </c>
      <c r="V709" s="5" t="n">
        <v>46221.9479166667</v>
      </c>
      <c r="W709" s="6" t="n">
        <v>46387.9999999884</v>
      </c>
    </row>
    <row r="710" customFormat="false" ht="12.75" hidden="false" customHeight="false" outlineLevel="0" collapsed="false">
      <c r="A710" s="1" t="s">
        <v>2892</v>
      </c>
      <c r="B710" s="1" t="n">
        <v>18203280</v>
      </c>
      <c r="C710" s="1" t="s">
        <v>2793</v>
      </c>
      <c r="E710" s="1" t="s">
        <v>2893</v>
      </c>
      <c r="F710" s="1" t="n">
        <v>536</v>
      </c>
      <c r="G710" s="2" t="s">
        <v>28</v>
      </c>
      <c r="H710" s="1" t="n">
        <v>-1</v>
      </c>
      <c r="I710" s="1" t="n">
        <v>10</v>
      </c>
      <c r="J710" s="1" t="n">
        <v>0</v>
      </c>
      <c r="K710" s="1" t="n">
        <v>-1</v>
      </c>
      <c r="L710" s="2" t="n">
        <v>42.2</v>
      </c>
      <c r="M710" s="1" t="s">
        <v>65</v>
      </c>
      <c r="N710" s="1" t="s">
        <v>105</v>
      </c>
      <c r="O710" s="5" t="n">
        <v>46211.1458333333</v>
      </c>
      <c r="P710" s="5" t="n">
        <v>46211.8125</v>
      </c>
      <c r="Q710" s="1" t="n">
        <v>54.1947</v>
      </c>
      <c r="R710" s="1" t="n">
        <v>-70.9586</v>
      </c>
      <c r="S710" s="1" t="s">
        <v>2894</v>
      </c>
      <c r="T710" s="1" t="n">
        <v>2026</v>
      </c>
      <c r="U710" s="1" t="n">
        <v>2026</v>
      </c>
      <c r="V710" s="5" t="n">
        <v>46221.9479166667</v>
      </c>
      <c r="W710" s="6" t="n">
        <v>46387.9999999884</v>
      </c>
    </row>
    <row r="711" customFormat="false" ht="12.75" hidden="false" customHeight="false" outlineLevel="0" collapsed="false">
      <c r="A711" s="1" t="s">
        <v>2895</v>
      </c>
      <c r="B711" s="1" t="n">
        <v>18203286</v>
      </c>
      <c r="C711" s="1" t="s">
        <v>2793</v>
      </c>
      <c r="E711" s="1" t="s">
        <v>2896</v>
      </c>
      <c r="F711" s="1" t="n">
        <v>541</v>
      </c>
      <c r="G711" s="2" t="s">
        <v>28</v>
      </c>
      <c r="H711" s="1" t="n">
        <v>-1</v>
      </c>
      <c r="I711" s="1" t="n">
        <v>0</v>
      </c>
      <c r="J711" s="1" t="n">
        <v>0</v>
      </c>
      <c r="K711" s="1" t="n">
        <v>-1</v>
      </c>
      <c r="L711" s="2" t="n">
        <v>1233.4</v>
      </c>
      <c r="M711" s="1" t="s">
        <v>65</v>
      </c>
      <c r="N711" s="1" t="s">
        <v>105</v>
      </c>
      <c r="O711" s="5" t="n">
        <v>46204.9020833333</v>
      </c>
      <c r="P711" s="5" t="n">
        <v>46204.9020833333</v>
      </c>
      <c r="Q711" s="1" t="n">
        <v>53.8606</v>
      </c>
      <c r="R711" s="1" t="n">
        <v>-70.2167</v>
      </c>
      <c r="S711" s="1" t="s">
        <v>2897</v>
      </c>
      <c r="T711" s="1" t="n">
        <v>2026</v>
      </c>
      <c r="U711" s="1" t="n">
        <v>2026</v>
      </c>
      <c r="V711" s="5" t="n">
        <v>46221.9479166667</v>
      </c>
      <c r="W711" s="6" t="n">
        <v>46387.9999999884</v>
      </c>
    </row>
    <row r="712" customFormat="false" ht="12.75" hidden="false" customHeight="false" outlineLevel="0" collapsed="false">
      <c r="A712" s="1" t="s">
        <v>2898</v>
      </c>
      <c r="B712" s="1" t="n">
        <v>18203291</v>
      </c>
      <c r="C712" s="1" t="s">
        <v>2793</v>
      </c>
      <c r="E712" s="1" t="s">
        <v>2899</v>
      </c>
      <c r="F712" s="1" t="n">
        <v>546</v>
      </c>
      <c r="G712" s="2" t="s">
        <v>28</v>
      </c>
      <c r="H712" s="1" t="n">
        <v>-1</v>
      </c>
      <c r="I712" s="1" t="n">
        <v>3</v>
      </c>
      <c r="J712" s="1" t="n">
        <v>0</v>
      </c>
      <c r="K712" s="1" t="n">
        <v>-1</v>
      </c>
      <c r="L712" s="2" t="n">
        <v>137.5</v>
      </c>
      <c r="M712" s="1" t="s">
        <v>65</v>
      </c>
      <c r="N712" s="1" t="s">
        <v>105</v>
      </c>
      <c r="O712" s="5" t="n">
        <v>46204.5</v>
      </c>
      <c r="P712" s="5" t="n">
        <v>46214.5361111111</v>
      </c>
      <c r="Q712" s="1" t="n">
        <v>55.46</v>
      </c>
      <c r="R712" s="1" t="n">
        <v>-67.9208</v>
      </c>
      <c r="S712" s="1" t="s">
        <v>2900</v>
      </c>
      <c r="T712" s="1" t="n">
        <v>2026</v>
      </c>
      <c r="U712" s="1" t="n">
        <v>2026</v>
      </c>
      <c r="V712" s="5" t="n">
        <v>46221.9479166667</v>
      </c>
      <c r="W712" s="6" t="n">
        <v>46387.9999999884</v>
      </c>
    </row>
    <row r="713" customFormat="false" ht="12.75" hidden="false" customHeight="false" outlineLevel="0" collapsed="false">
      <c r="A713" s="1" t="s">
        <v>2901</v>
      </c>
      <c r="B713" s="1" t="n">
        <v>18203292</v>
      </c>
      <c r="C713" s="1" t="s">
        <v>2793</v>
      </c>
      <c r="E713" s="1" t="s">
        <v>2902</v>
      </c>
      <c r="F713" s="1" t="n">
        <v>547</v>
      </c>
      <c r="G713" s="2" t="s">
        <v>28</v>
      </c>
      <c r="H713" s="1" t="n">
        <v>-1</v>
      </c>
      <c r="I713" s="1" t="n">
        <v>2</v>
      </c>
      <c r="J713" s="1" t="n">
        <v>0</v>
      </c>
      <c r="K713" s="1" t="n">
        <v>-1</v>
      </c>
      <c r="L713" s="2" t="n">
        <v>492.9</v>
      </c>
      <c r="M713" s="1" t="s">
        <v>70</v>
      </c>
      <c r="N713" s="1" t="s">
        <v>105</v>
      </c>
      <c r="O713" s="5" t="n">
        <v>46200.6847222222</v>
      </c>
      <c r="P713" s="5" t="n">
        <v>46214.6381944444</v>
      </c>
      <c r="Q713" s="1" t="n">
        <v>50.9275</v>
      </c>
      <c r="R713" s="1" t="n">
        <v>-77.9083</v>
      </c>
      <c r="S713" s="1" t="s">
        <v>2903</v>
      </c>
      <c r="T713" s="1" t="n">
        <v>2026</v>
      </c>
      <c r="U713" s="1" t="n">
        <v>2026</v>
      </c>
      <c r="V713" s="5" t="n">
        <v>46221.9479166667</v>
      </c>
      <c r="W713" s="6" t="n">
        <v>46387.9999999884</v>
      </c>
    </row>
    <row r="714" customFormat="false" ht="12.75" hidden="false" customHeight="false" outlineLevel="0" collapsed="false">
      <c r="A714" s="1" t="s">
        <v>2904</v>
      </c>
      <c r="B714" s="1" t="n">
        <v>18203327</v>
      </c>
      <c r="C714" s="1" t="s">
        <v>2793</v>
      </c>
      <c r="E714" s="1" t="s">
        <v>2905</v>
      </c>
      <c r="F714" s="1" t="n">
        <v>579</v>
      </c>
      <c r="G714" s="2" t="s">
        <v>28</v>
      </c>
      <c r="H714" s="1" t="n">
        <v>-1</v>
      </c>
      <c r="I714" s="1" t="n">
        <v>6</v>
      </c>
      <c r="J714" s="1" t="n">
        <v>0</v>
      </c>
      <c r="K714" s="1" t="n">
        <v>-1</v>
      </c>
      <c r="L714" s="2" t="n">
        <v>14.2</v>
      </c>
      <c r="M714" s="1" t="s">
        <v>65</v>
      </c>
      <c r="N714" s="1" t="s">
        <v>105</v>
      </c>
      <c r="O714" s="5" t="n">
        <v>46205.8590277778</v>
      </c>
      <c r="P714" s="5" t="n">
        <v>46218.8041666667</v>
      </c>
      <c r="Q714" s="1" t="n">
        <v>51.4644</v>
      </c>
      <c r="R714" s="1" t="n">
        <v>-77.6664</v>
      </c>
      <c r="S714" s="1" t="s">
        <v>2906</v>
      </c>
      <c r="T714" s="1" t="n">
        <v>2026</v>
      </c>
      <c r="U714" s="1" t="n">
        <v>2026</v>
      </c>
      <c r="V714" s="5" t="n">
        <v>46221.9479166667</v>
      </c>
      <c r="W714" s="6" t="n">
        <v>46387.9999999884</v>
      </c>
    </row>
    <row r="715" customFormat="false" ht="12.75" hidden="false" customHeight="false" outlineLevel="0" collapsed="false">
      <c r="A715" s="1" t="s">
        <v>2907</v>
      </c>
      <c r="B715" s="1" t="n">
        <v>18203310</v>
      </c>
      <c r="C715" s="1" t="s">
        <v>2793</v>
      </c>
      <c r="E715" s="1" t="s">
        <v>2908</v>
      </c>
      <c r="F715" s="1" t="n">
        <v>563</v>
      </c>
      <c r="G715" s="2" t="s">
        <v>28</v>
      </c>
      <c r="H715" s="1" t="n">
        <v>-1</v>
      </c>
      <c r="I715" s="1" t="n">
        <v>9</v>
      </c>
      <c r="J715" s="1" t="n">
        <v>0</v>
      </c>
      <c r="K715" s="1" t="n">
        <v>-1</v>
      </c>
      <c r="L715" s="2" t="n">
        <v>0.1</v>
      </c>
      <c r="M715" s="1" t="s">
        <v>65</v>
      </c>
      <c r="N715" s="1" t="s">
        <v>105</v>
      </c>
      <c r="O715" s="5" t="n">
        <v>46215.775</v>
      </c>
      <c r="P715" s="5" t="n">
        <v>46216.81875</v>
      </c>
      <c r="Q715" s="1" t="n">
        <v>51.3622</v>
      </c>
      <c r="R715" s="1" t="n">
        <v>-76.4153</v>
      </c>
      <c r="S715" s="1" t="s">
        <v>2909</v>
      </c>
      <c r="T715" s="1" t="n">
        <v>2026</v>
      </c>
      <c r="U715" s="1" t="n">
        <v>2026</v>
      </c>
      <c r="V715" s="5" t="n">
        <v>46221.9479166667</v>
      </c>
      <c r="W715" s="6" t="n">
        <v>46387.9999999884</v>
      </c>
    </row>
    <row r="716" customFormat="false" ht="12.75" hidden="false" customHeight="false" outlineLevel="0" collapsed="false">
      <c r="A716" s="1" t="s">
        <v>2910</v>
      </c>
      <c r="B716" s="1" t="n">
        <v>18203309</v>
      </c>
      <c r="C716" s="1" t="s">
        <v>2793</v>
      </c>
      <c r="E716" s="1" t="s">
        <v>2911</v>
      </c>
      <c r="F716" s="1" t="n">
        <v>562</v>
      </c>
      <c r="G716" s="2" t="s">
        <v>28</v>
      </c>
      <c r="H716" s="1" t="n">
        <v>-1</v>
      </c>
      <c r="I716" s="1" t="n">
        <v>13</v>
      </c>
      <c r="J716" s="1" t="n">
        <v>0</v>
      </c>
      <c r="K716" s="1" t="n">
        <v>-1</v>
      </c>
      <c r="L716" s="2" t="n">
        <v>22.3</v>
      </c>
      <c r="M716" s="1" t="s">
        <v>65</v>
      </c>
      <c r="N716" s="1" t="s">
        <v>105</v>
      </c>
      <c r="O716" s="5" t="n">
        <v>46211.7791666667</v>
      </c>
      <c r="P716" s="5" t="n">
        <v>46215.9666666667</v>
      </c>
      <c r="Q716" s="1" t="n">
        <v>51.4564</v>
      </c>
      <c r="R716" s="1" t="n">
        <v>-76.7611</v>
      </c>
      <c r="S716" s="1" t="s">
        <v>2912</v>
      </c>
      <c r="T716" s="1" t="n">
        <v>2026</v>
      </c>
      <c r="U716" s="1" t="n">
        <v>2026</v>
      </c>
      <c r="V716" s="5" t="n">
        <v>46221.9479166667</v>
      </c>
      <c r="W716" s="6" t="n">
        <v>46387.9999999884</v>
      </c>
    </row>
    <row r="717" customFormat="false" ht="12.75" hidden="false" customHeight="false" outlineLevel="0" collapsed="false">
      <c r="A717" s="1" t="s">
        <v>2913</v>
      </c>
      <c r="B717" s="1" t="n">
        <v>18203305</v>
      </c>
      <c r="C717" s="1" t="s">
        <v>2793</v>
      </c>
      <c r="E717" s="1" t="s">
        <v>2914</v>
      </c>
      <c r="F717" s="1" t="n">
        <v>559</v>
      </c>
      <c r="G717" s="2" t="s">
        <v>28</v>
      </c>
      <c r="H717" s="1" t="n">
        <v>-1</v>
      </c>
      <c r="I717" s="1" t="n">
        <v>9</v>
      </c>
      <c r="J717" s="1" t="n">
        <v>0</v>
      </c>
      <c r="K717" s="1" t="n">
        <v>-1</v>
      </c>
      <c r="L717" s="2" t="n">
        <v>70.3</v>
      </c>
      <c r="M717" s="1" t="s">
        <v>65</v>
      </c>
      <c r="N717" s="1" t="s">
        <v>37</v>
      </c>
      <c r="O717" s="5" t="n">
        <v>46215.7451388889</v>
      </c>
      <c r="P717" s="5" t="n">
        <v>46219.5048611111</v>
      </c>
      <c r="Q717" s="1" t="n">
        <v>51.5861</v>
      </c>
      <c r="R717" s="1" t="n">
        <v>-76.6408</v>
      </c>
      <c r="S717" s="1" t="s">
        <v>2915</v>
      </c>
      <c r="T717" s="1" t="n">
        <v>2026</v>
      </c>
      <c r="U717" s="1" t="n">
        <v>2026</v>
      </c>
      <c r="V717" s="5" t="n">
        <v>46221.9479166667</v>
      </c>
      <c r="W717" s="6" t="n">
        <v>46387.9999999884</v>
      </c>
    </row>
    <row r="718" customFormat="false" ht="12.75" hidden="false" customHeight="false" outlineLevel="0" collapsed="false">
      <c r="A718" s="1" t="s">
        <v>2916</v>
      </c>
      <c r="B718" s="1" t="n">
        <v>18203304</v>
      </c>
      <c r="C718" s="1" t="s">
        <v>2793</v>
      </c>
      <c r="E718" s="1" t="s">
        <v>2917</v>
      </c>
      <c r="F718" s="1" t="n">
        <v>558</v>
      </c>
      <c r="G718" s="2" t="s">
        <v>36</v>
      </c>
      <c r="H718" s="1" t="n">
        <v>-1</v>
      </c>
      <c r="I718" s="1" t="n">
        <v>5</v>
      </c>
      <c r="J718" s="1" t="n">
        <v>0</v>
      </c>
      <c r="K718" s="1" t="n">
        <v>-1</v>
      </c>
      <c r="L718" s="2" t="n">
        <v>1</v>
      </c>
      <c r="M718" s="1" t="s">
        <v>65</v>
      </c>
      <c r="N718" s="1" t="s">
        <v>105</v>
      </c>
      <c r="O718" s="5" t="n">
        <v>46215.8277777778</v>
      </c>
      <c r="P718" s="5" t="n">
        <v>46215.8979166667</v>
      </c>
      <c r="Q718" s="1" t="n">
        <v>58.2608</v>
      </c>
      <c r="R718" s="1" t="n">
        <v>-67.4864</v>
      </c>
      <c r="S718" s="1" t="s">
        <v>2918</v>
      </c>
      <c r="T718" s="1" t="n">
        <v>2026</v>
      </c>
      <c r="U718" s="1" t="n">
        <v>2026</v>
      </c>
      <c r="V718" s="5" t="n">
        <v>46221.9479166667</v>
      </c>
      <c r="W718" s="6" t="n">
        <v>46387.9999999884</v>
      </c>
    </row>
    <row r="719" customFormat="false" ht="12.75" hidden="false" customHeight="false" outlineLevel="0" collapsed="false">
      <c r="A719" s="1" t="s">
        <v>2919</v>
      </c>
      <c r="B719" s="1" t="n">
        <v>18175824</v>
      </c>
      <c r="C719" s="1" t="s">
        <v>2793</v>
      </c>
      <c r="E719" s="1" t="s">
        <v>2920</v>
      </c>
      <c r="F719" s="1" t="n">
        <v>276</v>
      </c>
      <c r="G719" s="2" t="s">
        <v>28</v>
      </c>
      <c r="H719" s="1" t="n">
        <v>-1</v>
      </c>
      <c r="I719" s="1" t="n">
        <v>0</v>
      </c>
      <c r="J719" s="1" t="n">
        <v>0</v>
      </c>
      <c r="K719" s="1" t="n">
        <v>-1</v>
      </c>
      <c r="L719" s="2" t="n">
        <v>3000.3</v>
      </c>
      <c r="M719" s="1" t="s">
        <v>65</v>
      </c>
      <c r="N719" s="1" t="s">
        <v>105</v>
      </c>
      <c r="O719" s="5" t="n">
        <v>46199.6666666667</v>
      </c>
      <c r="P719" s="5" t="n">
        <v>46207.8451388889</v>
      </c>
      <c r="Q719" s="1" t="n">
        <v>51.0622</v>
      </c>
      <c r="R719" s="1" t="n">
        <v>-70.5292</v>
      </c>
      <c r="S719" s="1" t="s">
        <v>2921</v>
      </c>
      <c r="T719" s="1" t="n">
        <v>2026</v>
      </c>
      <c r="U719" s="1" t="n">
        <v>2026</v>
      </c>
      <c r="V719" s="5" t="n">
        <v>46221.65625</v>
      </c>
      <c r="W719" s="6" t="n">
        <v>46387.9999999884</v>
      </c>
    </row>
    <row r="720" customFormat="false" ht="12.75" hidden="false" customHeight="false" outlineLevel="0" collapsed="false">
      <c r="A720" s="1" t="s">
        <v>2922</v>
      </c>
      <c r="B720" s="1" t="n">
        <v>18176109</v>
      </c>
      <c r="C720" s="1" t="s">
        <v>2793</v>
      </c>
      <c r="E720" s="1" t="s">
        <v>2923</v>
      </c>
      <c r="F720" s="1" t="n">
        <v>532</v>
      </c>
      <c r="G720" s="2" t="s">
        <v>28</v>
      </c>
      <c r="H720" s="1" t="n">
        <v>-1</v>
      </c>
      <c r="I720" s="1" t="n">
        <v>1</v>
      </c>
      <c r="J720" s="1" t="n">
        <v>0</v>
      </c>
      <c r="K720" s="1" t="n">
        <v>-1</v>
      </c>
      <c r="L720" s="2" t="n">
        <v>11.8</v>
      </c>
      <c r="M720" s="1" t="s">
        <v>65</v>
      </c>
      <c r="N720" s="1" t="s">
        <v>105</v>
      </c>
      <c r="O720" s="5" t="n">
        <v>46201.0423611111</v>
      </c>
      <c r="P720" s="5" t="n">
        <v>46211.7069444444</v>
      </c>
      <c r="Q720" s="1" t="n">
        <v>52.0308</v>
      </c>
      <c r="R720" s="1" t="n">
        <v>-75.1214</v>
      </c>
      <c r="S720" s="1" t="s">
        <v>2924</v>
      </c>
      <c r="T720" s="1" t="n">
        <v>2026</v>
      </c>
      <c r="U720" s="1" t="n">
        <v>2026</v>
      </c>
      <c r="V720" s="5" t="n">
        <v>46221.65625</v>
      </c>
      <c r="W720" s="6" t="n">
        <v>46387.9999999884</v>
      </c>
    </row>
    <row r="721" customFormat="false" ht="12.75" hidden="false" customHeight="false" outlineLevel="0" collapsed="false">
      <c r="A721" s="1" t="s">
        <v>2925</v>
      </c>
      <c r="B721" s="1" t="n">
        <v>18176088</v>
      </c>
      <c r="C721" s="1" t="s">
        <v>2793</v>
      </c>
      <c r="E721" s="1" t="s">
        <v>2926</v>
      </c>
      <c r="F721" s="1" t="n">
        <v>513</v>
      </c>
      <c r="G721" s="2" t="s">
        <v>28</v>
      </c>
      <c r="H721" s="1" t="n">
        <v>-1</v>
      </c>
      <c r="I721" s="1" t="n">
        <v>0</v>
      </c>
      <c r="J721" s="1" t="n">
        <v>0</v>
      </c>
      <c r="K721" s="1" t="n">
        <v>-1</v>
      </c>
      <c r="L721" s="2" t="n">
        <v>337.4</v>
      </c>
      <c r="M721" s="1" t="s">
        <v>70</v>
      </c>
      <c r="N721" s="1" t="s">
        <v>105</v>
      </c>
      <c r="O721" s="5" t="n">
        <v>46204.2340277778</v>
      </c>
      <c r="P721" s="5" t="n">
        <v>46220.5965277778</v>
      </c>
      <c r="Q721" s="1" t="n">
        <v>53.5289</v>
      </c>
      <c r="R721" s="1" t="n">
        <v>-76.6139</v>
      </c>
      <c r="S721" s="1" t="s">
        <v>2927</v>
      </c>
      <c r="T721" s="1" t="n">
        <v>2026</v>
      </c>
      <c r="U721" s="1" t="n">
        <v>2026</v>
      </c>
      <c r="V721" s="5" t="n">
        <v>46221.65625</v>
      </c>
      <c r="W721" s="6" t="n">
        <v>46387.9999999884</v>
      </c>
    </row>
    <row r="722" customFormat="false" ht="12.75" hidden="false" customHeight="false" outlineLevel="0" collapsed="false">
      <c r="A722" s="1" t="s">
        <v>2928</v>
      </c>
      <c r="B722" s="1" t="n">
        <v>18175778</v>
      </c>
      <c r="C722" s="1" t="s">
        <v>2793</v>
      </c>
      <c r="E722" s="1" t="s">
        <v>2929</v>
      </c>
      <c r="F722" s="1" t="n">
        <v>234</v>
      </c>
      <c r="G722" s="2" t="s">
        <v>28</v>
      </c>
      <c r="H722" s="1" t="n">
        <v>-1</v>
      </c>
      <c r="I722" s="1" t="n">
        <v>0</v>
      </c>
      <c r="J722" s="1" t="n">
        <v>0</v>
      </c>
      <c r="K722" s="1" t="n">
        <v>-1</v>
      </c>
      <c r="L722" s="2" t="n">
        <v>12587.4</v>
      </c>
      <c r="M722" s="1" t="s">
        <v>65</v>
      </c>
      <c r="N722" s="1" t="s">
        <v>105</v>
      </c>
      <c r="O722" s="5" t="n">
        <v>46192.7513888889</v>
      </c>
      <c r="P722" s="5" t="n">
        <v>46193.9006944444</v>
      </c>
      <c r="Q722" s="1" t="n">
        <v>54.9411</v>
      </c>
      <c r="R722" s="1" t="n">
        <v>-77.2142</v>
      </c>
      <c r="S722" s="1" t="s">
        <v>2930</v>
      </c>
      <c r="T722" s="1" t="n">
        <v>2026</v>
      </c>
      <c r="U722" s="1" t="n">
        <v>2026</v>
      </c>
      <c r="V722" s="5" t="n">
        <v>46221.65625</v>
      </c>
      <c r="W722" s="6" t="n">
        <v>46387.9999999884</v>
      </c>
    </row>
    <row r="723" customFormat="false" ht="12.75" hidden="false" customHeight="false" outlineLevel="0" collapsed="false">
      <c r="A723" s="1" t="s">
        <v>2931</v>
      </c>
      <c r="B723" s="1" t="n">
        <v>18176079</v>
      </c>
      <c r="C723" s="1" t="s">
        <v>2793</v>
      </c>
      <c r="E723" s="1" t="s">
        <v>2932</v>
      </c>
      <c r="F723" s="1" t="n">
        <v>505</v>
      </c>
      <c r="G723" s="2" t="s">
        <v>28</v>
      </c>
      <c r="H723" s="1" t="n">
        <v>-1</v>
      </c>
      <c r="I723" s="1" t="n">
        <v>1</v>
      </c>
      <c r="J723" s="1" t="n">
        <v>0</v>
      </c>
      <c r="K723" s="1" t="n">
        <v>-1</v>
      </c>
      <c r="L723" s="2" t="n">
        <v>968.2</v>
      </c>
      <c r="M723" s="1" t="s">
        <v>65</v>
      </c>
      <c r="N723" s="1" t="s">
        <v>105</v>
      </c>
      <c r="O723" s="5" t="n">
        <v>46204.7131944444</v>
      </c>
      <c r="P723" s="5" t="n">
        <v>46209.8</v>
      </c>
      <c r="Q723" s="1" t="n">
        <v>52.4789</v>
      </c>
      <c r="R723" s="1" t="n">
        <v>-76.1983</v>
      </c>
      <c r="S723" s="1" t="s">
        <v>2933</v>
      </c>
      <c r="T723" s="1" t="n">
        <v>2026</v>
      </c>
      <c r="U723" s="1" t="n">
        <v>2026</v>
      </c>
      <c r="V723" s="5" t="n">
        <v>46221.65625</v>
      </c>
      <c r="W723" s="6" t="n">
        <v>46387.9999999884</v>
      </c>
    </row>
    <row r="724" customFormat="false" ht="12.75" hidden="false" customHeight="false" outlineLevel="0" collapsed="false">
      <c r="A724" s="1" t="s">
        <v>2934</v>
      </c>
      <c r="B724" s="1" t="n">
        <v>18176075</v>
      </c>
      <c r="C724" s="1" t="s">
        <v>2793</v>
      </c>
      <c r="E724" s="1" t="s">
        <v>2935</v>
      </c>
      <c r="F724" s="1" t="n">
        <v>501</v>
      </c>
      <c r="G724" s="2" t="s">
        <v>28</v>
      </c>
      <c r="H724" s="1" t="n">
        <v>-1</v>
      </c>
      <c r="I724" s="1" t="n">
        <v>6</v>
      </c>
      <c r="J724" s="1" t="n">
        <v>0</v>
      </c>
      <c r="K724" s="1" t="n">
        <v>-1</v>
      </c>
      <c r="L724" s="2" t="n">
        <v>122.9</v>
      </c>
      <c r="M724" s="1" t="s">
        <v>65</v>
      </c>
      <c r="N724" s="1" t="s">
        <v>105</v>
      </c>
      <c r="O724" s="5" t="n">
        <v>46201.9076388889</v>
      </c>
      <c r="P724" s="5" t="n">
        <v>46201.9076388889</v>
      </c>
      <c r="Q724" s="1" t="n">
        <v>53.2494</v>
      </c>
      <c r="R724" s="1" t="n">
        <v>-69.0158</v>
      </c>
      <c r="S724" s="1" t="s">
        <v>2936</v>
      </c>
      <c r="T724" s="1" t="n">
        <v>2026</v>
      </c>
      <c r="U724" s="1" t="n">
        <v>2026</v>
      </c>
      <c r="V724" s="5" t="n">
        <v>46221.65625</v>
      </c>
      <c r="W724" s="6" t="n">
        <v>46387.9999999884</v>
      </c>
    </row>
    <row r="725" customFormat="false" ht="12.75" hidden="false" customHeight="false" outlineLevel="0" collapsed="false">
      <c r="A725" s="1" t="s">
        <v>2937</v>
      </c>
      <c r="B725" s="1" t="n">
        <v>18176098</v>
      </c>
      <c r="C725" s="1" t="s">
        <v>2793</v>
      </c>
      <c r="E725" s="1" t="s">
        <v>2938</v>
      </c>
      <c r="F725" s="1" t="n">
        <v>522</v>
      </c>
      <c r="G725" s="2" t="s">
        <v>28</v>
      </c>
      <c r="H725" s="1" t="n">
        <v>-1</v>
      </c>
      <c r="I725" s="1" t="n">
        <v>0</v>
      </c>
      <c r="J725" s="1" t="n">
        <v>0</v>
      </c>
      <c r="K725" s="1" t="n">
        <v>-1</v>
      </c>
      <c r="L725" s="2" t="n">
        <v>55.7</v>
      </c>
      <c r="M725" s="1" t="s">
        <v>65</v>
      </c>
      <c r="N725" s="1" t="s">
        <v>105</v>
      </c>
      <c r="O725" s="5" t="n">
        <v>46206.8895833333</v>
      </c>
      <c r="P725" s="5" t="n">
        <v>46206.8895833333</v>
      </c>
      <c r="Q725" s="1" t="n">
        <v>51.2164</v>
      </c>
      <c r="R725" s="1" t="n">
        <v>-74.4239</v>
      </c>
      <c r="S725" s="1" t="s">
        <v>2939</v>
      </c>
      <c r="T725" s="1" t="n">
        <v>2026</v>
      </c>
      <c r="U725" s="1" t="n">
        <v>2026</v>
      </c>
      <c r="V725" s="5" t="n">
        <v>46221.65625</v>
      </c>
      <c r="W725" s="6" t="n">
        <v>46387.9999999884</v>
      </c>
    </row>
    <row r="726" customFormat="false" ht="12.75" hidden="false" customHeight="false" outlineLevel="0" collapsed="false">
      <c r="A726" s="1" t="s">
        <v>2940</v>
      </c>
      <c r="B726" s="1" t="n">
        <v>18176091</v>
      </c>
      <c r="C726" s="1" t="s">
        <v>2793</v>
      </c>
      <c r="E726" s="1" t="s">
        <v>2941</v>
      </c>
      <c r="F726" s="1" t="n">
        <v>516</v>
      </c>
      <c r="G726" s="2" t="s">
        <v>28</v>
      </c>
      <c r="H726" s="1" t="n">
        <v>-1</v>
      </c>
      <c r="I726" s="1" t="n">
        <v>2</v>
      </c>
      <c r="J726" s="1" t="n">
        <v>0</v>
      </c>
      <c r="K726" s="1" t="n">
        <v>-1</v>
      </c>
      <c r="L726" s="2" t="n">
        <v>106.1</v>
      </c>
      <c r="M726" s="1" t="s">
        <v>65</v>
      </c>
      <c r="N726" s="1" t="s">
        <v>105</v>
      </c>
      <c r="O726" s="5" t="n">
        <v>46205.9138888889</v>
      </c>
      <c r="P726" s="5" t="n">
        <v>46210.7208333333</v>
      </c>
      <c r="Q726" s="1" t="n">
        <v>51.0775</v>
      </c>
      <c r="R726" s="1" t="n">
        <v>-76.6281</v>
      </c>
      <c r="S726" s="1" t="s">
        <v>2942</v>
      </c>
      <c r="T726" s="1" t="n">
        <v>2026</v>
      </c>
      <c r="U726" s="1" t="n">
        <v>2026</v>
      </c>
      <c r="V726" s="5" t="n">
        <v>46221.65625</v>
      </c>
      <c r="W726" s="6" t="n">
        <v>46387.9999999884</v>
      </c>
    </row>
    <row r="727" customFormat="false" ht="12.75" hidden="false" customHeight="false" outlineLevel="0" collapsed="false">
      <c r="A727" s="1" t="s">
        <v>2943</v>
      </c>
      <c r="B727" s="1" t="n">
        <v>18176093</v>
      </c>
      <c r="C727" s="1" t="s">
        <v>2793</v>
      </c>
      <c r="E727" s="1" t="s">
        <v>2944</v>
      </c>
      <c r="F727" s="1" t="n">
        <v>518</v>
      </c>
      <c r="G727" s="2" t="s">
        <v>28</v>
      </c>
      <c r="H727" s="1" t="n">
        <v>-1</v>
      </c>
      <c r="I727" s="1" t="n">
        <v>6</v>
      </c>
      <c r="J727" s="1" t="n">
        <v>0</v>
      </c>
      <c r="K727" s="1" t="n">
        <v>-1</v>
      </c>
      <c r="L727" s="2" t="n">
        <v>8.1</v>
      </c>
      <c r="M727" s="1" t="s">
        <v>65</v>
      </c>
      <c r="N727" s="1" t="s">
        <v>105</v>
      </c>
      <c r="O727" s="5" t="n">
        <v>46205.8645833333</v>
      </c>
      <c r="P727" s="5" t="n">
        <v>46210.7402777778</v>
      </c>
      <c r="Q727" s="1" t="n">
        <v>51.3239</v>
      </c>
      <c r="R727" s="1" t="n">
        <v>-77.2444</v>
      </c>
      <c r="S727" s="1" t="s">
        <v>2945</v>
      </c>
      <c r="T727" s="1" t="n">
        <v>2026</v>
      </c>
      <c r="U727" s="1" t="n">
        <v>2026</v>
      </c>
      <c r="V727" s="5" t="n">
        <v>46221.65625</v>
      </c>
      <c r="W727" s="6" t="n">
        <v>46387.9999999884</v>
      </c>
    </row>
    <row r="728" customFormat="false" ht="12.75" hidden="false" customHeight="false" outlineLevel="0" collapsed="false">
      <c r="A728" s="1" t="s">
        <v>2946</v>
      </c>
      <c r="B728" s="1" t="n">
        <v>18175898</v>
      </c>
      <c r="C728" s="1" t="s">
        <v>2793</v>
      </c>
      <c r="E728" s="1" t="s">
        <v>2947</v>
      </c>
      <c r="F728" s="1" t="n">
        <v>342</v>
      </c>
      <c r="G728" s="2" t="s">
        <v>28</v>
      </c>
      <c r="H728" s="1" t="n">
        <v>-1</v>
      </c>
      <c r="I728" s="1" t="n">
        <v>1</v>
      </c>
      <c r="J728" s="1" t="n">
        <v>0</v>
      </c>
      <c r="K728" s="1" t="n">
        <v>-1</v>
      </c>
      <c r="L728" s="2" t="n">
        <v>3.1</v>
      </c>
      <c r="M728" s="1" t="s">
        <v>65</v>
      </c>
      <c r="N728" s="1" t="s">
        <v>105</v>
      </c>
      <c r="O728" s="5" t="n">
        <v>46200.9291666667</v>
      </c>
      <c r="P728" s="5" t="n">
        <v>46202.7041666667</v>
      </c>
      <c r="Q728" s="1" t="n">
        <v>52.495</v>
      </c>
      <c r="R728" s="1" t="n">
        <v>-78.3414</v>
      </c>
      <c r="S728" s="1" t="s">
        <v>2948</v>
      </c>
      <c r="T728" s="1" t="n">
        <v>2026</v>
      </c>
      <c r="U728" s="1" t="n">
        <v>2026</v>
      </c>
      <c r="V728" s="5" t="n">
        <v>46221.65625</v>
      </c>
      <c r="W728" s="6" t="n">
        <v>46387.9999999884</v>
      </c>
    </row>
    <row r="729" customFormat="false" ht="12.75" hidden="false" customHeight="false" outlineLevel="0" collapsed="false">
      <c r="A729" s="1" t="s">
        <v>2949</v>
      </c>
      <c r="B729" s="1" t="n">
        <v>18085682</v>
      </c>
      <c r="C729" s="1" t="s">
        <v>2793</v>
      </c>
      <c r="E729" s="1" t="s">
        <v>2950</v>
      </c>
      <c r="F729" s="1" t="n">
        <v>583</v>
      </c>
      <c r="G729" s="2" t="s">
        <v>28</v>
      </c>
      <c r="H729" s="1" t="n">
        <v>-1</v>
      </c>
      <c r="I729" s="1" t="n">
        <v>4</v>
      </c>
      <c r="J729" s="1" t="n">
        <v>0</v>
      </c>
      <c r="K729" s="1" t="n">
        <v>-1</v>
      </c>
      <c r="L729" s="2" t="n">
        <v>11.8</v>
      </c>
      <c r="M729" s="1" t="s">
        <v>29</v>
      </c>
      <c r="N729" s="1" t="s">
        <v>30</v>
      </c>
      <c r="O729" s="5" t="n">
        <v>46218.8305555556</v>
      </c>
      <c r="P729" s="5" t="n">
        <v>46220.4465277778</v>
      </c>
      <c r="Q729" s="1" t="n">
        <v>46.7556</v>
      </c>
      <c r="R729" s="1" t="n">
        <v>-76.8217</v>
      </c>
      <c r="S729" s="1" t="s">
        <v>2951</v>
      </c>
      <c r="T729" s="1" t="n">
        <v>2026</v>
      </c>
      <c r="U729" s="1" t="n">
        <v>2026</v>
      </c>
      <c r="V729" s="5" t="n">
        <v>46220.6145833333</v>
      </c>
      <c r="W729" s="6" t="n">
        <v>46387.9999999884</v>
      </c>
    </row>
    <row r="730" customFormat="false" ht="12.75" hidden="false" customHeight="false" outlineLevel="0" collapsed="false">
      <c r="A730" s="1" t="s">
        <v>2952</v>
      </c>
      <c r="B730" s="1" t="n">
        <v>18082094</v>
      </c>
      <c r="C730" s="1" t="s">
        <v>2793</v>
      </c>
      <c r="E730" s="1" t="s">
        <v>2953</v>
      </c>
      <c r="F730" s="1" t="n">
        <v>416</v>
      </c>
      <c r="G730" s="2" t="s">
        <v>28</v>
      </c>
      <c r="H730" s="1" t="n">
        <v>-1</v>
      </c>
      <c r="I730" s="1" t="n">
        <v>0</v>
      </c>
      <c r="J730" s="1" t="n">
        <v>0</v>
      </c>
      <c r="K730" s="1" t="n">
        <v>-1</v>
      </c>
      <c r="L730" s="2" t="n">
        <v>17716.2</v>
      </c>
      <c r="M730" s="1" t="s">
        <v>65</v>
      </c>
      <c r="N730" s="1" t="s">
        <v>105</v>
      </c>
      <c r="O730" s="5" t="n">
        <v>46202.7125</v>
      </c>
      <c r="P730" s="5" t="n">
        <v>46202.7125</v>
      </c>
      <c r="Q730" s="1" t="n">
        <v>56.9258</v>
      </c>
      <c r="R730" s="1" t="n">
        <v>-66.5569</v>
      </c>
      <c r="S730" s="1" t="s">
        <v>2954</v>
      </c>
      <c r="T730" s="1" t="n">
        <v>2026</v>
      </c>
      <c r="U730" s="1" t="n">
        <v>2026</v>
      </c>
      <c r="V730" s="5" t="n">
        <v>46220.5729166667</v>
      </c>
      <c r="W730" s="6" t="n">
        <v>46387.9999999884</v>
      </c>
    </row>
    <row r="731" customFormat="false" ht="12.75" hidden="false" customHeight="false" outlineLevel="0" collapsed="false">
      <c r="A731" s="1" t="s">
        <v>2955</v>
      </c>
      <c r="B731" s="1" t="n">
        <v>18042446</v>
      </c>
      <c r="C731" s="1" t="s">
        <v>2793</v>
      </c>
      <c r="E731" s="1" t="s">
        <v>2956</v>
      </c>
      <c r="F731" s="1" t="n">
        <v>321</v>
      </c>
      <c r="G731" s="2" t="s">
        <v>28</v>
      </c>
      <c r="H731" s="1" t="n">
        <v>-1</v>
      </c>
      <c r="I731" s="1" t="n">
        <v>5</v>
      </c>
      <c r="J731" s="1" t="n">
        <v>0</v>
      </c>
      <c r="K731" s="1" t="n">
        <v>-1</v>
      </c>
      <c r="L731" s="2" t="n">
        <v>1082.6</v>
      </c>
      <c r="M731" s="1" t="s">
        <v>65</v>
      </c>
      <c r="N731" s="1" t="s">
        <v>105</v>
      </c>
      <c r="O731" s="5" t="n">
        <v>46201.7375</v>
      </c>
      <c r="P731" s="5" t="n">
        <v>46219.9</v>
      </c>
      <c r="Q731" s="1" t="n">
        <v>52.2833</v>
      </c>
      <c r="R731" s="1" t="n">
        <v>-76.9678</v>
      </c>
      <c r="S731" s="1" t="s">
        <v>2957</v>
      </c>
      <c r="T731" s="1" t="n">
        <v>2026</v>
      </c>
      <c r="U731" s="1" t="n">
        <v>2026</v>
      </c>
      <c r="V731" s="5" t="n">
        <v>46220.1145833333</v>
      </c>
      <c r="W731" s="6" t="n">
        <v>46387.9999999884</v>
      </c>
    </row>
    <row r="732" customFormat="false" ht="12.75" hidden="false" customHeight="false" outlineLevel="0" collapsed="false">
      <c r="A732" s="1" t="s">
        <v>2958</v>
      </c>
      <c r="B732" s="1" t="n">
        <v>18042631</v>
      </c>
      <c r="C732" s="1" t="s">
        <v>2793</v>
      </c>
      <c r="E732" s="1" t="s">
        <v>2959</v>
      </c>
      <c r="F732" s="1" t="n">
        <v>489</v>
      </c>
      <c r="G732" s="2" t="s">
        <v>28</v>
      </c>
      <c r="H732" s="1" t="n">
        <v>-1</v>
      </c>
      <c r="I732" s="1" t="n">
        <v>2</v>
      </c>
      <c r="J732" s="1" t="n">
        <v>0</v>
      </c>
      <c r="K732" s="1" t="n">
        <v>-1</v>
      </c>
      <c r="L732" s="2" t="n">
        <v>22.4</v>
      </c>
      <c r="M732" s="1" t="s">
        <v>70</v>
      </c>
      <c r="N732" s="1" t="s">
        <v>105</v>
      </c>
      <c r="O732" s="5" t="n">
        <v>46201.7409722222</v>
      </c>
      <c r="P732" s="5" t="n">
        <v>46219.9006944444</v>
      </c>
      <c r="Q732" s="1" t="n">
        <v>52.1142</v>
      </c>
      <c r="R732" s="1" t="n">
        <v>-76.1125</v>
      </c>
      <c r="S732" s="1" t="s">
        <v>2960</v>
      </c>
      <c r="T732" s="1" t="n">
        <v>2026</v>
      </c>
      <c r="U732" s="1" t="n">
        <v>2026</v>
      </c>
      <c r="V732" s="5" t="n">
        <v>46220.1145833333</v>
      </c>
      <c r="W732" s="6" t="n">
        <v>46387.9999999884</v>
      </c>
    </row>
    <row r="733" customFormat="false" ht="12.75" hidden="false" customHeight="false" outlineLevel="0" collapsed="false">
      <c r="A733" s="1" t="s">
        <v>2961</v>
      </c>
      <c r="B733" s="1" t="n">
        <v>18042402</v>
      </c>
      <c r="C733" s="1" t="s">
        <v>2793</v>
      </c>
      <c r="E733" s="1" t="s">
        <v>2962</v>
      </c>
      <c r="F733" s="1" t="n">
        <v>282</v>
      </c>
      <c r="G733" s="2" t="s">
        <v>28</v>
      </c>
      <c r="H733" s="1" t="n">
        <v>-1</v>
      </c>
      <c r="I733" s="1" t="n">
        <v>4</v>
      </c>
      <c r="J733" s="1" t="n">
        <v>0</v>
      </c>
      <c r="K733" s="1" t="n">
        <v>-1</v>
      </c>
      <c r="L733" s="2" t="n">
        <v>0.1</v>
      </c>
      <c r="M733" s="1" t="s">
        <v>70</v>
      </c>
      <c r="N733" s="1" t="s">
        <v>105</v>
      </c>
      <c r="O733" s="5" t="n">
        <v>46199.7826388889</v>
      </c>
      <c r="P733" s="5" t="n">
        <v>46219.8993055556</v>
      </c>
      <c r="Q733" s="1" t="n">
        <v>52.2681</v>
      </c>
      <c r="R733" s="1" t="n">
        <v>-76.0747</v>
      </c>
      <c r="S733" s="1" t="s">
        <v>2963</v>
      </c>
      <c r="T733" s="1" t="n">
        <v>2026</v>
      </c>
      <c r="U733" s="1" t="n">
        <v>2026</v>
      </c>
      <c r="V733" s="5" t="n">
        <v>46220.1145833333</v>
      </c>
      <c r="W733" s="6" t="n">
        <v>46387.9999999884</v>
      </c>
    </row>
    <row r="734" customFormat="false" ht="12.75" hidden="false" customHeight="false" outlineLevel="0" collapsed="false">
      <c r="A734" s="1" t="s">
        <v>2964</v>
      </c>
      <c r="B734" s="1" t="n">
        <v>18042442</v>
      </c>
      <c r="C734" s="1" t="s">
        <v>2793</v>
      </c>
      <c r="E734" s="1" t="s">
        <v>2965</v>
      </c>
      <c r="F734" s="1" t="n">
        <v>318</v>
      </c>
      <c r="G734" s="2" t="s">
        <v>28</v>
      </c>
      <c r="H734" s="1" t="n">
        <v>-1</v>
      </c>
      <c r="I734" s="1" t="n">
        <v>2</v>
      </c>
      <c r="J734" s="1" t="n">
        <v>0</v>
      </c>
      <c r="K734" s="1" t="n">
        <v>-1</v>
      </c>
      <c r="L734" s="2" t="n">
        <v>6</v>
      </c>
      <c r="M734" s="1" t="s">
        <v>65</v>
      </c>
      <c r="N734" s="1" t="s">
        <v>105</v>
      </c>
      <c r="O734" s="5" t="n">
        <v>46201.7291666667</v>
      </c>
      <c r="P734" s="5" t="n">
        <v>46219.8993055556</v>
      </c>
      <c r="Q734" s="1" t="n">
        <v>52.1636</v>
      </c>
      <c r="R734" s="1" t="n">
        <v>-76.0672</v>
      </c>
      <c r="S734" s="1" t="s">
        <v>2966</v>
      </c>
      <c r="T734" s="1" t="n">
        <v>2026</v>
      </c>
      <c r="U734" s="1" t="n">
        <v>2026</v>
      </c>
      <c r="V734" s="5" t="n">
        <v>46220.1145833333</v>
      </c>
      <c r="W734" s="6" t="n">
        <v>46387.9999999884</v>
      </c>
    </row>
    <row r="735" customFormat="false" ht="12.75" hidden="false" customHeight="false" outlineLevel="0" collapsed="false">
      <c r="A735" s="1" t="s">
        <v>2967</v>
      </c>
      <c r="B735" s="1" t="n">
        <v>17943530</v>
      </c>
      <c r="C735" s="1" t="s">
        <v>2793</v>
      </c>
      <c r="E735" s="1" t="s">
        <v>2968</v>
      </c>
      <c r="F735" s="1" t="n">
        <v>473</v>
      </c>
      <c r="G735" s="2" t="s">
        <v>36</v>
      </c>
      <c r="H735" s="1" t="n">
        <v>-1</v>
      </c>
      <c r="I735" s="1" t="n">
        <v>1</v>
      </c>
      <c r="J735" s="1" t="n">
        <v>0</v>
      </c>
      <c r="K735" s="1" t="n">
        <v>-1</v>
      </c>
      <c r="L735" s="2" t="n">
        <v>16271.9</v>
      </c>
      <c r="M735" s="1" t="s">
        <v>65</v>
      </c>
      <c r="N735" s="1" t="s">
        <v>105</v>
      </c>
      <c r="O735" s="5" t="n">
        <v>46200.8819444444</v>
      </c>
      <c r="P735" s="5" t="n">
        <v>46205.8055555556</v>
      </c>
      <c r="Q735" s="1" t="n">
        <v>50.5758</v>
      </c>
      <c r="R735" s="1" t="n">
        <v>-78.5522</v>
      </c>
      <c r="S735" s="1" t="s">
        <v>2969</v>
      </c>
      <c r="T735" s="1" t="n">
        <v>2026</v>
      </c>
      <c r="U735" s="1" t="n">
        <v>2026</v>
      </c>
      <c r="V735" s="5" t="n">
        <v>46218.9479166667</v>
      </c>
      <c r="W735" s="6" t="n">
        <v>46387.9999999884</v>
      </c>
    </row>
    <row r="736" customFormat="false" ht="12.75" hidden="false" customHeight="false" outlineLevel="0" collapsed="false">
      <c r="A736" s="1" t="s">
        <v>2970</v>
      </c>
      <c r="B736" s="1" t="n">
        <v>17915994</v>
      </c>
      <c r="C736" s="1" t="s">
        <v>2793</v>
      </c>
      <c r="E736" s="1" t="s">
        <v>2971</v>
      </c>
      <c r="F736" s="1" t="n">
        <v>290</v>
      </c>
      <c r="G736" s="2" t="s">
        <v>28</v>
      </c>
      <c r="H736" s="1" t="n">
        <v>-1</v>
      </c>
      <c r="I736" s="1" t="n">
        <v>3</v>
      </c>
      <c r="J736" s="1" t="n">
        <v>0</v>
      </c>
      <c r="K736" s="1" t="n">
        <v>-1</v>
      </c>
      <c r="L736" s="2" t="n">
        <v>10832.5</v>
      </c>
      <c r="M736" s="1" t="s">
        <v>65</v>
      </c>
      <c r="N736" s="1" t="s">
        <v>105</v>
      </c>
      <c r="O736" s="5" t="n">
        <v>46199.7868055556</v>
      </c>
      <c r="P736" s="5" t="n">
        <v>46224.5277777778</v>
      </c>
      <c r="Q736" s="1" t="n">
        <v>50.2878</v>
      </c>
      <c r="R736" s="1" t="n">
        <v>-78.6331</v>
      </c>
      <c r="S736" s="1" t="s">
        <v>2972</v>
      </c>
      <c r="T736" s="1" t="n">
        <v>2026</v>
      </c>
      <c r="U736" s="1" t="n">
        <v>2026</v>
      </c>
      <c r="V736" s="5" t="n">
        <v>46218.6145833333</v>
      </c>
      <c r="W736" s="6" t="n">
        <v>46387.9999999884</v>
      </c>
    </row>
    <row r="737" customFormat="false" ht="12.75" hidden="false" customHeight="false" outlineLevel="0" collapsed="false">
      <c r="A737" s="1" t="s">
        <v>2973</v>
      </c>
      <c r="B737" s="1" t="n">
        <v>17860215</v>
      </c>
      <c r="C737" s="1" t="s">
        <v>2793</v>
      </c>
      <c r="E737" s="1" t="s">
        <v>2974</v>
      </c>
      <c r="F737" s="1" t="n">
        <v>223</v>
      </c>
      <c r="G737" s="2" t="s">
        <v>28</v>
      </c>
      <c r="H737" s="1" t="n">
        <v>-1</v>
      </c>
      <c r="I737" s="1" t="n">
        <v>2</v>
      </c>
      <c r="J737" s="1" t="n">
        <v>0</v>
      </c>
      <c r="K737" s="1" t="n">
        <v>-1</v>
      </c>
      <c r="L737" s="2" t="n">
        <v>12919.3</v>
      </c>
      <c r="M737" s="1" t="s">
        <v>70</v>
      </c>
      <c r="N737" s="1" t="s">
        <v>105</v>
      </c>
      <c r="O737" s="5" t="n">
        <v>46192.9819444444</v>
      </c>
      <c r="P737" s="5" t="n">
        <v>46217.8201388889</v>
      </c>
      <c r="Q737" s="1" t="n">
        <v>53.5389</v>
      </c>
      <c r="R737" s="1" t="n">
        <v>-78.4275</v>
      </c>
      <c r="S737" s="1" t="s">
        <v>2975</v>
      </c>
      <c r="T737" s="1" t="n">
        <v>2026</v>
      </c>
      <c r="U737" s="1" t="n">
        <v>2026</v>
      </c>
      <c r="V737" s="5" t="n">
        <v>46217.9479166667</v>
      </c>
      <c r="W737" s="6" t="n">
        <v>46387.9999999884</v>
      </c>
    </row>
    <row r="738" customFormat="false" ht="12.75" hidden="false" customHeight="false" outlineLevel="0" collapsed="false">
      <c r="A738" s="1" t="s">
        <v>2976</v>
      </c>
      <c r="B738" s="1" t="n">
        <v>17860579</v>
      </c>
      <c r="C738" s="1" t="s">
        <v>2793</v>
      </c>
      <c r="E738" s="1" t="s">
        <v>2977</v>
      </c>
      <c r="F738" s="1" t="n">
        <v>551</v>
      </c>
      <c r="G738" s="2" t="s">
        <v>28</v>
      </c>
      <c r="H738" s="1" t="n">
        <v>-1</v>
      </c>
      <c r="I738" s="1" t="n">
        <v>8</v>
      </c>
      <c r="J738" s="1" t="n">
        <v>0</v>
      </c>
      <c r="K738" s="1" t="n">
        <v>-1</v>
      </c>
      <c r="L738" s="2" t="n">
        <v>119.2</v>
      </c>
      <c r="M738" s="1" t="s">
        <v>65</v>
      </c>
      <c r="N738" s="1" t="s">
        <v>105</v>
      </c>
      <c r="O738" s="5" t="n">
        <v>46212.04375</v>
      </c>
      <c r="P738" s="5" t="n">
        <v>46212.04375</v>
      </c>
      <c r="Q738" s="1" t="n">
        <v>51.7672</v>
      </c>
      <c r="R738" s="1" t="n">
        <v>-69.7767</v>
      </c>
      <c r="S738" s="1" t="s">
        <v>2978</v>
      </c>
      <c r="T738" s="1" t="n">
        <v>2026</v>
      </c>
      <c r="U738" s="1" t="n">
        <v>2026</v>
      </c>
      <c r="V738" s="5" t="n">
        <v>46217.9479166667</v>
      </c>
      <c r="W738" s="6" t="n">
        <v>46387.9999999884</v>
      </c>
    </row>
    <row r="739" customFormat="false" ht="12.75" hidden="false" customHeight="false" outlineLevel="0" collapsed="false">
      <c r="A739" s="1" t="s">
        <v>2979</v>
      </c>
      <c r="B739" s="1" t="n">
        <v>17860430</v>
      </c>
      <c r="C739" s="1" t="s">
        <v>2793</v>
      </c>
      <c r="E739" s="1" t="s">
        <v>2980</v>
      </c>
      <c r="F739" s="1" t="n">
        <v>417</v>
      </c>
      <c r="G739" s="2" t="s">
        <v>28</v>
      </c>
      <c r="H739" s="1" t="n">
        <v>-1</v>
      </c>
      <c r="I739" s="1" t="n">
        <v>5</v>
      </c>
      <c r="J739" s="1" t="n">
        <v>0</v>
      </c>
      <c r="K739" s="1" t="n">
        <v>-1</v>
      </c>
      <c r="L739" s="2" t="n">
        <v>1372.8</v>
      </c>
      <c r="M739" s="1" t="s">
        <v>65</v>
      </c>
      <c r="N739" s="1" t="s">
        <v>105</v>
      </c>
      <c r="O739" s="5" t="n">
        <v>46202.8125</v>
      </c>
      <c r="P739" s="5" t="n">
        <v>46202.8125</v>
      </c>
      <c r="Q739" s="1" t="n">
        <v>53.2217</v>
      </c>
      <c r="R739" s="1" t="n">
        <v>-68.44</v>
      </c>
      <c r="S739" s="1" t="s">
        <v>2981</v>
      </c>
      <c r="T739" s="1" t="n">
        <v>2026</v>
      </c>
      <c r="U739" s="1" t="n">
        <v>2026</v>
      </c>
      <c r="V739" s="5" t="n">
        <v>46217.9479166667</v>
      </c>
      <c r="W739" s="6" t="n">
        <v>46387.9999999884</v>
      </c>
    </row>
    <row r="740" customFormat="false" ht="12.75" hidden="false" customHeight="false" outlineLevel="0" collapsed="false">
      <c r="A740" s="1" t="s">
        <v>2982</v>
      </c>
      <c r="B740" s="1" t="n">
        <v>17860451</v>
      </c>
      <c r="C740" s="1" t="s">
        <v>2793</v>
      </c>
      <c r="E740" s="1" t="s">
        <v>2983</v>
      </c>
      <c r="F740" s="1" t="n">
        <v>436</v>
      </c>
      <c r="G740" s="2" t="s">
        <v>28</v>
      </c>
      <c r="H740" s="1" t="n">
        <v>-1</v>
      </c>
      <c r="I740" s="1" t="n">
        <v>5</v>
      </c>
      <c r="J740" s="1" t="n">
        <v>0</v>
      </c>
      <c r="K740" s="1" t="n">
        <v>-1</v>
      </c>
      <c r="L740" s="2" t="n">
        <v>197.1</v>
      </c>
      <c r="M740" s="1" t="s">
        <v>65</v>
      </c>
      <c r="N740" s="1" t="s">
        <v>105</v>
      </c>
      <c r="O740" s="5" t="n">
        <v>46202.7347222222</v>
      </c>
      <c r="P740" s="5" t="n">
        <v>46202.7347222222</v>
      </c>
      <c r="Q740" s="1" t="n">
        <v>53.4036</v>
      </c>
      <c r="R740" s="1" t="n">
        <v>-68.0653</v>
      </c>
      <c r="S740" s="1" t="s">
        <v>2984</v>
      </c>
      <c r="T740" s="1" t="n">
        <v>2026</v>
      </c>
      <c r="U740" s="1" t="n">
        <v>2026</v>
      </c>
      <c r="V740" s="5" t="n">
        <v>46217.9479166667</v>
      </c>
      <c r="W740" s="6" t="n">
        <v>46387.9999999884</v>
      </c>
    </row>
    <row r="741" customFormat="false" ht="12.75" hidden="false" customHeight="false" outlineLevel="0" collapsed="false">
      <c r="A741" s="1" t="s">
        <v>2985</v>
      </c>
      <c r="B741" s="1" t="n">
        <v>17860313</v>
      </c>
      <c r="C741" s="1" t="s">
        <v>2793</v>
      </c>
      <c r="E741" s="1" t="s">
        <v>2986</v>
      </c>
      <c r="F741" s="1" t="n">
        <v>311</v>
      </c>
      <c r="G741" s="2" t="s">
        <v>28</v>
      </c>
      <c r="H741" s="1" t="n">
        <v>-1</v>
      </c>
      <c r="I741" s="1" t="n">
        <v>7</v>
      </c>
      <c r="J741" s="1" t="n">
        <v>0</v>
      </c>
      <c r="K741" s="1" t="n">
        <v>-1</v>
      </c>
      <c r="L741" s="2" t="n">
        <v>610.8</v>
      </c>
      <c r="M741" s="1" t="s">
        <v>70</v>
      </c>
      <c r="N741" s="1" t="s">
        <v>105</v>
      </c>
      <c r="O741" s="5" t="n">
        <v>46200.8708333333</v>
      </c>
      <c r="P741" s="5" t="n">
        <v>46217.8194444444</v>
      </c>
      <c r="Q741" s="1" t="n">
        <v>53.6731</v>
      </c>
      <c r="R741" s="1" t="n">
        <v>-78.0272</v>
      </c>
      <c r="S741" s="1" t="s">
        <v>2987</v>
      </c>
      <c r="T741" s="1" t="n">
        <v>2026</v>
      </c>
      <c r="U741" s="1" t="n">
        <v>2026</v>
      </c>
      <c r="V741" s="5" t="n">
        <v>46217.9479166667</v>
      </c>
      <c r="W741" s="6" t="n">
        <v>46387.9999999884</v>
      </c>
    </row>
    <row r="742" customFormat="false" ht="12.75" hidden="false" customHeight="false" outlineLevel="0" collapsed="false">
      <c r="A742" s="1" t="s">
        <v>2988</v>
      </c>
      <c r="B742" s="1" t="n">
        <v>17860272</v>
      </c>
      <c r="C742" s="1" t="s">
        <v>2793</v>
      </c>
      <c r="E742" s="1" t="s">
        <v>2989</v>
      </c>
      <c r="F742" s="1" t="n">
        <v>275</v>
      </c>
      <c r="G742" s="2" t="s">
        <v>28</v>
      </c>
      <c r="H742" s="1" t="n">
        <v>-1</v>
      </c>
      <c r="I742" s="1" t="n">
        <v>1</v>
      </c>
      <c r="J742" s="1" t="n">
        <v>0</v>
      </c>
      <c r="K742" s="1" t="n">
        <v>-1</v>
      </c>
      <c r="L742" s="2" t="n">
        <v>1372.3</v>
      </c>
      <c r="M742" s="1" t="s">
        <v>65</v>
      </c>
      <c r="N742" s="1" t="s">
        <v>105</v>
      </c>
      <c r="O742" s="5" t="n">
        <v>46196.7270833333</v>
      </c>
      <c r="P742" s="5" t="n">
        <v>46199.8138888889</v>
      </c>
      <c r="Q742" s="1" t="n">
        <v>52.0986</v>
      </c>
      <c r="R742" s="1" t="n">
        <v>-69.0044</v>
      </c>
      <c r="S742" s="1" t="s">
        <v>2990</v>
      </c>
      <c r="T742" s="1" t="n">
        <v>2026</v>
      </c>
      <c r="U742" s="1" t="n">
        <v>2026</v>
      </c>
      <c r="V742" s="5" t="n">
        <v>46217.9479166667</v>
      </c>
      <c r="W742" s="6" t="n">
        <v>46387.9999999884</v>
      </c>
    </row>
    <row r="743" customFormat="false" ht="12.75" hidden="false" customHeight="false" outlineLevel="0" collapsed="false">
      <c r="A743" s="1" t="s">
        <v>2991</v>
      </c>
      <c r="B743" s="1" t="n">
        <v>17860301</v>
      </c>
      <c r="C743" s="1" t="s">
        <v>2793</v>
      </c>
      <c r="E743" s="1" t="s">
        <v>2992</v>
      </c>
      <c r="F743" s="1" t="n">
        <v>300</v>
      </c>
      <c r="G743" s="2" t="s">
        <v>28</v>
      </c>
      <c r="H743" s="1" t="n">
        <v>-1</v>
      </c>
      <c r="I743" s="1" t="n">
        <v>7</v>
      </c>
      <c r="J743" s="1" t="n">
        <v>0</v>
      </c>
      <c r="K743" s="1" t="n">
        <v>-1</v>
      </c>
      <c r="L743" s="2" t="n">
        <v>1286.8</v>
      </c>
      <c r="M743" s="1" t="s">
        <v>70</v>
      </c>
      <c r="N743" s="1" t="s">
        <v>105</v>
      </c>
      <c r="O743" s="5" t="n">
        <v>46200.8701388889</v>
      </c>
      <c r="P743" s="5" t="n">
        <v>46217.8194444444</v>
      </c>
      <c r="Q743" s="1" t="n">
        <v>53.7325</v>
      </c>
      <c r="R743" s="1" t="n">
        <v>-78.0211</v>
      </c>
      <c r="S743" s="1" t="s">
        <v>2993</v>
      </c>
      <c r="T743" s="1" t="n">
        <v>2026</v>
      </c>
      <c r="U743" s="1" t="n">
        <v>2026</v>
      </c>
      <c r="V743" s="5" t="n">
        <v>46217.9479166667</v>
      </c>
      <c r="W743" s="6" t="n">
        <v>46387.9999999884</v>
      </c>
    </row>
    <row r="744" customFormat="false" ht="12.75" hidden="false" customHeight="false" outlineLevel="0" collapsed="false">
      <c r="A744" s="1" t="s">
        <v>2994</v>
      </c>
      <c r="B744" s="1" t="n">
        <v>17860527</v>
      </c>
      <c r="C744" s="1" t="s">
        <v>2793</v>
      </c>
      <c r="E744" s="1" t="s">
        <v>2995</v>
      </c>
      <c r="F744" s="1" t="n">
        <v>504</v>
      </c>
      <c r="G744" s="2" t="s">
        <v>28</v>
      </c>
      <c r="H744" s="1" t="n">
        <v>-1</v>
      </c>
      <c r="I744" s="1" t="n">
        <v>-1</v>
      </c>
      <c r="J744" s="1" t="n">
        <v>0</v>
      </c>
      <c r="K744" s="1" t="n">
        <v>-1</v>
      </c>
      <c r="L744" s="2" t="n">
        <v>1385.5</v>
      </c>
      <c r="M744" s="1" t="s">
        <v>65</v>
      </c>
      <c r="N744" s="1" t="s">
        <v>105</v>
      </c>
      <c r="O744" s="5" t="n">
        <v>46202.7</v>
      </c>
      <c r="P744" s="5" t="n">
        <v>46202.7</v>
      </c>
      <c r="Q744" s="1" t="n">
        <v>52.6106</v>
      </c>
      <c r="R744" s="1" t="n">
        <v>-66.3097</v>
      </c>
      <c r="S744" s="1" t="s">
        <v>2996</v>
      </c>
      <c r="T744" s="1" t="n">
        <v>2026</v>
      </c>
      <c r="U744" s="1" t="n">
        <v>2026</v>
      </c>
      <c r="V744" s="5" t="n">
        <v>46217.9479166667</v>
      </c>
      <c r="W744" s="6" t="n">
        <v>46387.9999999884</v>
      </c>
    </row>
    <row r="745" customFormat="false" ht="12.75" hidden="false" customHeight="false" outlineLevel="0" collapsed="false">
      <c r="A745" s="1" t="s">
        <v>2997</v>
      </c>
      <c r="B745" s="1" t="n">
        <v>17786821</v>
      </c>
      <c r="C745" s="1" t="s">
        <v>2793</v>
      </c>
      <c r="E745" s="1" t="s">
        <v>2998</v>
      </c>
      <c r="F745" s="1" t="n">
        <v>453</v>
      </c>
      <c r="G745" s="2" t="s">
        <v>28</v>
      </c>
      <c r="H745" s="1" t="n">
        <v>-1</v>
      </c>
      <c r="I745" s="1" t="n">
        <v>4</v>
      </c>
      <c r="J745" s="1" t="n">
        <v>0</v>
      </c>
      <c r="K745" s="1" t="n">
        <v>-1</v>
      </c>
      <c r="L745" s="2" t="n">
        <v>2807.7</v>
      </c>
      <c r="M745" s="1" t="s">
        <v>65</v>
      </c>
      <c r="N745" s="1" t="s">
        <v>105</v>
      </c>
      <c r="O745" s="5" t="n">
        <v>46201.8340277778</v>
      </c>
      <c r="P745" s="5" t="n">
        <v>46204.7854166667</v>
      </c>
      <c r="Q745" s="1" t="n">
        <v>53.1625</v>
      </c>
      <c r="R745" s="1" t="n">
        <v>-71.1578</v>
      </c>
      <c r="S745" s="1" t="s">
        <v>2999</v>
      </c>
      <c r="T745" s="1" t="n">
        <v>2026</v>
      </c>
      <c r="U745" s="1" t="n">
        <v>2026</v>
      </c>
      <c r="V745" s="5" t="n">
        <v>46217.03125</v>
      </c>
      <c r="W745" s="6" t="n">
        <v>46387.9999999884</v>
      </c>
    </row>
    <row r="746" customFormat="false" ht="12.75" hidden="false" customHeight="false" outlineLevel="0" collapsed="false">
      <c r="A746" s="1" t="s">
        <v>3000</v>
      </c>
      <c r="B746" s="1" t="n">
        <v>17786847</v>
      </c>
      <c r="C746" s="1" t="s">
        <v>2793</v>
      </c>
      <c r="E746" s="1" t="s">
        <v>3001</v>
      </c>
      <c r="F746" s="1" t="n">
        <v>477</v>
      </c>
      <c r="G746" s="2" t="s">
        <v>28</v>
      </c>
      <c r="H746" s="1" t="n">
        <v>-1</v>
      </c>
      <c r="I746" s="1" t="n">
        <v>3</v>
      </c>
      <c r="J746" s="1" t="n">
        <v>0</v>
      </c>
      <c r="K746" s="1" t="n">
        <v>-1</v>
      </c>
      <c r="L746" s="2" t="n">
        <v>685.8</v>
      </c>
      <c r="M746" s="1" t="s">
        <v>65</v>
      </c>
      <c r="N746" s="1" t="s">
        <v>105</v>
      </c>
      <c r="O746" s="5" t="n">
        <v>46202.8486111111</v>
      </c>
      <c r="P746" s="5" t="n">
        <v>46202.8486111111</v>
      </c>
      <c r="Q746" s="1" t="n">
        <v>51.4906</v>
      </c>
      <c r="R746" s="1" t="n">
        <v>-63.8878</v>
      </c>
      <c r="S746" s="1" t="s">
        <v>3002</v>
      </c>
      <c r="T746" s="1" t="n">
        <v>2026</v>
      </c>
      <c r="U746" s="1" t="n">
        <v>2026</v>
      </c>
      <c r="V746" s="5" t="n">
        <v>46217.03125</v>
      </c>
      <c r="W746" s="6" t="n">
        <v>46387.9999999884</v>
      </c>
    </row>
    <row r="747" customFormat="false" ht="12.75" hidden="false" customHeight="false" outlineLevel="0" collapsed="false">
      <c r="A747" s="1" t="s">
        <v>3003</v>
      </c>
      <c r="B747" s="1" t="n">
        <v>17786656</v>
      </c>
      <c r="C747" s="1" t="s">
        <v>2793</v>
      </c>
      <c r="E747" s="1" t="s">
        <v>3004</v>
      </c>
      <c r="F747" s="1" t="n">
        <v>304</v>
      </c>
      <c r="G747" s="2" t="s">
        <v>36</v>
      </c>
      <c r="H747" s="1" t="n">
        <v>-1</v>
      </c>
      <c r="I747" s="1" t="n">
        <v>2</v>
      </c>
      <c r="J747" s="1" t="n">
        <v>0</v>
      </c>
      <c r="K747" s="1" t="n">
        <v>-1</v>
      </c>
      <c r="L747" s="2" t="n">
        <v>6711</v>
      </c>
      <c r="M747" s="1" t="s">
        <v>65</v>
      </c>
      <c r="N747" s="1" t="s">
        <v>105</v>
      </c>
      <c r="O747" s="5" t="n">
        <v>46199.7076388889</v>
      </c>
      <c r="P747" s="5" t="n">
        <v>46201.5458333333</v>
      </c>
      <c r="Q747" s="1" t="n">
        <v>57.245</v>
      </c>
      <c r="R747" s="1" t="n">
        <v>-68.8053</v>
      </c>
      <c r="S747" s="1" t="s">
        <v>3005</v>
      </c>
      <c r="T747" s="1" t="n">
        <v>2026</v>
      </c>
      <c r="U747" s="1" t="n">
        <v>2026</v>
      </c>
      <c r="V747" s="5" t="n">
        <v>46217.03125</v>
      </c>
      <c r="W747" s="6" t="n">
        <v>46387.9999999884</v>
      </c>
    </row>
    <row r="748" customFormat="false" ht="12.75" hidden="false" customHeight="false" outlineLevel="0" collapsed="false">
      <c r="A748" s="1" t="s">
        <v>3006</v>
      </c>
      <c r="B748" s="1" t="n">
        <v>17786827</v>
      </c>
      <c r="C748" s="1" t="s">
        <v>2793</v>
      </c>
      <c r="E748" s="1" t="s">
        <v>3007</v>
      </c>
      <c r="F748" s="1" t="n">
        <v>459</v>
      </c>
      <c r="G748" s="2" t="s">
        <v>28</v>
      </c>
      <c r="H748" s="1" t="n">
        <v>-1</v>
      </c>
      <c r="I748" s="1" t="n">
        <v>5</v>
      </c>
      <c r="J748" s="1" t="n">
        <v>0</v>
      </c>
      <c r="K748" s="1" t="n">
        <v>-1</v>
      </c>
      <c r="L748" s="2" t="n">
        <v>22780.6</v>
      </c>
      <c r="M748" s="1" t="s">
        <v>65</v>
      </c>
      <c r="N748" s="1" t="s">
        <v>105</v>
      </c>
      <c r="O748" s="5" t="n">
        <v>46201.9173611111</v>
      </c>
      <c r="P748" s="5" t="n">
        <v>46201.9173611111</v>
      </c>
      <c r="Q748" s="1" t="n">
        <v>53.4958</v>
      </c>
      <c r="R748" s="1" t="n">
        <v>-70.6275</v>
      </c>
      <c r="S748" s="1" t="s">
        <v>3008</v>
      </c>
      <c r="T748" s="1" t="n">
        <v>2026</v>
      </c>
      <c r="U748" s="1" t="n">
        <v>2026</v>
      </c>
      <c r="V748" s="5" t="n">
        <v>46217.03125</v>
      </c>
      <c r="W748" s="6" t="n">
        <v>46387.9999999884</v>
      </c>
    </row>
    <row r="749" customFormat="false" ht="12.75" hidden="false" customHeight="false" outlineLevel="0" collapsed="false">
      <c r="A749" s="1" t="s">
        <v>3009</v>
      </c>
      <c r="B749" s="1" t="n">
        <v>17786825</v>
      </c>
      <c r="C749" s="1" t="s">
        <v>2793</v>
      </c>
      <c r="E749" s="1" t="s">
        <v>3010</v>
      </c>
      <c r="F749" s="1" t="n">
        <v>457</v>
      </c>
      <c r="G749" s="2" t="s">
        <v>28</v>
      </c>
      <c r="H749" s="1" t="n">
        <v>-1</v>
      </c>
      <c r="I749" s="1" t="n">
        <v>9</v>
      </c>
      <c r="J749" s="1" t="n">
        <v>0</v>
      </c>
      <c r="K749" s="1" t="n">
        <v>-1</v>
      </c>
      <c r="L749" s="2" t="n">
        <v>1085.7</v>
      </c>
      <c r="M749" s="1" t="s">
        <v>65</v>
      </c>
      <c r="N749" s="1" t="s">
        <v>105</v>
      </c>
      <c r="O749" s="5" t="n">
        <v>46201.6979166667</v>
      </c>
      <c r="P749" s="5" t="n">
        <v>46204.8354166667</v>
      </c>
      <c r="Q749" s="1" t="n">
        <v>54.1992</v>
      </c>
      <c r="R749" s="1" t="n">
        <v>-69.9569</v>
      </c>
      <c r="S749" s="1" t="s">
        <v>3011</v>
      </c>
      <c r="T749" s="1" t="n">
        <v>2026</v>
      </c>
      <c r="U749" s="1" t="n">
        <v>2026</v>
      </c>
      <c r="V749" s="5" t="n">
        <v>46217.03125</v>
      </c>
      <c r="W749" s="6" t="n">
        <v>46387.9999999884</v>
      </c>
    </row>
    <row r="750" customFormat="false" ht="12.75" hidden="false" customHeight="false" outlineLevel="0" collapsed="false">
      <c r="A750" s="1" t="s">
        <v>3012</v>
      </c>
      <c r="B750" s="1" t="n">
        <v>17786808</v>
      </c>
      <c r="C750" s="1" t="s">
        <v>2793</v>
      </c>
      <c r="E750" s="1" t="s">
        <v>3013</v>
      </c>
      <c r="F750" s="1" t="n">
        <v>441</v>
      </c>
      <c r="G750" s="2" t="s">
        <v>28</v>
      </c>
      <c r="H750" s="1" t="n">
        <v>-1</v>
      </c>
      <c r="I750" s="1" t="n">
        <v>5</v>
      </c>
      <c r="J750" s="1" t="n">
        <v>0</v>
      </c>
      <c r="K750" s="1" t="n">
        <v>-1</v>
      </c>
      <c r="L750" s="2" t="n">
        <v>2703.7</v>
      </c>
      <c r="M750" s="1" t="s">
        <v>65</v>
      </c>
      <c r="N750" s="1" t="s">
        <v>105</v>
      </c>
      <c r="O750" s="5" t="n">
        <v>46201.8791666667</v>
      </c>
      <c r="P750" s="5" t="n">
        <v>46201.8791666667</v>
      </c>
      <c r="Q750" s="1" t="n">
        <v>53.8478</v>
      </c>
      <c r="R750" s="1" t="n">
        <v>-70.9031</v>
      </c>
      <c r="S750" s="1" t="s">
        <v>3014</v>
      </c>
      <c r="T750" s="1" t="n">
        <v>2026</v>
      </c>
      <c r="U750" s="1" t="n">
        <v>2026</v>
      </c>
      <c r="V750" s="5" t="n">
        <v>46217.03125</v>
      </c>
      <c r="W750" s="6" t="n">
        <v>46387.9999999884</v>
      </c>
    </row>
    <row r="751" customFormat="false" ht="12.75" hidden="false" customHeight="false" outlineLevel="0" collapsed="false">
      <c r="A751" s="1" t="s">
        <v>3015</v>
      </c>
      <c r="B751" s="1" t="n">
        <v>17786707</v>
      </c>
      <c r="C751" s="1" t="s">
        <v>2793</v>
      </c>
      <c r="E751" s="1" t="s">
        <v>3016</v>
      </c>
      <c r="F751" s="1" t="n">
        <v>350</v>
      </c>
      <c r="G751" s="2" t="s">
        <v>28</v>
      </c>
      <c r="H751" s="1" t="n">
        <v>-1</v>
      </c>
      <c r="I751" s="1" t="n">
        <v>1</v>
      </c>
      <c r="J751" s="1" t="n">
        <v>0</v>
      </c>
      <c r="K751" s="1" t="n">
        <v>-1</v>
      </c>
      <c r="L751" s="2" t="n">
        <v>1396.5</v>
      </c>
      <c r="M751" s="1" t="s">
        <v>65</v>
      </c>
      <c r="N751" s="1" t="s">
        <v>105</v>
      </c>
      <c r="O751" s="5" t="n">
        <v>46202.6729166667</v>
      </c>
      <c r="P751" s="5" t="n">
        <v>46202.7673611111</v>
      </c>
      <c r="Q751" s="1" t="n">
        <v>51.6794</v>
      </c>
      <c r="R751" s="1" t="n">
        <v>-63.5342</v>
      </c>
      <c r="S751" s="1" t="s">
        <v>3017</v>
      </c>
      <c r="T751" s="1" t="n">
        <v>2026</v>
      </c>
      <c r="U751" s="1" t="n">
        <v>2026</v>
      </c>
      <c r="V751" s="5" t="n">
        <v>46217.03125</v>
      </c>
      <c r="W751" s="6" t="n">
        <v>46387.9999999884</v>
      </c>
    </row>
    <row r="752" customFormat="false" ht="12.75" hidden="false" customHeight="false" outlineLevel="0" collapsed="false">
      <c r="A752" s="1" t="s">
        <v>3018</v>
      </c>
      <c r="B752" s="1" t="n">
        <v>17774592</v>
      </c>
      <c r="C752" s="1" t="s">
        <v>2793</v>
      </c>
      <c r="E752" s="1" t="s">
        <v>3019</v>
      </c>
      <c r="F752" s="1" t="n">
        <v>374</v>
      </c>
      <c r="G752" s="2" t="s">
        <v>28</v>
      </c>
      <c r="H752" s="1" t="n">
        <v>-1</v>
      </c>
      <c r="I752" s="1" t="n">
        <v>-1</v>
      </c>
      <c r="J752" s="1" t="n">
        <v>0</v>
      </c>
      <c r="K752" s="1" t="n">
        <v>-1</v>
      </c>
      <c r="L752" s="2" t="n">
        <v>5970.9</v>
      </c>
      <c r="M752" s="1" t="s">
        <v>65</v>
      </c>
      <c r="N752" s="1" t="s">
        <v>105</v>
      </c>
      <c r="O752" s="5" t="n">
        <v>46170.0333333333</v>
      </c>
      <c r="P752" s="5" t="n">
        <v>46203.5125</v>
      </c>
      <c r="Q752" s="1" t="n">
        <v>54.4528</v>
      </c>
      <c r="R752" s="1" t="n">
        <v>-71.5986</v>
      </c>
      <c r="S752" s="1" t="s">
        <v>3020</v>
      </c>
      <c r="T752" s="1" t="n">
        <v>2026</v>
      </c>
      <c r="U752" s="1" t="n">
        <v>2026</v>
      </c>
      <c r="V752" s="5" t="n">
        <v>46216.8645833333</v>
      </c>
      <c r="W752" s="6" t="n">
        <v>46387.9999999884</v>
      </c>
    </row>
    <row r="753" customFormat="false" ht="12.75" hidden="false" customHeight="false" outlineLevel="0" collapsed="false">
      <c r="A753" s="1" t="s">
        <v>3021</v>
      </c>
      <c r="B753" s="1" t="n">
        <v>17771522</v>
      </c>
      <c r="C753" s="1" t="s">
        <v>2793</v>
      </c>
      <c r="E753" s="1" t="s">
        <v>3022</v>
      </c>
      <c r="F753" s="1" t="n">
        <v>535</v>
      </c>
      <c r="G753" s="2" t="s">
        <v>28</v>
      </c>
      <c r="H753" s="1" t="n">
        <v>-1</v>
      </c>
      <c r="I753" s="1" t="n">
        <v>0</v>
      </c>
      <c r="J753" s="1" t="n">
        <v>0</v>
      </c>
      <c r="K753" s="1" t="n">
        <v>-1</v>
      </c>
      <c r="L753" s="2" t="n">
        <v>716.2</v>
      </c>
      <c r="M753" s="1" t="s">
        <v>65</v>
      </c>
      <c r="N753" s="1" t="s">
        <v>105</v>
      </c>
      <c r="O753" s="5" t="n">
        <v>46205.84375</v>
      </c>
      <c r="P753" s="5" t="n">
        <v>46205.84375</v>
      </c>
      <c r="Q753" s="1" t="n">
        <v>51.1472</v>
      </c>
      <c r="R753" s="1" t="n">
        <v>-65.0061</v>
      </c>
      <c r="S753" s="1" t="s">
        <v>3023</v>
      </c>
      <c r="T753" s="1" t="n">
        <v>2026</v>
      </c>
      <c r="U753" s="1" t="n">
        <v>2026</v>
      </c>
      <c r="V753" s="5" t="n">
        <v>46216.8229166667</v>
      </c>
      <c r="W753" s="6" t="n">
        <v>46387.9999999884</v>
      </c>
    </row>
    <row r="754" customFormat="false" ht="12.75" hidden="false" customHeight="false" outlineLevel="0" collapsed="false">
      <c r="A754" s="1" t="s">
        <v>3024</v>
      </c>
      <c r="B754" s="1" t="n">
        <v>17771423</v>
      </c>
      <c r="C754" s="1" t="s">
        <v>2793</v>
      </c>
      <c r="E754" s="1" t="s">
        <v>3025</v>
      </c>
      <c r="F754" s="1" t="n">
        <v>446</v>
      </c>
      <c r="G754" s="2" t="s">
        <v>28</v>
      </c>
      <c r="H754" s="1" t="n">
        <v>-1</v>
      </c>
      <c r="I754" s="1" t="n">
        <v>7</v>
      </c>
      <c r="J754" s="1" t="n">
        <v>0</v>
      </c>
      <c r="K754" s="1" t="n">
        <v>-1</v>
      </c>
      <c r="L754" s="2" t="n">
        <v>122.3</v>
      </c>
      <c r="M754" s="1" t="s">
        <v>65</v>
      </c>
      <c r="N754" s="1" t="s">
        <v>105</v>
      </c>
      <c r="O754" s="5" t="n">
        <v>46202.7506944445</v>
      </c>
      <c r="P754" s="5" t="n">
        <v>46202.7506944445</v>
      </c>
      <c r="Q754" s="1" t="n">
        <v>53.0397</v>
      </c>
      <c r="R754" s="1" t="n">
        <v>-68.86</v>
      </c>
      <c r="S754" s="1" t="s">
        <v>3026</v>
      </c>
      <c r="T754" s="1" t="n">
        <v>2026</v>
      </c>
      <c r="U754" s="1" t="n">
        <v>2026</v>
      </c>
      <c r="V754" s="5" t="n">
        <v>46216.8229166667</v>
      </c>
      <c r="W754" s="6" t="n">
        <v>46387.9999999884</v>
      </c>
    </row>
    <row r="755" customFormat="false" ht="12.75" hidden="false" customHeight="false" outlineLevel="0" collapsed="false">
      <c r="A755" s="1" t="s">
        <v>3027</v>
      </c>
      <c r="B755" s="1" t="n">
        <v>17771200</v>
      </c>
      <c r="C755" s="1" t="s">
        <v>2793</v>
      </c>
      <c r="E755" s="1" t="s">
        <v>3028</v>
      </c>
      <c r="F755" s="1" t="n">
        <v>245</v>
      </c>
      <c r="G755" s="2" t="s">
        <v>28</v>
      </c>
      <c r="H755" s="1" t="n">
        <v>-1</v>
      </c>
      <c r="I755" s="1" t="n">
        <v>1</v>
      </c>
      <c r="J755" s="1" t="n">
        <v>0</v>
      </c>
      <c r="K755" s="1" t="n">
        <v>-1</v>
      </c>
      <c r="L755" s="2" t="n">
        <v>49662.4</v>
      </c>
      <c r="M755" s="1" t="s">
        <v>65</v>
      </c>
      <c r="N755" s="1" t="s">
        <v>105</v>
      </c>
      <c r="O755" s="5" t="n">
        <v>46196.6784722222</v>
      </c>
      <c r="P755" s="5" t="n">
        <v>46215.425</v>
      </c>
      <c r="Q755" s="1" t="n">
        <v>53.8775</v>
      </c>
      <c r="R755" s="1" t="n">
        <v>-72.8983</v>
      </c>
      <c r="S755" s="1" t="s">
        <v>3029</v>
      </c>
      <c r="T755" s="1" t="n">
        <v>2026</v>
      </c>
      <c r="U755" s="1" t="n">
        <v>2026</v>
      </c>
      <c r="V755" s="5" t="n">
        <v>46216.8229166667</v>
      </c>
      <c r="W755" s="6" t="n">
        <v>46387.9999999884</v>
      </c>
    </row>
    <row r="756" customFormat="false" ht="12.75" hidden="false" customHeight="false" outlineLevel="0" collapsed="false">
      <c r="A756" s="1" t="s">
        <v>3030</v>
      </c>
      <c r="B756" s="1" t="n">
        <v>17771442</v>
      </c>
      <c r="C756" s="1" t="s">
        <v>2793</v>
      </c>
      <c r="E756" s="1" t="s">
        <v>3031</v>
      </c>
      <c r="F756" s="1" t="n">
        <v>463</v>
      </c>
      <c r="G756" s="2" t="s">
        <v>28</v>
      </c>
      <c r="H756" s="1" t="n">
        <v>-1</v>
      </c>
      <c r="I756" s="1" t="n">
        <v>4</v>
      </c>
      <c r="J756" s="1" t="n">
        <v>0</v>
      </c>
      <c r="K756" s="1" t="n">
        <v>-1</v>
      </c>
      <c r="L756" s="2" t="n">
        <v>545.7</v>
      </c>
      <c r="M756" s="1" t="s">
        <v>65</v>
      </c>
      <c r="N756" s="1" t="s">
        <v>105</v>
      </c>
      <c r="O756" s="5" t="n">
        <v>46201.0333333333</v>
      </c>
      <c r="P756" s="5" t="n">
        <v>46201.0333333333</v>
      </c>
      <c r="Q756" s="1" t="n">
        <v>54.8211</v>
      </c>
      <c r="R756" s="1" t="n">
        <v>-70.9594</v>
      </c>
      <c r="S756" s="1" t="s">
        <v>3032</v>
      </c>
      <c r="T756" s="1" t="n">
        <v>2026</v>
      </c>
      <c r="U756" s="1" t="n">
        <v>2026</v>
      </c>
      <c r="V756" s="5" t="n">
        <v>46216.8229166667</v>
      </c>
      <c r="W756" s="6" t="n">
        <v>46387.9999999884</v>
      </c>
    </row>
    <row r="757" customFormat="false" ht="12.75" hidden="false" customHeight="false" outlineLevel="0" collapsed="false">
      <c r="A757" s="1" t="s">
        <v>3033</v>
      </c>
      <c r="B757" s="1" t="n">
        <v>17757748</v>
      </c>
      <c r="C757" s="1" t="s">
        <v>2793</v>
      </c>
      <c r="E757" s="1" t="s">
        <v>3034</v>
      </c>
      <c r="F757" s="1" t="n">
        <v>452</v>
      </c>
      <c r="G757" s="2" t="s">
        <v>28</v>
      </c>
      <c r="H757" s="1" t="n">
        <v>-1</v>
      </c>
      <c r="I757" s="1" t="n">
        <v>4</v>
      </c>
      <c r="J757" s="1" t="n">
        <v>0</v>
      </c>
      <c r="K757" s="1" t="n">
        <v>-1</v>
      </c>
      <c r="L757" s="2" t="n">
        <v>1200.6</v>
      </c>
      <c r="M757" s="1" t="s">
        <v>65</v>
      </c>
      <c r="N757" s="1" t="s">
        <v>105</v>
      </c>
      <c r="O757" s="5" t="n">
        <v>46201.8027777778</v>
      </c>
      <c r="P757" s="5" t="n">
        <v>46201.8027777778</v>
      </c>
      <c r="Q757" s="1" t="n">
        <v>53.1636</v>
      </c>
      <c r="R757" s="1" t="n">
        <v>-71.6825</v>
      </c>
      <c r="S757" s="1" t="s">
        <v>3035</v>
      </c>
      <c r="T757" s="1" t="n">
        <v>2026</v>
      </c>
      <c r="U757" s="1" t="n">
        <v>2026</v>
      </c>
      <c r="V757" s="5" t="n">
        <v>46216.65625</v>
      </c>
      <c r="W757" s="6" t="n">
        <v>46387.9999999884</v>
      </c>
    </row>
    <row r="758" customFormat="false" ht="12.75" hidden="false" customHeight="false" outlineLevel="0" collapsed="false">
      <c r="A758" s="1" t="s">
        <v>3036</v>
      </c>
      <c r="B758" s="1" t="n">
        <v>17757716</v>
      </c>
      <c r="C758" s="1" t="s">
        <v>2793</v>
      </c>
      <c r="E758" s="1" t="s">
        <v>3037</v>
      </c>
      <c r="F758" s="1" t="n">
        <v>423</v>
      </c>
      <c r="G758" s="2" t="s">
        <v>28</v>
      </c>
      <c r="H758" s="1" t="n">
        <v>-1</v>
      </c>
      <c r="I758" s="1" t="n">
        <v>6</v>
      </c>
      <c r="J758" s="1" t="n">
        <v>0</v>
      </c>
      <c r="K758" s="1" t="n">
        <v>-1</v>
      </c>
      <c r="L758" s="2" t="n">
        <v>46.6</v>
      </c>
      <c r="M758" s="1" t="s">
        <v>65</v>
      </c>
      <c r="N758" s="1" t="s">
        <v>105</v>
      </c>
      <c r="O758" s="5" t="n">
        <v>46203.75</v>
      </c>
      <c r="P758" s="5" t="n">
        <v>46215.9159722222</v>
      </c>
      <c r="Q758" s="1" t="n">
        <v>51.6758</v>
      </c>
      <c r="R758" s="1" t="n">
        <v>-76.9306</v>
      </c>
      <c r="S758" s="1" t="s">
        <v>3038</v>
      </c>
      <c r="T758" s="1" t="n">
        <v>2026</v>
      </c>
      <c r="U758" s="1" t="n">
        <v>2026</v>
      </c>
      <c r="V758" s="5" t="n">
        <v>46216.65625</v>
      </c>
      <c r="W758" s="6" t="n">
        <v>46387.9999999884</v>
      </c>
    </row>
    <row r="759" customFormat="false" ht="12.75" hidden="false" customHeight="false" outlineLevel="0" collapsed="false">
      <c r="A759" s="1" t="s">
        <v>3039</v>
      </c>
      <c r="B759" s="1" t="n">
        <v>17757766</v>
      </c>
      <c r="C759" s="1" t="s">
        <v>2793</v>
      </c>
      <c r="E759" s="1" t="s">
        <v>3040</v>
      </c>
      <c r="F759" s="1" t="n">
        <v>469</v>
      </c>
      <c r="G759" s="2" t="s">
        <v>28</v>
      </c>
      <c r="H759" s="1" t="n">
        <v>-1</v>
      </c>
      <c r="I759" s="1" t="n">
        <v>0</v>
      </c>
      <c r="J759" s="1" t="n">
        <v>0</v>
      </c>
      <c r="K759" s="1" t="n">
        <v>-1</v>
      </c>
      <c r="L759" s="2" t="n">
        <v>558.8</v>
      </c>
      <c r="M759" s="1" t="s">
        <v>65</v>
      </c>
      <c r="N759" s="1" t="s">
        <v>105</v>
      </c>
      <c r="O759" s="5" t="n">
        <v>46204.2743055556</v>
      </c>
      <c r="P759" s="5" t="n">
        <v>46205.71875</v>
      </c>
      <c r="Q759" s="1" t="n">
        <v>53.745</v>
      </c>
      <c r="R759" s="1" t="n">
        <v>-76.1242</v>
      </c>
      <c r="S759" s="1" t="s">
        <v>3041</v>
      </c>
      <c r="T759" s="1" t="n">
        <v>2026</v>
      </c>
      <c r="U759" s="1" t="n">
        <v>2026</v>
      </c>
      <c r="V759" s="5" t="n">
        <v>46216.65625</v>
      </c>
      <c r="W759" s="6" t="n">
        <v>46387.9999999884</v>
      </c>
    </row>
    <row r="760" customFormat="false" ht="12.75" hidden="false" customHeight="false" outlineLevel="0" collapsed="false">
      <c r="A760" s="1" t="s">
        <v>3042</v>
      </c>
      <c r="B760" s="1" t="n">
        <v>17757742</v>
      </c>
      <c r="C760" s="1" t="s">
        <v>2793</v>
      </c>
      <c r="E760" s="1" t="s">
        <v>3043</v>
      </c>
      <c r="F760" s="1" t="n">
        <v>447</v>
      </c>
      <c r="G760" s="2" t="s">
        <v>28</v>
      </c>
      <c r="H760" s="1" t="n">
        <v>-1</v>
      </c>
      <c r="I760" s="1" t="n">
        <v>7</v>
      </c>
      <c r="J760" s="1" t="n">
        <v>0</v>
      </c>
      <c r="K760" s="1" t="n">
        <v>-1</v>
      </c>
      <c r="L760" s="2" t="n">
        <v>51.8</v>
      </c>
      <c r="M760" s="1" t="s">
        <v>65</v>
      </c>
      <c r="N760" s="1" t="s">
        <v>105</v>
      </c>
      <c r="O760" s="5" t="n">
        <v>46202.8083333333</v>
      </c>
      <c r="P760" s="5" t="n">
        <v>46202.8083333333</v>
      </c>
      <c r="Q760" s="1" t="n">
        <v>52.8478</v>
      </c>
      <c r="R760" s="1" t="n">
        <v>-69.4019</v>
      </c>
      <c r="S760" s="1" t="s">
        <v>3044</v>
      </c>
      <c r="T760" s="1" t="n">
        <v>2026</v>
      </c>
      <c r="U760" s="1" t="n">
        <v>2026</v>
      </c>
      <c r="V760" s="5" t="n">
        <v>46216.65625</v>
      </c>
      <c r="W760" s="6" t="n">
        <v>46387.9999999884</v>
      </c>
    </row>
    <row r="761" customFormat="false" ht="12.75" hidden="false" customHeight="false" outlineLevel="0" collapsed="false">
      <c r="A761" s="1" t="s">
        <v>3045</v>
      </c>
      <c r="B761" s="1" t="n">
        <v>17717428</v>
      </c>
      <c r="C761" s="1" t="s">
        <v>2793</v>
      </c>
      <c r="E761" s="1" t="s">
        <v>3046</v>
      </c>
      <c r="F761" s="1" t="n">
        <v>270</v>
      </c>
      <c r="G761" s="2" t="s">
        <v>28</v>
      </c>
      <c r="H761" s="1" t="n">
        <v>-1</v>
      </c>
      <c r="I761" s="1" t="n">
        <v>-1</v>
      </c>
      <c r="J761" s="1" t="n">
        <v>0</v>
      </c>
      <c r="K761" s="1" t="n">
        <v>-1</v>
      </c>
      <c r="L761" s="2" t="n">
        <v>6167.4</v>
      </c>
      <c r="M761" s="1" t="s">
        <v>65</v>
      </c>
      <c r="N761" s="1" t="s">
        <v>105</v>
      </c>
      <c r="O761" s="5" t="n">
        <v>46167.7638888889</v>
      </c>
      <c r="P761" s="5" t="n">
        <v>46167.7638888889</v>
      </c>
      <c r="Q761" s="1" t="n">
        <v>53.1167</v>
      </c>
      <c r="R761" s="1" t="n">
        <v>-69.1489</v>
      </c>
      <c r="S761" s="1" t="s">
        <v>3047</v>
      </c>
      <c r="T761" s="1" t="n">
        <v>2026</v>
      </c>
      <c r="U761" s="1" t="n">
        <v>2026</v>
      </c>
      <c r="V761" s="5" t="n">
        <v>46216.15625</v>
      </c>
      <c r="W761" s="6" t="n">
        <v>46387.9999999884</v>
      </c>
    </row>
    <row r="762" customFormat="false" ht="12.75" hidden="false" customHeight="false" outlineLevel="0" collapsed="false">
      <c r="A762" s="1" t="s">
        <v>3048</v>
      </c>
      <c r="B762" s="1" t="n">
        <v>17717741</v>
      </c>
      <c r="C762" s="1" t="s">
        <v>2793</v>
      </c>
      <c r="E762" s="1" t="s">
        <v>3049</v>
      </c>
      <c r="F762" s="1" t="n">
        <v>552</v>
      </c>
      <c r="G762" s="2" t="s">
        <v>28</v>
      </c>
      <c r="H762" s="1" t="n">
        <v>-1</v>
      </c>
      <c r="I762" s="1" t="n">
        <v>4</v>
      </c>
      <c r="J762" s="1" t="n">
        <v>0</v>
      </c>
      <c r="K762" s="1" t="n">
        <v>-1</v>
      </c>
      <c r="L762" s="2" t="n">
        <v>483.8</v>
      </c>
      <c r="M762" s="1" t="s">
        <v>65</v>
      </c>
      <c r="N762" s="1" t="s">
        <v>105</v>
      </c>
      <c r="O762" s="5" t="n">
        <v>46212.0486111111</v>
      </c>
      <c r="P762" s="5" t="n">
        <v>46212.0486111111</v>
      </c>
      <c r="Q762" s="1" t="n">
        <v>51.7478</v>
      </c>
      <c r="R762" s="1" t="n">
        <v>-69.0136</v>
      </c>
      <c r="S762" s="1" t="s">
        <v>3050</v>
      </c>
      <c r="T762" s="1" t="n">
        <v>2026</v>
      </c>
      <c r="U762" s="1" t="n">
        <v>2026</v>
      </c>
      <c r="V762" s="5" t="n">
        <v>46216.15625</v>
      </c>
      <c r="W762" s="6" t="n">
        <v>46387.9999999884</v>
      </c>
    </row>
    <row r="763" customFormat="false" ht="12.75" hidden="false" customHeight="false" outlineLevel="0" collapsed="false">
      <c r="A763" s="1" t="s">
        <v>3051</v>
      </c>
      <c r="B763" s="1" t="n">
        <v>17717582</v>
      </c>
      <c r="C763" s="1" t="s">
        <v>2793</v>
      </c>
      <c r="E763" s="1" t="s">
        <v>3052</v>
      </c>
      <c r="F763" s="1" t="n">
        <v>409</v>
      </c>
      <c r="G763" s="2" t="s">
        <v>28</v>
      </c>
      <c r="H763" s="1" t="n">
        <v>-1</v>
      </c>
      <c r="I763" s="1" t="n">
        <v>2</v>
      </c>
      <c r="J763" s="1" t="n">
        <v>0</v>
      </c>
      <c r="K763" s="1" t="n">
        <v>-1</v>
      </c>
      <c r="L763" s="2" t="n">
        <v>606.3</v>
      </c>
      <c r="M763" s="1" t="s">
        <v>65</v>
      </c>
      <c r="N763" s="1" t="s">
        <v>105</v>
      </c>
      <c r="O763" s="5" t="n">
        <v>46201.9166666667</v>
      </c>
      <c r="P763" s="5" t="n">
        <v>46203.8743055556</v>
      </c>
      <c r="Q763" s="1" t="n">
        <v>50.9933</v>
      </c>
      <c r="R763" s="1" t="n">
        <v>-74.1025</v>
      </c>
      <c r="S763" s="1" t="s">
        <v>3053</v>
      </c>
      <c r="T763" s="1" t="n">
        <v>2026</v>
      </c>
      <c r="U763" s="1" t="n">
        <v>2026</v>
      </c>
      <c r="V763" s="5" t="n">
        <v>46216.15625</v>
      </c>
      <c r="W763" s="6" t="n">
        <v>46387.9999999884</v>
      </c>
    </row>
    <row r="764" customFormat="false" ht="12.75" hidden="false" customHeight="false" outlineLevel="0" collapsed="false">
      <c r="A764" s="1" t="s">
        <v>3054</v>
      </c>
      <c r="B764" s="1" t="n">
        <v>17717608</v>
      </c>
      <c r="C764" s="1" t="s">
        <v>2793</v>
      </c>
      <c r="E764" s="1" t="s">
        <v>3055</v>
      </c>
      <c r="F764" s="1" t="n">
        <v>432</v>
      </c>
      <c r="G764" s="2" t="s">
        <v>28</v>
      </c>
      <c r="H764" s="1" t="n">
        <v>-1</v>
      </c>
      <c r="I764" s="1" t="n">
        <v>3</v>
      </c>
      <c r="J764" s="1" t="n">
        <v>0</v>
      </c>
      <c r="K764" s="1" t="n">
        <v>-1</v>
      </c>
      <c r="L764" s="2" t="n">
        <v>6113.5</v>
      </c>
      <c r="M764" s="1" t="s">
        <v>65</v>
      </c>
      <c r="N764" s="1" t="s">
        <v>105</v>
      </c>
      <c r="O764" s="5" t="n">
        <v>46202.4916666667</v>
      </c>
      <c r="P764" s="5" t="n">
        <v>46202.4916666667</v>
      </c>
      <c r="Q764" s="1" t="n">
        <v>56.2172</v>
      </c>
      <c r="R764" s="1" t="n">
        <v>-71.3172</v>
      </c>
      <c r="S764" s="1" t="s">
        <v>3056</v>
      </c>
      <c r="T764" s="1" t="n">
        <v>2026</v>
      </c>
      <c r="U764" s="1" t="n">
        <v>2026</v>
      </c>
      <c r="V764" s="5" t="n">
        <v>46216.15625</v>
      </c>
      <c r="W764" s="6" t="n">
        <v>46387.9999999884</v>
      </c>
    </row>
    <row r="765" customFormat="false" ht="12.75" hidden="false" customHeight="false" outlineLevel="0" collapsed="false">
      <c r="A765" s="1" t="s">
        <v>3057</v>
      </c>
      <c r="B765" s="1" t="n">
        <v>17681103</v>
      </c>
      <c r="C765" s="1" t="s">
        <v>2793</v>
      </c>
      <c r="E765" s="1" t="s">
        <v>3058</v>
      </c>
      <c r="F765" s="1" t="n">
        <v>421</v>
      </c>
      <c r="G765" s="2" t="s">
        <v>28</v>
      </c>
      <c r="H765" s="1" t="n">
        <v>-1</v>
      </c>
      <c r="I765" s="1" t="n">
        <v>0</v>
      </c>
      <c r="J765" s="1" t="n">
        <v>0</v>
      </c>
      <c r="K765" s="1" t="n">
        <v>-1</v>
      </c>
      <c r="L765" s="2" t="n">
        <v>11655.4</v>
      </c>
      <c r="M765" s="1" t="s">
        <v>65</v>
      </c>
      <c r="N765" s="1" t="s">
        <v>105</v>
      </c>
      <c r="O765" s="5" t="n">
        <v>46202.8347222222</v>
      </c>
      <c r="P765" s="5" t="n">
        <v>46202.8347222222</v>
      </c>
      <c r="Q765" s="1" t="n">
        <v>56.1703</v>
      </c>
      <c r="R765" s="1" t="n">
        <v>-69.2275</v>
      </c>
      <c r="S765" s="1" t="s">
        <v>3059</v>
      </c>
      <c r="T765" s="1" t="n">
        <v>2026</v>
      </c>
      <c r="U765" s="1" t="n">
        <v>2026</v>
      </c>
      <c r="V765" s="5" t="n">
        <v>46215.6979166667</v>
      </c>
      <c r="W765" s="6" t="n">
        <v>46387.9999999884</v>
      </c>
    </row>
    <row r="766" customFormat="false" ht="12.75" hidden="false" customHeight="false" outlineLevel="0" collapsed="false">
      <c r="A766" s="1" t="s">
        <v>3060</v>
      </c>
      <c r="B766" s="1" t="n">
        <v>17636893</v>
      </c>
      <c r="C766" s="1" t="s">
        <v>2793</v>
      </c>
      <c r="E766" s="1" t="s">
        <v>3061</v>
      </c>
      <c r="F766" s="1" t="n">
        <v>226</v>
      </c>
      <c r="G766" s="2" t="s">
        <v>28</v>
      </c>
      <c r="H766" s="1" t="n">
        <v>-1</v>
      </c>
      <c r="I766" s="1" t="n">
        <v>0</v>
      </c>
      <c r="J766" s="1" t="n">
        <v>0</v>
      </c>
      <c r="K766" s="1" t="n">
        <v>-1</v>
      </c>
      <c r="L766" s="2" t="n">
        <v>3100.6</v>
      </c>
      <c r="M766" s="1" t="s">
        <v>65</v>
      </c>
      <c r="N766" s="1" t="s">
        <v>105</v>
      </c>
      <c r="O766" s="5" t="n">
        <v>46192.7659722222</v>
      </c>
      <c r="P766" s="5" t="n">
        <v>46214.8791666667</v>
      </c>
      <c r="Q766" s="1" t="n">
        <v>53.3767</v>
      </c>
      <c r="R766" s="1" t="n">
        <v>-72.9383</v>
      </c>
      <c r="S766" s="1" t="s">
        <v>3062</v>
      </c>
      <c r="T766" s="1" t="n">
        <v>2026</v>
      </c>
      <c r="U766" s="1" t="n">
        <v>2026</v>
      </c>
      <c r="V766" s="5" t="n">
        <v>46215.0729166667</v>
      </c>
      <c r="W766" s="6" t="n">
        <v>46387.9999999884</v>
      </c>
    </row>
    <row r="767" customFormat="false" ht="12.75" hidden="false" customHeight="false" outlineLevel="0" collapsed="false">
      <c r="A767" s="1" t="s">
        <v>3063</v>
      </c>
      <c r="B767" s="1" t="n">
        <v>17637250</v>
      </c>
      <c r="C767" s="1" t="s">
        <v>2793</v>
      </c>
      <c r="E767" s="1" t="s">
        <v>3064</v>
      </c>
      <c r="F767" s="1" t="n">
        <v>550</v>
      </c>
      <c r="G767" s="2" t="s">
        <v>28</v>
      </c>
      <c r="H767" s="1" t="n">
        <v>-1</v>
      </c>
      <c r="I767" s="1" t="n">
        <v>2</v>
      </c>
      <c r="J767" s="1" t="n">
        <v>0</v>
      </c>
      <c r="K767" s="1" t="n">
        <v>-1</v>
      </c>
      <c r="L767" s="2" t="n">
        <v>125</v>
      </c>
      <c r="M767" s="1" t="s">
        <v>65</v>
      </c>
      <c r="N767" s="1" t="s">
        <v>105</v>
      </c>
      <c r="O767" s="5" t="n">
        <v>46211.2944444444</v>
      </c>
      <c r="P767" s="5" t="n">
        <v>46211.2944444444</v>
      </c>
      <c r="Q767" s="1" t="n">
        <v>51.0308</v>
      </c>
      <c r="R767" s="1" t="n">
        <v>-74.0533</v>
      </c>
      <c r="S767" s="1" t="s">
        <v>3065</v>
      </c>
      <c r="T767" s="1" t="n">
        <v>2026</v>
      </c>
      <c r="U767" s="1" t="n">
        <v>2026</v>
      </c>
      <c r="V767" s="5" t="n">
        <v>46215.0729166667</v>
      </c>
      <c r="W767" s="6" t="n">
        <v>46387.9999999884</v>
      </c>
    </row>
    <row r="768" customFormat="false" ht="12.75" hidden="false" customHeight="false" outlineLevel="0" collapsed="false">
      <c r="A768" s="1" t="s">
        <v>3066</v>
      </c>
      <c r="B768" s="1" t="n">
        <v>17637055</v>
      </c>
      <c r="C768" s="1" t="s">
        <v>2793</v>
      </c>
      <c r="E768" s="1" t="s">
        <v>3067</v>
      </c>
      <c r="F768" s="1" t="n">
        <v>373</v>
      </c>
      <c r="G768" s="2" t="s">
        <v>28</v>
      </c>
      <c r="H768" s="1" t="n">
        <v>-1</v>
      </c>
      <c r="I768" s="1" t="n">
        <v>3</v>
      </c>
      <c r="J768" s="1" t="n">
        <v>0</v>
      </c>
      <c r="K768" s="1" t="n">
        <v>-1</v>
      </c>
      <c r="L768" s="2" t="n">
        <v>43325.8</v>
      </c>
      <c r="M768" s="1" t="s">
        <v>65</v>
      </c>
      <c r="N768" s="1" t="s">
        <v>105</v>
      </c>
      <c r="O768" s="5" t="n">
        <v>46201.6847222222</v>
      </c>
      <c r="P768" s="5" t="n">
        <v>46209.9506944444</v>
      </c>
      <c r="Q768" s="1" t="n">
        <v>53.8711</v>
      </c>
      <c r="R768" s="1" t="n">
        <v>-71.9269</v>
      </c>
      <c r="S768" s="1" t="s">
        <v>3068</v>
      </c>
      <c r="T768" s="1" t="n">
        <v>2026</v>
      </c>
      <c r="U768" s="1" t="n">
        <v>2026</v>
      </c>
      <c r="V768" s="5" t="n">
        <v>46215.0729166667</v>
      </c>
      <c r="W768" s="6" t="n">
        <v>46387.9999999884</v>
      </c>
    </row>
    <row r="769" customFormat="false" ht="12.75" hidden="false" customHeight="false" outlineLevel="0" collapsed="false">
      <c r="A769" s="1" t="s">
        <v>3069</v>
      </c>
      <c r="B769" s="1" t="n">
        <v>17567969</v>
      </c>
      <c r="C769" s="1" t="s">
        <v>2793</v>
      </c>
      <c r="E769" s="1" t="s">
        <v>3070</v>
      </c>
      <c r="F769" s="1" t="n">
        <v>486</v>
      </c>
      <c r="G769" s="2" t="s">
        <v>28</v>
      </c>
      <c r="H769" s="1" t="n">
        <v>-1</v>
      </c>
      <c r="I769" s="1" t="n">
        <v>5</v>
      </c>
      <c r="J769" s="1" t="n">
        <v>0</v>
      </c>
      <c r="K769" s="1" t="n">
        <v>-1</v>
      </c>
      <c r="L769" s="2" t="n">
        <v>890.9</v>
      </c>
      <c r="M769" s="1" t="s">
        <v>65</v>
      </c>
      <c r="N769" s="1" t="s">
        <v>105</v>
      </c>
      <c r="O769" s="5" t="n">
        <v>46201.9569444444</v>
      </c>
      <c r="P769" s="5" t="n">
        <v>46201.9569444444</v>
      </c>
      <c r="Q769" s="1" t="n">
        <v>53.2608</v>
      </c>
      <c r="R769" s="1" t="n">
        <v>-70.4278</v>
      </c>
      <c r="S769" s="1" t="s">
        <v>3071</v>
      </c>
      <c r="T769" s="1" t="n">
        <v>2026</v>
      </c>
      <c r="U769" s="1" t="n">
        <v>2026</v>
      </c>
      <c r="V769" s="5" t="n">
        <v>46214.15625</v>
      </c>
      <c r="W769" s="6" t="n">
        <v>46387.9999999884</v>
      </c>
    </row>
    <row r="770" customFormat="false" ht="12.75" hidden="false" customHeight="false" outlineLevel="0" collapsed="false">
      <c r="A770" s="1" t="s">
        <v>3072</v>
      </c>
      <c r="B770" s="1" t="n">
        <v>17567772</v>
      </c>
      <c r="C770" s="1" t="s">
        <v>2793</v>
      </c>
      <c r="E770" s="1" t="s">
        <v>3073</v>
      </c>
      <c r="F770" s="1" t="n">
        <v>307</v>
      </c>
      <c r="G770" s="2" t="s">
        <v>28</v>
      </c>
      <c r="H770" s="1" t="n">
        <v>-1</v>
      </c>
      <c r="I770" s="1" t="n">
        <v>7</v>
      </c>
      <c r="J770" s="1" t="n">
        <v>0</v>
      </c>
      <c r="K770" s="1" t="n">
        <v>-1</v>
      </c>
      <c r="L770" s="2" t="n">
        <v>1088.2</v>
      </c>
      <c r="M770" s="1" t="s">
        <v>65</v>
      </c>
      <c r="N770" s="1" t="s">
        <v>105</v>
      </c>
      <c r="O770" s="5" t="n">
        <v>46199.7923611111</v>
      </c>
      <c r="P770" s="5" t="n">
        <v>46213.9</v>
      </c>
      <c r="Q770" s="1" t="n">
        <v>51.3103</v>
      </c>
      <c r="R770" s="1" t="n">
        <v>-78.6939</v>
      </c>
      <c r="S770" s="1" t="s">
        <v>3074</v>
      </c>
      <c r="T770" s="1" t="n">
        <v>2026</v>
      </c>
      <c r="U770" s="1" t="n">
        <v>2026</v>
      </c>
      <c r="V770" s="5" t="n">
        <v>46214.15625</v>
      </c>
      <c r="W770" s="6" t="n">
        <v>46387.9999999884</v>
      </c>
    </row>
    <row r="771" customFormat="false" ht="12.75" hidden="false" customHeight="false" outlineLevel="0" collapsed="false">
      <c r="A771" s="1" t="s">
        <v>3075</v>
      </c>
      <c r="B771" s="1" t="n">
        <v>17538846</v>
      </c>
      <c r="C771" s="1" t="s">
        <v>2793</v>
      </c>
      <c r="E771" s="1" t="s">
        <v>3076</v>
      </c>
      <c r="F771" s="1" t="n">
        <v>499</v>
      </c>
      <c r="G771" s="2" t="s">
        <v>28</v>
      </c>
      <c r="H771" s="1" t="n">
        <v>-1</v>
      </c>
      <c r="I771" s="1" t="n">
        <v>1</v>
      </c>
      <c r="J771" s="1" t="n">
        <v>0</v>
      </c>
      <c r="K771" s="1" t="n">
        <v>-1</v>
      </c>
      <c r="L771" s="2" t="n">
        <v>11.1</v>
      </c>
      <c r="M771" s="1" t="s">
        <v>65</v>
      </c>
      <c r="N771" s="1" t="s">
        <v>105</v>
      </c>
      <c r="O771" s="5" t="n">
        <v>44012.0111111111</v>
      </c>
      <c r="P771" s="5" t="n">
        <v>44012.0111111111</v>
      </c>
      <c r="Q771" s="1" t="n">
        <v>50.5758</v>
      </c>
      <c r="R771" s="1" t="n">
        <v>-62.5819</v>
      </c>
      <c r="S771" s="1" t="s">
        <v>3077</v>
      </c>
      <c r="T771" s="1" t="n">
        <v>2020</v>
      </c>
      <c r="U771" s="1" t="n">
        <v>2020</v>
      </c>
      <c r="V771" s="5" t="n">
        <v>46213.78125</v>
      </c>
      <c r="W771" s="6" t="n">
        <v>46387.9999999884</v>
      </c>
    </row>
    <row r="772" customFormat="false" ht="12.75" hidden="false" customHeight="false" outlineLevel="0" collapsed="false">
      <c r="A772" s="1" t="s">
        <v>3078</v>
      </c>
      <c r="B772" s="1" t="n">
        <v>17491162</v>
      </c>
      <c r="C772" s="1" t="s">
        <v>2793</v>
      </c>
      <c r="E772" s="1" t="s">
        <v>3079</v>
      </c>
      <c r="F772" s="1" t="n">
        <v>460</v>
      </c>
      <c r="G772" s="2" t="s">
        <v>28</v>
      </c>
      <c r="H772" s="1" t="n">
        <v>-1</v>
      </c>
      <c r="I772" s="1" t="n">
        <v>4</v>
      </c>
      <c r="J772" s="1" t="n">
        <v>0</v>
      </c>
      <c r="K772" s="1" t="n">
        <v>-1</v>
      </c>
      <c r="L772" s="2" t="n">
        <v>173</v>
      </c>
      <c r="M772" s="1" t="s">
        <v>65</v>
      </c>
      <c r="N772" s="1" t="s">
        <v>105</v>
      </c>
      <c r="O772" s="5" t="n">
        <v>46201.9416666667</v>
      </c>
      <c r="P772" s="5" t="n">
        <v>46204.8</v>
      </c>
      <c r="Q772" s="1" t="n">
        <v>53.1094</v>
      </c>
      <c r="R772" s="1" t="n">
        <v>-70.4792</v>
      </c>
      <c r="S772" s="1" t="s">
        <v>3080</v>
      </c>
      <c r="T772" s="1" t="n">
        <v>2026</v>
      </c>
      <c r="U772" s="1" t="n">
        <v>2026</v>
      </c>
      <c r="V772" s="5" t="n">
        <v>46213.15625</v>
      </c>
      <c r="W772" s="6" t="n">
        <v>46387.9999999884</v>
      </c>
    </row>
    <row r="773" customFormat="false" ht="12.75" hidden="false" customHeight="false" outlineLevel="0" collapsed="false">
      <c r="A773" s="1" t="s">
        <v>3081</v>
      </c>
      <c r="B773" s="1" t="n">
        <v>17491094</v>
      </c>
      <c r="C773" s="1" t="s">
        <v>2793</v>
      </c>
      <c r="E773" s="1" t="s">
        <v>3082</v>
      </c>
      <c r="F773" s="1" t="n">
        <v>399</v>
      </c>
      <c r="G773" s="2" t="s">
        <v>28</v>
      </c>
      <c r="H773" s="1" t="n">
        <v>-1</v>
      </c>
      <c r="I773" s="1" t="n">
        <v>2</v>
      </c>
      <c r="J773" s="1" t="n">
        <v>0</v>
      </c>
      <c r="K773" s="1" t="n">
        <v>-1</v>
      </c>
      <c r="L773" s="2" t="n">
        <v>1220.5</v>
      </c>
      <c r="M773" s="1" t="s">
        <v>65</v>
      </c>
      <c r="N773" s="1" t="s">
        <v>105</v>
      </c>
      <c r="O773" s="5" t="n">
        <v>46196.9902777778</v>
      </c>
      <c r="P773" s="5" t="n">
        <v>46203.7847222222</v>
      </c>
      <c r="Q773" s="1" t="n">
        <v>52.7144</v>
      </c>
      <c r="R773" s="1" t="n">
        <v>-70.5256</v>
      </c>
      <c r="S773" s="1" t="s">
        <v>3083</v>
      </c>
      <c r="T773" s="1" t="n">
        <v>2026</v>
      </c>
      <c r="U773" s="1" t="n">
        <v>2026</v>
      </c>
      <c r="V773" s="5" t="n">
        <v>46213.15625</v>
      </c>
      <c r="W773" s="6" t="n">
        <v>46387.9999999884</v>
      </c>
    </row>
    <row r="774" customFormat="false" ht="12.75" hidden="false" customHeight="false" outlineLevel="0" collapsed="false">
      <c r="A774" s="1" t="s">
        <v>3084</v>
      </c>
      <c r="B774" s="1" t="n">
        <v>17491155</v>
      </c>
      <c r="C774" s="1" t="s">
        <v>2793</v>
      </c>
      <c r="E774" s="1" t="s">
        <v>3085</v>
      </c>
      <c r="F774" s="1" t="n">
        <v>454</v>
      </c>
      <c r="G774" s="2" t="s">
        <v>28</v>
      </c>
      <c r="H774" s="1" t="n">
        <v>-1</v>
      </c>
      <c r="I774" s="1" t="n">
        <v>4</v>
      </c>
      <c r="J774" s="1" t="n">
        <v>0</v>
      </c>
      <c r="K774" s="1" t="n">
        <v>-1</v>
      </c>
      <c r="L774" s="2" t="n">
        <v>94.7</v>
      </c>
      <c r="M774" s="1" t="s">
        <v>65</v>
      </c>
      <c r="N774" s="1" t="s">
        <v>105</v>
      </c>
      <c r="O774" s="5" t="n">
        <v>46202.7763888889</v>
      </c>
      <c r="P774" s="5" t="n">
        <v>46202.7763888889</v>
      </c>
      <c r="Q774" s="1" t="n">
        <v>53.25</v>
      </c>
      <c r="R774" s="1" t="n">
        <v>-71.0728</v>
      </c>
      <c r="S774" s="1" t="s">
        <v>3086</v>
      </c>
      <c r="T774" s="1" t="n">
        <v>2026</v>
      </c>
      <c r="U774" s="1" t="n">
        <v>2026</v>
      </c>
      <c r="V774" s="5" t="n">
        <v>46213.15625</v>
      </c>
      <c r="W774" s="6" t="n">
        <v>46387.9999999884</v>
      </c>
    </row>
    <row r="775" customFormat="false" ht="12.75" hidden="false" customHeight="false" outlineLevel="0" collapsed="false">
      <c r="A775" s="1" t="s">
        <v>3087</v>
      </c>
      <c r="B775" s="1" t="n">
        <v>17491010</v>
      </c>
      <c r="C775" s="1" t="s">
        <v>2793</v>
      </c>
      <c r="E775" s="1" t="s">
        <v>3088</v>
      </c>
      <c r="F775" s="1" t="n">
        <v>322</v>
      </c>
      <c r="G775" s="2" t="s">
        <v>28</v>
      </c>
      <c r="H775" s="1" t="n">
        <v>-1</v>
      </c>
      <c r="I775" s="1" t="n">
        <v>16</v>
      </c>
      <c r="J775" s="1" t="n">
        <v>0</v>
      </c>
      <c r="K775" s="1" t="n">
        <v>-1</v>
      </c>
      <c r="L775" s="2" t="n">
        <v>340.7</v>
      </c>
      <c r="M775" s="1" t="s">
        <v>65</v>
      </c>
      <c r="N775" s="1" t="s">
        <v>105</v>
      </c>
      <c r="O775" s="5" t="n">
        <v>46200.8326388889</v>
      </c>
      <c r="P775" s="5" t="n">
        <v>46212.8055555556</v>
      </c>
      <c r="Q775" s="1" t="n">
        <v>53.8417</v>
      </c>
      <c r="R775" s="1" t="n">
        <v>-77.3136</v>
      </c>
      <c r="S775" s="1" t="s">
        <v>3089</v>
      </c>
      <c r="T775" s="1" t="n">
        <v>2026</v>
      </c>
      <c r="U775" s="1" t="n">
        <v>2026</v>
      </c>
      <c r="V775" s="5" t="n">
        <v>46213.15625</v>
      </c>
      <c r="W775" s="6" t="n">
        <v>46387.9999999884</v>
      </c>
    </row>
    <row r="776" customFormat="false" ht="12.75" hidden="false" customHeight="false" outlineLevel="0" collapsed="false">
      <c r="A776" s="1" t="s">
        <v>3090</v>
      </c>
      <c r="B776" s="1" t="n">
        <v>17463749</v>
      </c>
      <c r="C776" s="1" t="s">
        <v>2793</v>
      </c>
      <c r="E776" s="1" t="s">
        <v>3091</v>
      </c>
      <c r="F776" s="1" t="n">
        <v>249</v>
      </c>
      <c r="G776" s="2" t="s">
        <v>28</v>
      </c>
      <c r="H776" s="1" t="n">
        <v>-1</v>
      </c>
      <c r="I776" s="1" t="n">
        <v>1</v>
      </c>
      <c r="J776" s="1" t="n">
        <v>0</v>
      </c>
      <c r="K776" s="1" t="n">
        <v>-1</v>
      </c>
      <c r="L776" s="2" t="n">
        <v>27942.9</v>
      </c>
      <c r="M776" s="1" t="s">
        <v>65</v>
      </c>
      <c r="N776" s="1" t="s">
        <v>105</v>
      </c>
      <c r="O776" s="5" t="n">
        <v>46195.7597222222</v>
      </c>
      <c r="P776" s="5" t="n">
        <v>46196.9208333333</v>
      </c>
      <c r="Q776" s="1" t="n">
        <v>54.3186</v>
      </c>
      <c r="R776" s="1" t="n">
        <v>-72.6714</v>
      </c>
      <c r="S776" s="1" t="s">
        <v>3092</v>
      </c>
      <c r="T776" s="1" t="n">
        <v>2026</v>
      </c>
      <c r="U776" s="1" t="n">
        <v>2026</v>
      </c>
      <c r="V776" s="5" t="n">
        <v>46212.78125</v>
      </c>
      <c r="W776" s="6" t="n">
        <v>46387.9999999884</v>
      </c>
    </row>
    <row r="777" customFormat="false" ht="12.75" hidden="false" customHeight="false" outlineLevel="0" collapsed="false">
      <c r="A777" s="1" t="s">
        <v>3093</v>
      </c>
      <c r="B777" s="1" t="n">
        <v>17463854</v>
      </c>
      <c r="C777" s="1" t="s">
        <v>2793</v>
      </c>
      <c r="E777" s="1" t="s">
        <v>3094</v>
      </c>
      <c r="F777" s="1" t="n">
        <v>344</v>
      </c>
      <c r="G777" s="2" t="s">
        <v>28</v>
      </c>
      <c r="H777" s="1" t="n">
        <v>-1</v>
      </c>
      <c r="I777" s="1" t="n">
        <v>0</v>
      </c>
      <c r="J777" s="1" t="n">
        <v>0</v>
      </c>
      <c r="K777" s="1" t="n">
        <v>-1</v>
      </c>
      <c r="L777" s="2" t="n">
        <v>418.1</v>
      </c>
      <c r="M777" s="1" t="s">
        <v>65</v>
      </c>
      <c r="N777" s="1" t="s">
        <v>105</v>
      </c>
      <c r="O777" s="5" t="n">
        <v>46201.0319444445</v>
      </c>
      <c r="P777" s="5" t="n">
        <v>46202.7993055556</v>
      </c>
      <c r="Q777" s="1" t="n">
        <v>52.4958</v>
      </c>
      <c r="R777" s="1" t="n">
        <v>-75.0761</v>
      </c>
      <c r="S777" s="1" t="s">
        <v>3095</v>
      </c>
      <c r="T777" s="1" t="n">
        <v>2026</v>
      </c>
      <c r="U777" s="1" t="n">
        <v>2026</v>
      </c>
      <c r="V777" s="5" t="n">
        <v>46212.78125</v>
      </c>
      <c r="W777" s="6" t="n">
        <v>46387.9999999884</v>
      </c>
    </row>
    <row r="778" customFormat="false" ht="12.75" hidden="false" customHeight="false" outlineLevel="0" collapsed="false">
      <c r="A778" s="1" t="s">
        <v>3096</v>
      </c>
      <c r="B778" s="1" t="n">
        <v>17463712</v>
      </c>
      <c r="C778" s="1" t="s">
        <v>2793</v>
      </c>
      <c r="E778" s="1" t="s">
        <v>3097</v>
      </c>
      <c r="F778" s="1" t="n">
        <v>215</v>
      </c>
      <c r="G778" s="2" t="s">
        <v>28</v>
      </c>
      <c r="H778" s="1" t="n">
        <v>-1</v>
      </c>
      <c r="I778" s="1" t="n">
        <v>0</v>
      </c>
      <c r="J778" s="1" t="n">
        <v>0</v>
      </c>
      <c r="K778" s="1" t="n">
        <v>-1</v>
      </c>
      <c r="L778" s="2" t="n">
        <v>26573.5</v>
      </c>
      <c r="M778" s="1" t="s">
        <v>65</v>
      </c>
      <c r="N778" s="1" t="s">
        <v>105</v>
      </c>
      <c r="O778" s="5" t="n">
        <v>46190.7055555556</v>
      </c>
      <c r="P778" s="5" t="n">
        <v>46191.6847222222</v>
      </c>
      <c r="Q778" s="1" t="n">
        <v>52.315</v>
      </c>
      <c r="R778" s="1" t="n">
        <v>-69.7017</v>
      </c>
      <c r="S778" s="1" t="s">
        <v>3098</v>
      </c>
      <c r="T778" s="1" t="n">
        <v>2026</v>
      </c>
      <c r="U778" s="1" t="n">
        <v>2026</v>
      </c>
      <c r="V778" s="5" t="n">
        <v>46212.78125</v>
      </c>
      <c r="W778" s="6" t="n">
        <v>46387.9999999884</v>
      </c>
    </row>
    <row r="779" customFormat="false" ht="12.75" hidden="false" customHeight="false" outlineLevel="0" collapsed="false">
      <c r="A779" s="1" t="s">
        <v>3099</v>
      </c>
      <c r="B779" s="1" t="n">
        <v>17463582</v>
      </c>
      <c r="C779" s="1" t="s">
        <v>2793</v>
      </c>
      <c r="E779" s="1" t="s">
        <v>3100</v>
      </c>
      <c r="F779" s="1" t="n">
        <v>270</v>
      </c>
      <c r="G779" s="2" t="s">
        <v>28</v>
      </c>
      <c r="H779" s="1" t="n">
        <v>-1</v>
      </c>
      <c r="I779" s="1" t="n">
        <v>0</v>
      </c>
      <c r="J779" s="1" t="n">
        <v>0</v>
      </c>
      <c r="K779" s="1" t="n">
        <v>-1</v>
      </c>
      <c r="L779" s="2" t="n">
        <v>6167.4</v>
      </c>
      <c r="M779" s="1" t="s">
        <v>65</v>
      </c>
      <c r="N779" s="1" t="s">
        <v>105</v>
      </c>
      <c r="O779" s="5" t="n">
        <v>45071.7638888889</v>
      </c>
      <c r="P779" s="5" t="n">
        <v>45071.7638888889</v>
      </c>
      <c r="Q779" s="1" t="n">
        <v>53.1167</v>
      </c>
      <c r="R779" s="1" t="n">
        <v>-69.1489</v>
      </c>
      <c r="S779" s="1" t="s">
        <v>3047</v>
      </c>
      <c r="T779" s="1" t="n">
        <v>2023</v>
      </c>
      <c r="U779" s="1" t="n">
        <v>2023</v>
      </c>
      <c r="V779" s="5" t="n">
        <v>46212.78125</v>
      </c>
      <c r="W779" s="6" t="n">
        <v>46387.9999999884</v>
      </c>
    </row>
    <row r="780" customFormat="false" ht="12.75" hidden="false" customHeight="false" outlineLevel="0" collapsed="false">
      <c r="A780" s="1" t="s">
        <v>3101</v>
      </c>
      <c r="B780" s="1" t="n">
        <v>17463999</v>
      </c>
      <c r="C780" s="1" t="s">
        <v>2793</v>
      </c>
      <c r="E780" s="1" t="s">
        <v>3102</v>
      </c>
      <c r="F780" s="1" t="n">
        <v>476</v>
      </c>
      <c r="G780" s="2" t="s">
        <v>28</v>
      </c>
      <c r="H780" s="1" t="n">
        <v>-1</v>
      </c>
      <c r="I780" s="1" t="n">
        <v>1</v>
      </c>
      <c r="J780" s="1" t="n">
        <v>0</v>
      </c>
      <c r="K780" s="1" t="n">
        <v>-1</v>
      </c>
      <c r="L780" s="2" t="n">
        <v>441.1</v>
      </c>
      <c r="M780" s="1" t="s">
        <v>65</v>
      </c>
      <c r="N780" s="1" t="s">
        <v>105</v>
      </c>
      <c r="O780" s="5" t="n">
        <v>46201.7111111111</v>
      </c>
      <c r="P780" s="5" t="n">
        <v>46201.7111111111</v>
      </c>
      <c r="Q780" s="1" t="n">
        <v>52.0586</v>
      </c>
      <c r="R780" s="1" t="n">
        <v>-59.1169</v>
      </c>
      <c r="S780" s="1" t="s">
        <v>3103</v>
      </c>
      <c r="T780" s="1" t="n">
        <v>2026</v>
      </c>
      <c r="U780" s="1" t="n">
        <v>2026</v>
      </c>
      <c r="V780" s="5" t="n">
        <v>46212.78125</v>
      </c>
      <c r="W780" s="6" t="n">
        <v>46387.9999999884</v>
      </c>
    </row>
    <row r="781" customFormat="false" ht="12.75" hidden="false" customHeight="false" outlineLevel="0" collapsed="false">
      <c r="A781" s="1" t="s">
        <v>3104</v>
      </c>
      <c r="B781" s="1" t="n">
        <v>17463998</v>
      </c>
      <c r="C781" s="1" t="s">
        <v>2793</v>
      </c>
      <c r="E781" s="1" t="s">
        <v>3105</v>
      </c>
      <c r="F781" s="1" t="n">
        <v>475</v>
      </c>
      <c r="G781" s="2" t="s">
        <v>28</v>
      </c>
      <c r="H781" s="1" t="n">
        <v>-1</v>
      </c>
      <c r="I781" s="1" t="n">
        <v>1</v>
      </c>
      <c r="J781" s="1" t="n">
        <v>0</v>
      </c>
      <c r="K781" s="1" t="n">
        <v>-1</v>
      </c>
      <c r="L781" s="2" t="n">
        <v>354.1</v>
      </c>
      <c r="M781" s="1" t="s">
        <v>65</v>
      </c>
      <c r="N781" s="1" t="s">
        <v>105</v>
      </c>
      <c r="O781" s="5" t="n">
        <v>46199.7111111111</v>
      </c>
      <c r="P781" s="5" t="n">
        <v>46206.5229166667</v>
      </c>
      <c r="Q781" s="1" t="n">
        <v>50.5164</v>
      </c>
      <c r="R781" s="1" t="n">
        <v>-78.0989</v>
      </c>
      <c r="S781" s="1" t="s">
        <v>3106</v>
      </c>
      <c r="T781" s="1" t="n">
        <v>2026</v>
      </c>
      <c r="U781" s="1" t="n">
        <v>2026</v>
      </c>
      <c r="V781" s="5" t="n">
        <v>46212.78125</v>
      </c>
      <c r="W781" s="6" t="n">
        <v>46387.9999999884</v>
      </c>
    </row>
    <row r="782" customFormat="false" ht="12.75" hidden="false" customHeight="false" outlineLevel="0" collapsed="false">
      <c r="A782" s="1" t="s">
        <v>3107</v>
      </c>
      <c r="B782" s="1" t="n">
        <v>17463890</v>
      </c>
      <c r="C782" s="1" t="s">
        <v>2793</v>
      </c>
      <c r="E782" s="1" t="s">
        <v>3108</v>
      </c>
      <c r="F782" s="1" t="n">
        <v>377</v>
      </c>
      <c r="G782" s="2" t="s">
        <v>28</v>
      </c>
      <c r="H782" s="1" t="n">
        <v>-1</v>
      </c>
      <c r="I782" s="1" t="n">
        <v>0</v>
      </c>
      <c r="J782" s="1" t="n">
        <v>0</v>
      </c>
      <c r="K782" s="1" t="n">
        <v>-1</v>
      </c>
      <c r="L782" s="2" t="n">
        <v>11801.6</v>
      </c>
      <c r="M782" s="1" t="s">
        <v>65</v>
      </c>
      <c r="N782" s="1" t="s">
        <v>105</v>
      </c>
      <c r="O782" s="5" t="n">
        <v>46167.9083333333</v>
      </c>
      <c r="P782" s="5" t="n">
        <v>46203.6090277778</v>
      </c>
      <c r="Q782" s="1" t="n">
        <v>50.8892</v>
      </c>
      <c r="R782" s="1" t="n">
        <v>-78.9503</v>
      </c>
      <c r="S782" s="1" t="s">
        <v>3109</v>
      </c>
      <c r="T782" s="1" t="n">
        <v>2026</v>
      </c>
      <c r="U782" s="1" t="n">
        <v>2026</v>
      </c>
      <c r="V782" s="5" t="n">
        <v>46212.78125</v>
      </c>
      <c r="W782" s="6" t="n">
        <v>46387.9999999884</v>
      </c>
    </row>
    <row r="783" customFormat="false" ht="12.75" hidden="false" customHeight="false" outlineLevel="0" collapsed="false">
      <c r="A783" s="1" t="s">
        <v>3110</v>
      </c>
      <c r="B783" s="1" t="n">
        <v>17463725</v>
      </c>
      <c r="C783" s="1" t="s">
        <v>2793</v>
      </c>
      <c r="E783" s="1" t="s">
        <v>3111</v>
      </c>
      <c r="F783" s="1" t="n">
        <v>227</v>
      </c>
      <c r="G783" s="2" t="s">
        <v>28</v>
      </c>
      <c r="H783" s="1" t="n">
        <v>-1</v>
      </c>
      <c r="I783" s="1" t="n">
        <v>0</v>
      </c>
      <c r="J783" s="1" t="n">
        <v>0</v>
      </c>
      <c r="K783" s="1" t="n">
        <v>-1</v>
      </c>
      <c r="L783" s="2" t="n">
        <v>6909.9</v>
      </c>
      <c r="M783" s="1" t="s">
        <v>65</v>
      </c>
      <c r="N783" s="1" t="s">
        <v>105</v>
      </c>
      <c r="O783" s="5" t="n">
        <v>46192.7840277778</v>
      </c>
      <c r="P783" s="5" t="n">
        <v>46212.51875</v>
      </c>
      <c r="Q783" s="1" t="n">
        <v>53.7397</v>
      </c>
      <c r="R783" s="1" t="n">
        <v>-73.0103</v>
      </c>
      <c r="S783" s="1" t="s">
        <v>3112</v>
      </c>
      <c r="T783" s="1" t="n">
        <v>2026</v>
      </c>
      <c r="U783" s="1" t="n">
        <v>2026</v>
      </c>
      <c r="V783" s="5" t="n">
        <v>46212.78125</v>
      </c>
      <c r="W783" s="6" t="n">
        <v>46387.9999999884</v>
      </c>
    </row>
    <row r="784" customFormat="false" ht="12.75" hidden="false" customHeight="false" outlineLevel="0" collapsed="false">
      <c r="A784" s="1" t="s">
        <v>3113</v>
      </c>
      <c r="B784" s="1" t="n">
        <v>17463744</v>
      </c>
      <c r="C784" s="1" t="s">
        <v>2793</v>
      </c>
      <c r="E784" s="1" t="s">
        <v>3114</v>
      </c>
      <c r="F784" s="1" t="n">
        <v>244</v>
      </c>
      <c r="G784" s="2" t="s">
        <v>28</v>
      </c>
      <c r="H784" s="1" t="n">
        <v>-1</v>
      </c>
      <c r="I784" s="1" t="n">
        <v>0</v>
      </c>
      <c r="J784" s="1" t="n">
        <v>0</v>
      </c>
      <c r="K784" s="1" t="n">
        <v>-1</v>
      </c>
      <c r="L784" s="2" t="n">
        <v>7554.9</v>
      </c>
      <c r="M784" s="1" t="s">
        <v>70</v>
      </c>
      <c r="N784" s="1" t="s">
        <v>105</v>
      </c>
      <c r="O784" s="5" t="n">
        <v>46195.9354166667</v>
      </c>
      <c r="P784" s="5" t="n">
        <v>46212.5194444444</v>
      </c>
      <c r="Q784" s="1" t="n">
        <v>54.0997</v>
      </c>
      <c r="R784" s="1" t="n">
        <v>-72.4136</v>
      </c>
      <c r="S784" s="1" t="s">
        <v>3115</v>
      </c>
      <c r="T784" s="1" t="n">
        <v>2026</v>
      </c>
      <c r="U784" s="1" t="n">
        <v>2026</v>
      </c>
      <c r="V784" s="5" t="n">
        <v>46212.78125</v>
      </c>
      <c r="W784" s="6" t="n">
        <v>46387.9999999884</v>
      </c>
    </row>
    <row r="785" customFormat="false" ht="12.75" hidden="false" customHeight="false" outlineLevel="0" collapsed="false">
      <c r="A785" s="1" t="s">
        <v>3116</v>
      </c>
      <c r="B785" s="1" t="n">
        <v>17463858</v>
      </c>
      <c r="C785" s="1" t="s">
        <v>2793</v>
      </c>
      <c r="E785" s="1" t="s">
        <v>3117</v>
      </c>
      <c r="F785" s="1" t="n">
        <v>348</v>
      </c>
      <c r="G785" s="2" t="s">
        <v>28</v>
      </c>
      <c r="H785" s="1" t="n">
        <v>-1</v>
      </c>
      <c r="I785" s="1" t="n">
        <v>1</v>
      </c>
      <c r="J785" s="1" t="n">
        <v>0</v>
      </c>
      <c r="K785" s="1" t="n">
        <v>-1</v>
      </c>
      <c r="L785" s="2" t="n">
        <v>1482</v>
      </c>
      <c r="M785" s="1" t="s">
        <v>65</v>
      </c>
      <c r="N785" s="1" t="s">
        <v>105</v>
      </c>
      <c r="O785" s="5" t="n">
        <v>46199.9625</v>
      </c>
      <c r="P785" s="5" t="n">
        <v>46199.9625</v>
      </c>
      <c r="Q785" s="1" t="n">
        <v>52.1956</v>
      </c>
      <c r="R785" s="1" t="n">
        <v>-59.1986</v>
      </c>
      <c r="S785" s="1" t="s">
        <v>3118</v>
      </c>
      <c r="T785" s="1" t="n">
        <v>2026</v>
      </c>
      <c r="U785" s="1" t="n">
        <v>2026</v>
      </c>
      <c r="V785" s="5" t="n">
        <v>46212.78125</v>
      </c>
      <c r="W785" s="6" t="n">
        <v>46387.9999999884</v>
      </c>
    </row>
    <row r="786" customFormat="false" ht="12.75" hidden="false" customHeight="false" outlineLevel="0" collapsed="false">
      <c r="A786" s="1" t="s">
        <v>3119</v>
      </c>
      <c r="B786" s="1" t="n">
        <v>17415929</v>
      </c>
      <c r="C786" s="1" t="s">
        <v>2793</v>
      </c>
      <c r="E786" s="1" t="s">
        <v>3120</v>
      </c>
      <c r="F786" s="1" t="n">
        <v>246</v>
      </c>
      <c r="G786" s="2" t="s">
        <v>28</v>
      </c>
      <c r="H786" s="1" t="n">
        <v>-1</v>
      </c>
      <c r="I786" s="1" t="n">
        <v>0</v>
      </c>
      <c r="J786" s="1" t="n">
        <v>0</v>
      </c>
      <c r="K786" s="1" t="n">
        <v>-1</v>
      </c>
      <c r="L786" s="2" t="n">
        <v>14344.3</v>
      </c>
      <c r="M786" s="1" t="s">
        <v>65</v>
      </c>
      <c r="N786" s="1" t="s">
        <v>105</v>
      </c>
      <c r="O786" s="5" t="n">
        <v>46195.9243055556</v>
      </c>
      <c r="P786" s="5" t="n">
        <v>46199.5298611111</v>
      </c>
      <c r="Q786" s="1" t="n">
        <v>55.1556</v>
      </c>
      <c r="R786" s="1" t="n">
        <v>-71.2486</v>
      </c>
      <c r="S786" s="1" t="s">
        <v>3121</v>
      </c>
      <c r="T786" s="1" t="n">
        <v>2026</v>
      </c>
      <c r="U786" s="1" t="n">
        <v>2026</v>
      </c>
      <c r="V786" s="5" t="n">
        <v>46212.15625</v>
      </c>
      <c r="W786" s="6" t="n">
        <v>46387.9999999884</v>
      </c>
    </row>
    <row r="787" customFormat="false" ht="12.75" hidden="false" customHeight="false" outlineLevel="0" collapsed="false">
      <c r="A787" s="1" t="s">
        <v>3122</v>
      </c>
      <c r="B787" s="1" t="n">
        <v>17416224</v>
      </c>
      <c r="C787" s="1" t="s">
        <v>2793</v>
      </c>
      <c r="E787" s="1" t="s">
        <v>3123</v>
      </c>
      <c r="F787" s="1" t="n">
        <v>514</v>
      </c>
      <c r="G787" s="2" t="s">
        <v>28</v>
      </c>
      <c r="H787" s="1" t="n">
        <v>-1</v>
      </c>
      <c r="I787" s="1" t="n">
        <v>0</v>
      </c>
      <c r="J787" s="1" t="n">
        <v>0</v>
      </c>
      <c r="K787" s="1" t="n">
        <v>-1</v>
      </c>
      <c r="L787" s="2" t="n">
        <v>200.8</v>
      </c>
      <c r="M787" s="1" t="s">
        <v>65</v>
      </c>
      <c r="N787" s="1" t="s">
        <v>105</v>
      </c>
      <c r="O787" s="5" t="n">
        <v>46204.8569444444</v>
      </c>
      <c r="P787" s="5" t="n">
        <v>46204.8569444444</v>
      </c>
      <c r="Q787" s="1" t="n">
        <v>52.9153</v>
      </c>
      <c r="R787" s="1" t="n">
        <v>-69.3511</v>
      </c>
      <c r="S787" s="1" t="s">
        <v>3124</v>
      </c>
      <c r="T787" s="1" t="n">
        <v>2026</v>
      </c>
      <c r="U787" s="1" t="n">
        <v>2026</v>
      </c>
      <c r="V787" s="5" t="n">
        <v>46212.15625</v>
      </c>
      <c r="W787" s="6" t="n">
        <v>46387.9999999884</v>
      </c>
    </row>
    <row r="788" customFormat="false" ht="12.75" hidden="false" customHeight="false" outlineLevel="0" collapsed="false">
      <c r="A788" s="1" t="s">
        <v>3125</v>
      </c>
      <c r="B788" s="1" t="n">
        <v>17416217</v>
      </c>
      <c r="C788" s="1" t="s">
        <v>2793</v>
      </c>
      <c r="E788" s="1" t="s">
        <v>3126</v>
      </c>
      <c r="F788" s="1" t="n">
        <v>508</v>
      </c>
      <c r="G788" s="2" t="s">
        <v>28</v>
      </c>
      <c r="H788" s="1" t="n">
        <v>-1</v>
      </c>
      <c r="I788" s="1" t="n">
        <v>0</v>
      </c>
      <c r="J788" s="1" t="n">
        <v>0</v>
      </c>
      <c r="K788" s="1" t="n">
        <v>-1</v>
      </c>
      <c r="L788" s="2" t="n">
        <v>57.5</v>
      </c>
      <c r="M788" s="1" t="s">
        <v>65</v>
      </c>
      <c r="N788" s="1" t="s">
        <v>105</v>
      </c>
      <c r="O788" s="5" t="n">
        <v>46204.8868055556</v>
      </c>
      <c r="P788" s="5" t="n">
        <v>46204.8868055556</v>
      </c>
      <c r="Q788" s="1" t="n">
        <v>53.2397</v>
      </c>
      <c r="R788" s="1" t="n">
        <v>-68.4775</v>
      </c>
      <c r="S788" s="1" t="s">
        <v>3127</v>
      </c>
      <c r="T788" s="1" t="n">
        <v>2026</v>
      </c>
      <c r="U788" s="1" t="n">
        <v>2026</v>
      </c>
      <c r="V788" s="5" t="n">
        <v>46212.15625</v>
      </c>
      <c r="W788" s="6" t="n">
        <v>46387.9999999884</v>
      </c>
    </row>
    <row r="789" customFormat="false" ht="12.75" hidden="false" customHeight="false" outlineLevel="0" collapsed="false">
      <c r="A789" s="1" t="s">
        <v>3128</v>
      </c>
      <c r="B789" s="1" t="n">
        <v>17415938</v>
      </c>
      <c r="C789" s="1" t="s">
        <v>2793</v>
      </c>
      <c r="E789" s="1" t="s">
        <v>3129</v>
      </c>
      <c r="F789" s="1" t="n">
        <v>254</v>
      </c>
      <c r="G789" s="2" t="s">
        <v>28</v>
      </c>
      <c r="H789" s="1" t="n">
        <v>-1</v>
      </c>
      <c r="I789" s="1" t="n">
        <v>0</v>
      </c>
      <c r="J789" s="1" t="n">
        <v>0</v>
      </c>
      <c r="K789" s="1" t="n">
        <v>-1</v>
      </c>
      <c r="L789" s="2" t="n">
        <v>2111.7</v>
      </c>
      <c r="M789" s="1" t="s">
        <v>65</v>
      </c>
      <c r="N789" s="1" t="s">
        <v>105</v>
      </c>
      <c r="O789" s="5" t="n">
        <v>46196.6659722222</v>
      </c>
      <c r="P789" s="5" t="n">
        <v>46196.6659722222</v>
      </c>
      <c r="Q789" s="1" t="n">
        <v>53.3522</v>
      </c>
      <c r="R789" s="1" t="n">
        <v>-71.7594</v>
      </c>
      <c r="S789" s="1" t="s">
        <v>3130</v>
      </c>
      <c r="T789" s="1" t="n">
        <v>2026</v>
      </c>
      <c r="U789" s="1" t="n">
        <v>2026</v>
      </c>
      <c r="V789" s="5" t="n">
        <v>46212.15625</v>
      </c>
      <c r="W789" s="6" t="n">
        <v>46387.9999999884</v>
      </c>
    </row>
    <row r="790" customFormat="false" ht="12.75" hidden="false" customHeight="false" outlineLevel="0" collapsed="false">
      <c r="A790" s="1" t="s">
        <v>3131</v>
      </c>
      <c r="B790" s="1" t="n">
        <v>17393573</v>
      </c>
      <c r="C790" s="1" t="s">
        <v>2793</v>
      </c>
      <c r="E790" s="1" t="s">
        <v>3132</v>
      </c>
      <c r="F790" s="1" t="n">
        <v>334</v>
      </c>
      <c r="G790" s="2" t="s">
        <v>28</v>
      </c>
      <c r="H790" s="1" t="n">
        <v>-1</v>
      </c>
      <c r="I790" s="1" t="n">
        <v>9</v>
      </c>
      <c r="J790" s="1" t="n">
        <v>0</v>
      </c>
      <c r="K790" s="1" t="n">
        <v>-1</v>
      </c>
      <c r="L790" s="2" t="n">
        <v>11096.2</v>
      </c>
      <c r="M790" s="1" t="s">
        <v>65</v>
      </c>
      <c r="N790" s="1" t="s">
        <v>105</v>
      </c>
      <c r="O790" s="5" t="n">
        <v>46200.7694444444</v>
      </c>
      <c r="P790" s="5" t="n">
        <v>46202.7993055556</v>
      </c>
      <c r="Q790" s="1" t="n">
        <v>54.0478</v>
      </c>
      <c r="R790" s="1" t="n">
        <v>-75.6919</v>
      </c>
      <c r="S790" s="1" t="s">
        <v>3133</v>
      </c>
      <c r="T790" s="1" t="n">
        <v>2026</v>
      </c>
      <c r="U790" s="1" t="n">
        <v>2026</v>
      </c>
      <c r="V790" s="5" t="n">
        <v>46211.78125</v>
      </c>
      <c r="W790" s="6" t="n">
        <v>46387.9999999884</v>
      </c>
    </row>
    <row r="791" customFormat="false" ht="12.75" hidden="false" customHeight="false" outlineLevel="0" collapsed="false">
      <c r="A791" s="1" t="s">
        <v>3134</v>
      </c>
      <c r="B791" s="1" t="n">
        <v>17348246</v>
      </c>
      <c r="C791" s="1" t="s">
        <v>2793</v>
      </c>
      <c r="E791" s="1" t="s">
        <v>3135</v>
      </c>
      <c r="F791" s="1" t="n">
        <v>450</v>
      </c>
      <c r="G791" s="2" t="s">
        <v>28</v>
      </c>
      <c r="H791" s="1" t="n">
        <v>-1</v>
      </c>
      <c r="I791" s="1" t="n">
        <v>6</v>
      </c>
      <c r="J791" s="1" t="n">
        <v>0</v>
      </c>
      <c r="K791" s="1" t="n">
        <v>-1</v>
      </c>
      <c r="L791" s="2" t="n">
        <v>111.2</v>
      </c>
      <c r="M791" s="1" t="s">
        <v>65</v>
      </c>
      <c r="N791" s="1" t="s">
        <v>105</v>
      </c>
      <c r="O791" s="5" t="n">
        <v>46202.7784722222</v>
      </c>
      <c r="P791" s="5" t="n">
        <v>46204.7777777778</v>
      </c>
      <c r="Q791" s="1" t="n">
        <v>53.4681</v>
      </c>
      <c r="R791" s="1" t="n">
        <v>-70.1078</v>
      </c>
      <c r="S791" s="1" t="s">
        <v>3136</v>
      </c>
      <c r="T791" s="1" t="n">
        <v>2026</v>
      </c>
      <c r="U791" s="1" t="n">
        <v>2026</v>
      </c>
      <c r="V791" s="5" t="n">
        <v>46211.15625</v>
      </c>
      <c r="W791" s="6" t="n">
        <v>46387.9999999884</v>
      </c>
    </row>
    <row r="792" customFormat="false" ht="12.75" hidden="false" customHeight="false" outlineLevel="0" collapsed="false">
      <c r="A792" s="1" t="s">
        <v>3137</v>
      </c>
      <c r="B792" s="1" t="n">
        <v>17348247</v>
      </c>
      <c r="C792" s="1" t="s">
        <v>2793</v>
      </c>
      <c r="E792" s="1" t="s">
        <v>3138</v>
      </c>
      <c r="F792" s="1" t="n">
        <v>451</v>
      </c>
      <c r="G792" s="2" t="s">
        <v>28</v>
      </c>
      <c r="H792" s="1" t="n">
        <v>-1</v>
      </c>
      <c r="I792" s="1" t="n">
        <v>3</v>
      </c>
      <c r="J792" s="1" t="n">
        <v>0</v>
      </c>
      <c r="K792" s="1" t="n">
        <v>-1</v>
      </c>
      <c r="L792" s="2" t="n">
        <v>810.3</v>
      </c>
      <c r="M792" s="1" t="s">
        <v>65</v>
      </c>
      <c r="N792" s="1" t="s">
        <v>105</v>
      </c>
      <c r="O792" s="5" t="n">
        <v>46201.7868055556</v>
      </c>
      <c r="P792" s="5" t="n">
        <v>46201.7868055556</v>
      </c>
      <c r="Q792" s="1" t="n">
        <v>53.1319</v>
      </c>
      <c r="R792" s="1" t="n">
        <v>-72.1292</v>
      </c>
      <c r="S792" s="1" t="s">
        <v>3139</v>
      </c>
      <c r="T792" s="1" t="n">
        <v>2026</v>
      </c>
      <c r="U792" s="1" t="n">
        <v>2026</v>
      </c>
      <c r="V792" s="5" t="n">
        <v>46211.15625</v>
      </c>
      <c r="W792" s="6" t="n">
        <v>46387.9999999884</v>
      </c>
    </row>
    <row r="793" customFormat="false" ht="12.75" hidden="false" customHeight="false" outlineLevel="0" collapsed="false">
      <c r="A793" s="1" t="s">
        <v>3140</v>
      </c>
      <c r="B793" s="1" t="n">
        <v>17348252</v>
      </c>
      <c r="C793" s="1" t="s">
        <v>2793</v>
      </c>
      <c r="E793" s="1" t="s">
        <v>3141</v>
      </c>
      <c r="F793" s="1" t="n">
        <v>456</v>
      </c>
      <c r="G793" s="2" t="s">
        <v>28</v>
      </c>
      <c r="H793" s="1" t="n">
        <v>-1</v>
      </c>
      <c r="I793" s="1" t="n">
        <v>4</v>
      </c>
      <c r="J793" s="1" t="n">
        <v>0</v>
      </c>
      <c r="K793" s="1" t="n">
        <v>-1</v>
      </c>
      <c r="L793" s="2" t="n">
        <v>382.7</v>
      </c>
      <c r="M793" s="1" t="s">
        <v>65</v>
      </c>
      <c r="N793" s="1" t="s">
        <v>105</v>
      </c>
      <c r="O793" s="5" t="n">
        <v>46201.8368055556</v>
      </c>
      <c r="P793" s="5" t="n">
        <v>46201.8368055556</v>
      </c>
      <c r="Q793" s="1" t="n">
        <v>53.22</v>
      </c>
      <c r="R793" s="1" t="n">
        <v>-71.2808</v>
      </c>
      <c r="S793" s="1" t="s">
        <v>3142</v>
      </c>
      <c r="T793" s="1" t="n">
        <v>2026</v>
      </c>
      <c r="U793" s="1" t="n">
        <v>2026</v>
      </c>
      <c r="V793" s="5" t="n">
        <v>46211.15625</v>
      </c>
      <c r="W793" s="6" t="n">
        <v>46387.9999999884</v>
      </c>
    </row>
    <row r="794" customFormat="false" ht="12.75" hidden="false" customHeight="false" outlineLevel="0" collapsed="false">
      <c r="A794" s="1" t="s">
        <v>3143</v>
      </c>
      <c r="B794" s="1" t="n">
        <v>17317623</v>
      </c>
      <c r="C794" s="1" t="s">
        <v>2793</v>
      </c>
      <c r="E794" s="1" t="s">
        <v>3144</v>
      </c>
      <c r="F794" s="1" t="n">
        <v>420</v>
      </c>
      <c r="G794" s="2" t="s">
        <v>28</v>
      </c>
      <c r="H794" s="1" t="n">
        <v>-1</v>
      </c>
      <c r="I794" s="1" t="n">
        <v>6</v>
      </c>
      <c r="J794" s="1" t="n">
        <v>0</v>
      </c>
      <c r="K794" s="1" t="n">
        <v>-1</v>
      </c>
      <c r="L794" s="2" t="n">
        <v>182.9</v>
      </c>
      <c r="M794" s="1" t="s">
        <v>65</v>
      </c>
      <c r="N794" s="1" t="s">
        <v>105</v>
      </c>
      <c r="O794" s="5" t="n">
        <v>46202.6020833333</v>
      </c>
      <c r="P794" s="5" t="n">
        <v>46202.6020833333</v>
      </c>
      <c r="Q794" s="1" t="n">
        <v>55.3292</v>
      </c>
      <c r="R794" s="1" t="n">
        <v>-68.4542</v>
      </c>
      <c r="S794" s="1" t="s">
        <v>3145</v>
      </c>
      <c r="T794" s="1" t="n">
        <v>2026</v>
      </c>
      <c r="U794" s="1" t="n">
        <v>2026</v>
      </c>
      <c r="V794" s="5" t="n">
        <v>46210.7395833333</v>
      </c>
      <c r="W794" s="6" t="n">
        <v>46387.9999999884</v>
      </c>
    </row>
    <row r="795" customFormat="false" ht="12.75" hidden="false" customHeight="false" outlineLevel="0" collapsed="false">
      <c r="A795" s="1" t="s">
        <v>3146</v>
      </c>
      <c r="B795" s="1" t="n">
        <v>17317660</v>
      </c>
      <c r="C795" s="1" t="s">
        <v>2793</v>
      </c>
      <c r="E795" s="1" t="s">
        <v>3147</v>
      </c>
      <c r="F795" s="1" t="n">
        <v>455</v>
      </c>
      <c r="G795" s="2" t="s">
        <v>28</v>
      </c>
      <c r="H795" s="1" t="n">
        <v>-1</v>
      </c>
      <c r="I795" s="1" t="n">
        <v>1</v>
      </c>
      <c r="J795" s="1" t="n">
        <v>0</v>
      </c>
      <c r="K795" s="1" t="n">
        <v>-1</v>
      </c>
      <c r="L795" s="2" t="n">
        <v>370.7</v>
      </c>
      <c r="M795" s="1" t="s">
        <v>65</v>
      </c>
      <c r="N795" s="1" t="s">
        <v>105</v>
      </c>
      <c r="O795" s="5" t="n">
        <v>46202.8423611111</v>
      </c>
      <c r="P795" s="5" t="n">
        <v>46202.8423611111</v>
      </c>
      <c r="Q795" s="1" t="n">
        <v>52.0119</v>
      </c>
      <c r="R795" s="1" t="n">
        <v>-62.7633</v>
      </c>
      <c r="S795" s="1" t="s">
        <v>3148</v>
      </c>
      <c r="T795" s="1" t="n">
        <v>2026</v>
      </c>
      <c r="U795" s="1" t="n">
        <v>2026</v>
      </c>
      <c r="V795" s="5" t="n">
        <v>46210.7395833333</v>
      </c>
      <c r="W795" s="6" t="n">
        <v>46387.9999999884</v>
      </c>
    </row>
    <row r="796" customFormat="false" ht="12.75" hidden="false" customHeight="false" outlineLevel="0" collapsed="false">
      <c r="A796" s="1" t="s">
        <v>3149</v>
      </c>
      <c r="B796" s="1" t="n">
        <v>17242697</v>
      </c>
      <c r="C796" s="1" t="s">
        <v>2793</v>
      </c>
      <c r="E796" s="1" t="s">
        <v>3150</v>
      </c>
      <c r="F796" s="1" t="n">
        <v>293</v>
      </c>
      <c r="G796" s="2" t="s">
        <v>28</v>
      </c>
      <c r="H796" s="1" t="n">
        <v>-1</v>
      </c>
      <c r="I796" s="1" t="n">
        <v>2</v>
      </c>
      <c r="J796" s="1" t="n">
        <v>0</v>
      </c>
      <c r="K796" s="1" t="n">
        <v>-1</v>
      </c>
      <c r="L796" s="2" t="n">
        <v>2912.4</v>
      </c>
      <c r="M796" s="1" t="s">
        <v>65</v>
      </c>
      <c r="N796" s="1" t="s">
        <v>105</v>
      </c>
      <c r="O796" s="5" t="n">
        <v>46199.7097222222</v>
      </c>
      <c r="P796" s="5" t="n">
        <v>46201.5458333333</v>
      </c>
      <c r="Q796" s="1" t="n">
        <v>58.0272</v>
      </c>
      <c r="R796" s="1" t="n">
        <v>-67.0631</v>
      </c>
      <c r="S796" s="1" t="s">
        <v>3151</v>
      </c>
      <c r="T796" s="1" t="n">
        <v>2026</v>
      </c>
      <c r="U796" s="1" t="n">
        <v>2026</v>
      </c>
      <c r="V796" s="5" t="n">
        <v>46209.6979166667</v>
      </c>
      <c r="W796" s="6" t="n">
        <v>46387.9999999884</v>
      </c>
    </row>
    <row r="797" customFormat="false" ht="12.75" hidden="false" customHeight="false" outlineLevel="0" collapsed="false">
      <c r="A797" s="1" t="s">
        <v>3152</v>
      </c>
      <c r="B797" s="1" t="n">
        <v>17162803</v>
      </c>
      <c r="C797" s="1" t="s">
        <v>2793</v>
      </c>
      <c r="E797" s="1" t="s">
        <v>3153</v>
      </c>
      <c r="F797" s="1" t="n">
        <v>458</v>
      </c>
      <c r="G797" s="2" t="s">
        <v>28</v>
      </c>
      <c r="H797" s="1" t="n">
        <v>-1</v>
      </c>
      <c r="I797" s="1" t="n">
        <v>4</v>
      </c>
      <c r="J797" s="1" t="n">
        <v>0</v>
      </c>
      <c r="K797" s="1" t="n">
        <v>-1</v>
      </c>
      <c r="L797" s="2" t="n">
        <v>0.1</v>
      </c>
      <c r="M797" s="1" t="s">
        <v>65</v>
      </c>
      <c r="N797" s="1" t="s">
        <v>105</v>
      </c>
      <c r="O797" s="5" t="n">
        <v>46202.7513888889</v>
      </c>
      <c r="P797" s="5" t="n">
        <v>46204.8381944444</v>
      </c>
      <c r="Q797" s="1" t="n">
        <v>53.5675</v>
      </c>
      <c r="R797" s="1" t="n">
        <v>-70.3636</v>
      </c>
      <c r="S797" s="1" t="s">
        <v>3154</v>
      </c>
      <c r="T797" s="1" t="n">
        <v>2026</v>
      </c>
      <c r="U797" s="1" t="n">
        <v>2026</v>
      </c>
      <c r="V797" s="5" t="n">
        <v>46208.5729166667</v>
      </c>
      <c r="W797" s="6" t="n">
        <v>46387.9999999884</v>
      </c>
    </row>
    <row r="798" customFormat="false" ht="12.75" hidden="false" customHeight="false" outlineLevel="0" collapsed="false">
      <c r="A798" s="1" t="s">
        <v>3155</v>
      </c>
      <c r="B798" s="1" t="n">
        <v>17162666</v>
      </c>
      <c r="C798" s="1" t="s">
        <v>2793</v>
      </c>
      <c r="E798" s="1" t="s">
        <v>3156</v>
      </c>
      <c r="F798" s="1" t="n">
        <v>333</v>
      </c>
      <c r="G798" s="2" t="s">
        <v>28</v>
      </c>
      <c r="H798" s="1" t="n">
        <v>-1</v>
      </c>
      <c r="I798" s="1" t="n">
        <v>9</v>
      </c>
      <c r="J798" s="1" t="n">
        <v>0</v>
      </c>
      <c r="K798" s="1" t="n">
        <v>-1</v>
      </c>
      <c r="L798" s="2" t="n">
        <v>9347</v>
      </c>
      <c r="M798" s="1" t="s">
        <v>65</v>
      </c>
      <c r="N798" s="1" t="s">
        <v>105</v>
      </c>
      <c r="O798" s="5" t="n">
        <v>46200.7694444444</v>
      </c>
      <c r="P798" s="5" t="n">
        <v>46202.7993055556</v>
      </c>
      <c r="Q798" s="1" t="n">
        <v>54.0594</v>
      </c>
      <c r="R798" s="1" t="n">
        <v>-76.0681</v>
      </c>
      <c r="S798" s="1" t="s">
        <v>3157</v>
      </c>
      <c r="T798" s="1" t="n">
        <v>2026</v>
      </c>
      <c r="U798" s="1" t="n">
        <v>2026</v>
      </c>
      <c r="V798" s="5" t="n">
        <v>46208.5729166667</v>
      </c>
      <c r="W798" s="6" t="n">
        <v>46387.9999999884</v>
      </c>
    </row>
    <row r="799" customFormat="false" ht="12.75" hidden="false" customHeight="false" outlineLevel="0" collapsed="false">
      <c r="A799" s="1" t="s">
        <v>3158</v>
      </c>
      <c r="B799" s="1" t="n">
        <v>17162831</v>
      </c>
      <c r="C799" s="1" t="s">
        <v>2793</v>
      </c>
      <c r="E799" s="1" t="s">
        <v>3159</v>
      </c>
      <c r="F799" s="1" t="n">
        <v>483</v>
      </c>
      <c r="G799" s="2" t="s">
        <v>28</v>
      </c>
      <c r="H799" s="1" t="n">
        <v>-1</v>
      </c>
      <c r="I799" s="1" t="n">
        <v>4</v>
      </c>
      <c r="J799" s="1" t="n">
        <v>0</v>
      </c>
      <c r="K799" s="1" t="n">
        <v>-1</v>
      </c>
      <c r="L799" s="2" t="n">
        <v>7.2</v>
      </c>
      <c r="M799" s="1" t="s">
        <v>65</v>
      </c>
      <c r="N799" s="1" t="s">
        <v>105</v>
      </c>
      <c r="O799" s="5" t="n">
        <v>46204.3534722222</v>
      </c>
      <c r="P799" s="5" t="n">
        <v>46206.7708333333</v>
      </c>
      <c r="Q799" s="1" t="n">
        <v>51.1803</v>
      </c>
      <c r="R799" s="1" t="n">
        <v>-76.9153</v>
      </c>
      <c r="S799" s="1" t="s">
        <v>3160</v>
      </c>
      <c r="T799" s="1" t="n">
        <v>2026</v>
      </c>
      <c r="U799" s="1" t="n">
        <v>2026</v>
      </c>
      <c r="V799" s="5" t="n">
        <v>46208.5729166667</v>
      </c>
      <c r="W799" s="6" t="n">
        <v>46387.9999999884</v>
      </c>
    </row>
    <row r="800" customFormat="false" ht="12.75" hidden="false" customHeight="false" outlineLevel="0" collapsed="false">
      <c r="A800" s="1" t="s">
        <v>3161</v>
      </c>
      <c r="B800" s="1" t="n">
        <v>17114421</v>
      </c>
      <c r="C800" s="1" t="s">
        <v>2793</v>
      </c>
      <c r="E800" s="1" t="s">
        <v>3162</v>
      </c>
      <c r="F800" s="1" t="n">
        <v>323</v>
      </c>
      <c r="G800" s="2" t="s">
        <v>28</v>
      </c>
      <c r="H800" s="1" t="n">
        <v>-1</v>
      </c>
      <c r="I800" s="1" t="n">
        <v>9</v>
      </c>
      <c r="J800" s="1" t="n">
        <v>0</v>
      </c>
      <c r="K800" s="1" t="n">
        <v>-1</v>
      </c>
      <c r="L800" s="2" t="n">
        <v>237.5</v>
      </c>
      <c r="M800" s="1" t="s">
        <v>65</v>
      </c>
      <c r="N800" s="1" t="s">
        <v>105</v>
      </c>
      <c r="O800" s="5" t="n">
        <v>46200.9256944444</v>
      </c>
      <c r="P800" s="5" t="n">
        <v>46201.9763888889</v>
      </c>
      <c r="Q800" s="1" t="n">
        <v>53.3361</v>
      </c>
      <c r="R800" s="1" t="n">
        <v>-77.635</v>
      </c>
      <c r="S800" s="1" t="s">
        <v>3163</v>
      </c>
      <c r="T800" s="1" t="n">
        <v>2026</v>
      </c>
      <c r="U800" s="1" t="n">
        <v>2026</v>
      </c>
      <c r="V800" s="5" t="n">
        <v>46207.90625</v>
      </c>
      <c r="W800" s="6" t="n">
        <v>46387.9999999884</v>
      </c>
    </row>
    <row r="801" customFormat="false" ht="12.75" hidden="false" customHeight="false" outlineLevel="0" collapsed="false">
      <c r="A801" s="1" t="s">
        <v>3164</v>
      </c>
      <c r="B801" s="1" t="n">
        <v>17094474</v>
      </c>
      <c r="C801" s="1" t="s">
        <v>2793</v>
      </c>
      <c r="E801" s="1" t="s">
        <v>3165</v>
      </c>
      <c r="F801" s="1" t="n">
        <v>382</v>
      </c>
      <c r="G801" s="2" t="s">
        <v>28</v>
      </c>
      <c r="H801" s="1" t="n">
        <v>-1</v>
      </c>
      <c r="I801" s="1" t="n">
        <v>3</v>
      </c>
      <c r="J801" s="1" t="n">
        <v>0</v>
      </c>
      <c r="K801" s="1" t="n">
        <v>-1</v>
      </c>
      <c r="L801" s="2" t="n">
        <v>1181.2</v>
      </c>
      <c r="M801" s="1" t="s">
        <v>65</v>
      </c>
      <c r="N801" s="1" t="s">
        <v>105</v>
      </c>
      <c r="O801" s="5" t="n">
        <v>46202.7173611111</v>
      </c>
      <c r="P801" s="5" t="n">
        <v>46203.6979166667</v>
      </c>
      <c r="Q801" s="1" t="n">
        <v>54.5056</v>
      </c>
      <c r="R801" s="1" t="n">
        <v>-70.1</v>
      </c>
      <c r="S801" s="1" t="s">
        <v>3166</v>
      </c>
      <c r="T801" s="1" t="n">
        <v>2026</v>
      </c>
      <c r="U801" s="1" t="n">
        <v>2026</v>
      </c>
      <c r="V801" s="5" t="n">
        <v>46207.6145833333</v>
      </c>
      <c r="W801" s="6" t="n">
        <v>46387.9999999884</v>
      </c>
    </row>
    <row r="802" customFormat="false" ht="12.75" hidden="false" customHeight="false" outlineLevel="0" collapsed="false">
      <c r="A802" s="1" t="s">
        <v>3167</v>
      </c>
      <c r="B802" s="1" t="n">
        <v>17094445</v>
      </c>
      <c r="C802" s="1" t="s">
        <v>2793</v>
      </c>
      <c r="E802" s="1" t="s">
        <v>3168</v>
      </c>
      <c r="F802" s="1" t="n">
        <v>356</v>
      </c>
      <c r="G802" s="2" t="s">
        <v>28</v>
      </c>
      <c r="H802" s="1" t="n">
        <v>-1</v>
      </c>
      <c r="I802" s="1" t="n">
        <v>4</v>
      </c>
      <c r="J802" s="1" t="n">
        <v>0</v>
      </c>
      <c r="K802" s="1" t="n">
        <v>-1</v>
      </c>
      <c r="L802" s="2" t="n">
        <v>348.2</v>
      </c>
      <c r="M802" s="1" t="s">
        <v>65</v>
      </c>
      <c r="N802" s="1" t="s">
        <v>105</v>
      </c>
      <c r="O802" s="5" t="n">
        <v>46199.7680555556</v>
      </c>
      <c r="P802" s="5" t="n">
        <v>46202.8895833333</v>
      </c>
      <c r="Q802" s="1" t="n">
        <v>51.0414</v>
      </c>
      <c r="R802" s="1" t="n">
        <v>-76.8997</v>
      </c>
      <c r="S802" s="1" t="s">
        <v>3169</v>
      </c>
      <c r="T802" s="1" t="n">
        <v>2026</v>
      </c>
      <c r="U802" s="1" t="n">
        <v>2026</v>
      </c>
      <c r="V802" s="5" t="n">
        <v>46207.6145833333</v>
      </c>
      <c r="W802" s="6" t="n">
        <v>46387.9999999884</v>
      </c>
    </row>
    <row r="803" customFormat="false" ht="12.75" hidden="false" customHeight="false" outlineLevel="0" collapsed="false">
      <c r="A803" s="1" t="s">
        <v>3170</v>
      </c>
      <c r="B803" s="1" t="n">
        <v>17094509</v>
      </c>
      <c r="C803" s="1" t="s">
        <v>2793</v>
      </c>
      <c r="E803" s="1" t="s">
        <v>3171</v>
      </c>
      <c r="F803" s="1" t="n">
        <v>413</v>
      </c>
      <c r="G803" s="2" t="s">
        <v>28</v>
      </c>
      <c r="H803" s="1" t="n">
        <v>-1</v>
      </c>
      <c r="I803" s="1" t="n">
        <v>1</v>
      </c>
      <c r="J803" s="1" t="n">
        <v>0</v>
      </c>
      <c r="K803" s="1" t="n">
        <v>-1</v>
      </c>
      <c r="L803" s="2" t="n">
        <v>-1</v>
      </c>
      <c r="M803" s="1" t="s">
        <v>65</v>
      </c>
      <c r="N803" s="1" t="s">
        <v>105</v>
      </c>
      <c r="O803" s="5" t="n">
        <v>46200.8819444444</v>
      </c>
      <c r="P803" s="5" t="n">
        <v>46205.4958333333</v>
      </c>
      <c r="Q803" s="1" t="n">
        <v>50.0783</v>
      </c>
      <c r="R803" s="1" t="n">
        <v>-79.1022</v>
      </c>
      <c r="S803" s="1" t="s">
        <v>3172</v>
      </c>
      <c r="T803" s="1" t="n">
        <v>2026</v>
      </c>
      <c r="U803" s="1" t="n">
        <v>2026</v>
      </c>
      <c r="V803" s="5" t="n">
        <v>46207.6145833333</v>
      </c>
      <c r="W803" s="6" t="n">
        <v>46387.9999999884</v>
      </c>
    </row>
    <row r="804" customFormat="false" ht="12.75" hidden="false" customHeight="false" outlineLevel="0" collapsed="false">
      <c r="A804" s="1" t="s">
        <v>3173</v>
      </c>
      <c r="B804" s="1" t="n">
        <v>17094431</v>
      </c>
      <c r="C804" s="1" t="s">
        <v>2793</v>
      </c>
      <c r="E804" s="1" t="s">
        <v>3174</v>
      </c>
      <c r="F804" s="1" t="n">
        <v>343</v>
      </c>
      <c r="G804" s="2" t="s">
        <v>28</v>
      </c>
      <c r="H804" s="1" t="n">
        <v>-1</v>
      </c>
      <c r="I804" s="1" t="n">
        <v>3</v>
      </c>
      <c r="J804" s="1" t="n">
        <v>0</v>
      </c>
      <c r="K804" s="1" t="n">
        <v>-1</v>
      </c>
      <c r="L804" s="2" t="n">
        <v>59.4</v>
      </c>
      <c r="M804" s="1" t="s">
        <v>65</v>
      </c>
      <c r="N804" s="1" t="s">
        <v>105</v>
      </c>
      <c r="O804" s="5" t="n">
        <v>46201.0125</v>
      </c>
      <c r="P804" s="5" t="n">
        <v>46202.6729166667</v>
      </c>
      <c r="Q804" s="1" t="n">
        <v>52.8903</v>
      </c>
      <c r="R804" s="1" t="n">
        <v>-76.6339</v>
      </c>
      <c r="S804" s="1" t="s">
        <v>3175</v>
      </c>
      <c r="T804" s="1" t="n">
        <v>2026</v>
      </c>
      <c r="U804" s="1" t="n">
        <v>2026</v>
      </c>
      <c r="V804" s="5" t="n">
        <v>46207.6145833333</v>
      </c>
      <c r="W804" s="6" t="n">
        <v>46387.9999999884</v>
      </c>
    </row>
    <row r="805" customFormat="false" ht="12.75" hidden="false" customHeight="false" outlineLevel="0" collapsed="false">
      <c r="A805" s="1" t="s">
        <v>3176</v>
      </c>
      <c r="B805" s="1" t="n">
        <v>17094415</v>
      </c>
      <c r="C805" s="1" t="s">
        <v>2793</v>
      </c>
      <c r="E805" s="1" t="s">
        <v>3177</v>
      </c>
      <c r="F805" s="1" t="n">
        <v>329</v>
      </c>
      <c r="G805" s="2" t="s">
        <v>28</v>
      </c>
      <c r="H805" s="1" t="n">
        <v>-1</v>
      </c>
      <c r="I805" s="1" t="n">
        <v>16</v>
      </c>
      <c r="J805" s="1" t="n">
        <v>0</v>
      </c>
      <c r="K805" s="1" t="n">
        <v>-1</v>
      </c>
      <c r="L805" s="2" t="n">
        <v>5.9</v>
      </c>
      <c r="M805" s="1" t="s">
        <v>65</v>
      </c>
      <c r="N805" s="1" t="s">
        <v>105</v>
      </c>
      <c r="O805" s="5" t="n">
        <v>46200.9611111111</v>
      </c>
      <c r="P805" s="5" t="n">
        <v>46214.9166666667</v>
      </c>
      <c r="Q805" s="1" t="n">
        <v>53.5297</v>
      </c>
      <c r="R805" s="1" t="n">
        <v>-77.0411</v>
      </c>
      <c r="S805" s="1" t="s">
        <v>3178</v>
      </c>
      <c r="T805" s="1" t="n">
        <v>2026</v>
      </c>
      <c r="U805" s="1" t="n">
        <v>2026</v>
      </c>
      <c r="V805" s="5" t="n">
        <v>46207.6145833333</v>
      </c>
      <c r="W805" s="6" t="n">
        <v>46387.9999999884</v>
      </c>
    </row>
    <row r="806" customFormat="false" ht="12.75" hidden="false" customHeight="false" outlineLevel="0" collapsed="false">
      <c r="A806" s="1" t="s">
        <v>3179</v>
      </c>
      <c r="B806" s="1" t="n">
        <v>17033527</v>
      </c>
      <c r="C806" s="1" t="s">
        <v>2793</v>
      </c>
      <c r="E806" s="1" t="s">
        <v>3180</v>
      </c>
      <c r="F806" s="1" t="n">
        <v>241</v>
      </c>
      <c r="G806" s="2" t="s">
        <v>28</v>
      </c>
      <c r="H806" s="1" t="n">
        <v>-1</v>
      </c>
      <c r="I806" s="1" t="n">
        <v>2</v>
      </c>
      <c r="J806" s="1" t="n">
        <v>0</v>
      </c>
      <c r="K806" s="1" t="n">
        <v>-1</v>
      </c>
      <c r="L806" s="2" t="n">
        <v>2723.6</v>
      </c>
      <c r="M806" s="1" t="s">
        <v>65</v>
      </c>
      <c r="N806" s="1" t="s">
        <v>105</v>
      </c>
      <c r="O806" s="5" t="n">
        <v>46195.7527777778</v>
      </c>
      <c r="P806" s="5" t="n">
        <v>46195.9486111111</v>
      </c>
      <c r="Q806" s="1" t="n">
        <v>53.8892</v>
      </c>
      <c r="R806" s="1" t="n">
        <v>-75.7694</v>
      </c>
      <c r="S806" s="1" t="s">
        <v>3181</v>
      </c>
      <c r="T806" s="1" t="n">
        <v>2026</v>
      </c>
      <c r="U806" s="1" t="n">
        <v>2026</v>
      </c>
      <c r="V806" s="5" t="n">
        <v>46206.7395833333</v>
      </c>
      <c r="W806" s="6" t="n">
        <v>46387.9999999884</v>
      </c>
    </row>
    <row r="807" customFormat="false" ht="12.75" hidden="false" customHeight="false" outlineLevel="0" collapsed="false">
      <c r="A807" s="1" t="s">
        <v>3182</v>
      </c>
      <c r="B807" s="1" t="n">
        <v>16769074</v>
      </c>
      <c r="C807" s="1" t="s">
        <v>2793</v>
      </c>
      <c r="E807" s="1" t="s">
        <v>3183</v>
      </c>
      <c r="F807" s="1" t="n">
        <v>225</v>
      </c>
      <c r="G807" s="2" t="s">
        <v>28</v>
      </c>
      <c r="H807" s="1" t="n">
        <v>-1</v>
      </c>
      <c r="I807" s="1" t="n">
        <v>0</v>
      </c>
      <c r="J807" s="1" t="n">
        <v>0</v>
      </c>
      <c r="K807" s="1" t="n">
        <v>-1</v>
      </c>
      <c r="L807" s="2" t="n">
        <v>23123.7</v>
      </c>
      <c r="M807" s="1" t="s">
        <v>65</v>
      </c>
      <c r="N807" s="1" t="s">
        <v>105</v>
      </c>
      <c r="O807" s="5" t="n">
        <v>46192.8215277778</v>
      </c>
      <c r="P807" s="5" t="n">
        <v>46192.8215277778</v>
      </c>
      <c r="Q807" s="1" t="n">
        <v>53.97</v>
      </c>
      <c r="R807" s="1" t="n">
        <v>-75.1828</v>
      </c>
      <c r="S807" s="1" t="s">
        <v>3184</v>
      </c>
      <c r="T807" s="1" t="n">
        <v>2026</v>
      </c>
      <c r="U807" s="1" t="n">
        <v>2026</v>
      </c>
      <c r="V807" s="5" t="n">
        <v>46202.8645833333</v>
      </c>
      <c r="W807" s="6" t="n">
        <v>46387.9999999884</v>
      </c>
    </row>
    <row r="808" customFormat="false" ht="12.75" hidden="false" customHeight="false" outlineLevel="0" collapsed="false">
      <c r="A808" s="1" t="s">
        <v>3185</v>
      </c>
      <c r="B808" s="1" t="n">
        <v>16757383</v>
      </c>
      <c r="C808" s="1" t="s">
        <v>2793</v>
      </c>
      <c r="E808" s="1" t="s">
        <v>3186</v>
      </c>
      <c r="F808" s="1" t="n">
        <v>224</v>
      </c>
      <c r="G808" s="2" t="s">
        <v>28</v>
      </c>
      <c r="H808" s="1" t="n">
        <v>-1</v>
      </c>
      <c r="I808" s="1" t="n">
        <v>0</v>
      </c>
      <c r="J808" s="1" t="n">
        <v>0</v>
      </c>
      <c r="K808" s="1" t="n">
        <v>-1</v>
      </c>
      <c r="L808" s="2" t="n">
        <v>1493.6</v>
      </c>
      <c r="M808" s="1" t="s">
        <v>65</v>
      </c>
      <c r="N808" s="1" t="s">
        <v>105</v>
      </c>
      <c r="O808" s="5" t="n">
        <v>46192.8152777778</v>
      </c>
      <c r="P808" s="5" t="n">
        <v>46193.6840277778</v>
      </c>
      <c r="Q808" s="1" t="n">
        <v>52.7825</v>
      </c>
      <c r="R808" s="1" t="n">
        <v>-78.0136</v>
      </c>
      <c r="S808" s="1" t="s">
        <v>3187</v>
      </c>
      <c r="T808" s="1" t="n">
        <v>2026</v>
      </c>
      <c r="U808" s="1" t="n">
        <v>2026</v>
      </c>
      <c r="V808" s="5" t="n">
        <v>46202.65625</v>
      </c>
      <c r="W808" s="6" t="n">
        <v>46387.9999999884</v>
      </c>
    </row>
    <row r="809" customFormat="false" ht="12.75" hidden="false" customHeight="false" outlineLevel="0" collapsed="false">
      <c r="A809" s="1" t="s">
        <v>3188</v>
      </c>
      <c r="B809" s="1" t="n">
        <v>16608696</v>
      </c>
      <c r="C809" s="1" t="s">
        <v>2793</v>
      </c>
      <c r="E809" s="1" t="s">
        <v>3189</v>
      </c>
      <c r="F809" s="1" t="n">
        <v>260</v>
      </c>
      <c r="G809" s="2" t="s">
        <v>28</v>
      </c>
      <c r="H809" s="1" t="n">
        <v>-1</v>
      </c>
      <c r="I809" s="1" t="n">
        <v>3</v>
      </c>
      <c r="J809" s="1" t="n">
        <v>0</v>
      </c>
      <c r="K809" s="1" t="n">
        <v>-1</v>
      </c>
      <c r="L809" s="2" t="n">
        <v>103.3</v>
      </c>
      <c r="M809" s="1" t="s">
        <v>65</v>
      </c>
      <c r="N809" s="1" t="s">
        <v>105</v>
      </c>
      <c r="O809" s="5" t="n">
        <v>46198.5</v>
      </c>
      <c r="P809" s="5" t="n">
        <v>46198.6895833333</v>
      </c>
      <c r="Q809" s="1" t="n">
        <v>53.8883</v>
      </c>
      <c r="R809" s="1" t="n">
        <v>-72.1561</v>
      </c>
      <c r="S809" s="1" t="s">
        <v>3190</v>
      </c>
      <c r="T809" s="1" t="n">
        <v>2026</v>
      </c>
      <c r="U809" s="1" t="n">
        <v>2026</v>
      </c>
      <c r="V809" s="5" t="n">
        <v>46200.1145833333</v>
      </c>
      <c r="W809" s="6" t="n">
        <v>46387.9999999884</v>
      </c>
    </row>
    <row r="810" customFormat="false" ht="12.75" hidden="false" customHeight="false" outlineLevel="0" collapsed="false">
      <c r="A810" s="1" t="s">
        <v>3191</v>
      </c>
      <c r="B810" s="1" t="n">
        <v>16503902</v>
      </c>
      <c r="C810" s="1" t="s">
        <v>2793</v>
      </c>
      <c r="E810" s="1" t="s">
        <v>3192</v>
      </c>
      <c r="F810" s="1" t="n">
        <v>245</v>
      </c>
      <c r="G810" s="2" t="s">
        <v>28</v>
      </c>
      <c r="H810" s="1" t="n">
        <v>-1</v>
      </c>
      <c r="I810" s="1" t="n">
        <v>1</v>
      </c>
      <c r="J810" s="1" t="n">
        <v>0</v>
      </c>
      <c r="K810" s="1" t="n">
        <v>-1</v>
      </c>
      <c r="L810" s="2" t="n">
        <v>1220.4</v>
      </c>
      <c r="M810" s="1" t="s">
        <v>65</v>
      </c>
      <c r="N810" s="1" t="s">
        <v>105</v>
      </c>
      <c r="O810" s="5" t="n">
        <v>45100.5</v>
      </c>
      <c r="P810" s="5" t="n">
        <v>46196.7986111111</v>
      </c>
      <c r="Q810" s="1" t="n">
        <v>53.8775</v>
      </c>
      <c r="R810" s="1" t="n">
        <v>-72.8983</v>
      </c>
      <c r="S810" s="1" t="s">
        <v>3029</v>
      </c>
      <c r="T810" s="1" t="n">
        <v>2023</v>
      </c>
      <c r="U810" s="1" t="n">
        <v>2026</v>
      </c>
      <c r="V810" s="5" t="n">
        <v>46198.0729166667</v>
      </c>
      <c r="W810" s="6" t="n">
        <v>46387.9999999884</v>
      </c>
    </row>
    <row r="811" customFormat="false" ht="12.75" hidden="false" customHeight="false" outlineLevel="0" collapsed="false">
      <c r="A811" s="1" t="s">
        <v>3193</v>
      </c>
      <c r="B811" s="1" t="n">
        <v>16482225</v>
      </c>
      <c r="C811" s="1" t="s">
        <v>2793</v>
      </c>
      <c r="E811" s="1" t="s">
        <v>3194</v>
      </c>
      <c r="F811" s="1" t="n">
        <v>246</v>
      </c>
      <c r="G811" s="2" t="s">
        <v>28</v>
      </c>
      <c r="H811" s="1" t="n">
        <v>-1</v>
      </c>
      <c r="I811" s="1" t="n">
        <v>0</v>
      </c>
      <c r="J811" s="1" t="n">
        <v>0</v>
      </c>
      <c r="K811" s="1" t="n">
        <v>-1</v>
      </c>
      <c r="L811" s="2" t="n">
        <v>4.7</v>
      </c>
      <c r="M811" s="1" t="s">
        <v>65</v>
      </c>
      <c r="N811" s="1" t="s">
        <v>105</v>
      </c>
      <c r="O811" s="5" t="n">
        <v>45100.5</v>
      </c>
      <c r="P811" s="5" t="n">
        <v>46196.8770833333</v>
      </c>
      <c r="Q811" s="1" t="n">
        <v>55.1556</v>
      </c>
      <c r="R811" s="1" t="n">
        <v>-71.2486</v>
      </c>
      <c r="S811" s="1" t="s">
        <v>3121</v>
      </c>
      <c r="T811" s="1" t="n">
        <v>2023</v>
      </c>
      <c r="U811" s="1" t="n">
        <v>2026</v>
      </c>
      <c r="V811" s="5" t="n">
        <v>46197.6145833333</v>
      </c>
      <c r="W811" s="6" t="n">
        <v>46387.9999999884</v>
      </c>
    </row>
    <row r="812" customFormat="false" ht="12.75" hidden="false" customHeight="false" outlineLevel="0" collapsed="false">
      <c r="A812" s="1" t="s">
        <v>3195</v>
      </c>
      <c r="B812" s="1" t="n">
        <v>14804438</v>
      </c>
      <c r="C812" s="1" t="s">
        <v>2793</v>
      </c>
      <c r="E812" s="1" t="s">
        <v>3196</v>
      </c>
      <c r="F812" s="1" t="n">
        <v>165</v>
      </c>
      <c r="G812" s="2" t="s">
        <v>84</v>
      </c>
      <c r="H812" s="1" t="n">
        <v>-1</v>
      </c>
      <c r="I812" s="1" t="n">
        <v>0</v>
      </c>
      <c r="J812" s="1" t="n">
        <v>0</v>
      </c>
      <c r="K812" s="1" t="n">
        <v>-1</v>
      </c>
      <c r="L812" s="2" t="n">
        <v>0.8</v>
      </c>
      <c r="M812" s="1" t="s">
        <v>29</v>
      </c>
      <c r="N812" s="1" t="s">
        <v>37</v>
      </c>
      <c r="O812" s="5" t="n">
        <v>43977.9388888889</v>
      </c>
      <c r="P812" s="5" t="n">
        <v>46169.7847222222</v>
      </c>
      <c r="Q812" s="1" t="n">
        <v>45.9136</v>
      </c>
      <c r="R812" s="1" t="n">
        <v>-75.7269</v>
      </c>
      <c r="S812" s="1" t="s">
        <v>3197</v>
      </c>
      <c r="T812" s="1" t="n">
        <v>2020</v>
      </c>
      <c r="U812" s="1" t="n">
        <v>2026</v>
      </c>
      <c r="V812" s="5" t="n">
        <v>46169.8229166667</v>
      </c>
      <c r="W812" s="6" t="n">
        <v>46387.9999999884</v>
      </c>
    </row>
    <row r="813" customFormat="false" ht="12.75" hidden="false" customHeight="false" outlineLevel="0" collapsed="false">
      <c r="A813" s="1" t="s">
        <v>3198</v>
      </c>
      <c r="B813" s="1" t="n">
        <v>18449588</v>
      </c>
      <c r="C813" s="1" t="s">
        <v>3199</v>
      </c>
      <c r="D813" s="1" t="s">
        <v>3200</v>
      </c>
      <c r="E813" s="1" t="s">
        <v>3201</v>
      </c>
      <c r="F813" s="1" t="s">
        <v>3202</v>
      </c>
      <c r="G813" s="2" t="s">
        <v>28</v>
      </c>
      <c r="H813" s="1" t="n">
        <v>-1</v>
      </c>
      <c r="I813" s="1" t="n">
        <v>-1</v>
      </c>
      <c r="J813" s="1" t="n">
        <v>0</v>
      </c>
      <c r="K813" s="1" t="n">
        <v>-1</v>
      </c>
      <c r="L813" s="2" t="n">
        <v>19513</v>
      </c>
      <c r="M813" s="1" t="s">
        <v>70</v>
      </c>
      <c r="N813" s="1" t="s">
        <v>105</v>
      </c>
      <c r="O813" s="5" t="n">
        <v>46175.8680555556</v>
      </c>
      <c r="P813" s="5" t="n">
        <v>46224.08125</v>
      </c>
      <c r="Q813" s="1" t="n">
        <v>55.2883</v>
      </c>
      <c r="R813" s="1" t="n">
        <v>-101.908</v>
      </c>
      <c r="S813" s="1" t="s">
        <v>3203</v>
      </c>
      <c r="T813" s="1" t="n">
        <v>2026</v>
      </c>
      <c r="U813" s="1" t="n">
        <v>2026</v>
      </c>
      <c r="V813" s="5" t="n">
        <v>46224.6979166667</v>
      </c>
      <c r="W813" s="6" t="n">
        <v>46387.9999999884</v>
      </c>
    </row>
    <row r="814" customFormat="false" ht="12.75" hidden="false" customHeight="false" outlineLevel="0" collapsed="false">
      <c r="A814" s="1" t="s">
        <v>3204</v>
      </c>
      <c r="B814" s="1" t="n">
        <v>18442913</v>
      </c>
      <c r="C814" s="1" t="s">
        <v>3199</v>
      </c>
      <c r="D814" s="1" t="s">
        <v>3205</v>
      </c>
      <c r="E814" s="1" t="s">
        <v>3206</v>
      </c>
      <c r="F814" s="1" t="s">
        <v>3207</v>
      </c>
      <c r="G814" s="2" t="s">
        <v>28</v>
      </c>
      <c r="H814" s="1" t="n">
        <v>-1</v>
      </c>
      <c r="I814" s="1" t="n">
        <v>-1</v>
      </c>
      <c r="J814" s="1" t="n">
        <v>0</v>
      </c>
      <c r="K814" s="1" t="n">
        <v>-1</v>
      </c>
      <c r="L814" s="2" t="n">
        <v>2615</v>
      </c>
      <c r="M814" s="1" t="s">
        <v>29</v>
      </c>
      <c r="N814" s="1" t="s">
        <v>37</v>
      </c>
      <c r="O814" s="5" t="n">
        <v>46198.9895833333</v>
      </c>
      <c r="P814" s="5" t="n">
        <v>46223.8729166667</v>
      </c>
      <c r="Q814" s="1" t="n">
        <v>54.5784</v>
      </c>
      <c r="R814" s="1" t="n">
        <v>-104.7138</v>
      </c>
      <c r="S814" s="1" t="s">
        <v>3208</v>
      </c>
      <c r="T814" s="1" t="n">
        <v>2026</v>
      </c>
      <c r="U814" s="1" t="n">
        <v>2026</v>
      </c>
      <c r="V814" s="5" t="n">
        <v>46224.6145833333</v>
      </c>
      <c r="W814" s="6" t="n">
        <v>46387.9999999884</v>
      </c>
    </row>
    <row r="815" customFormat="false" ht="12.75" hidden="false" customHeight="false" outlineLevel="0" collapsed="false">
      <c r="A815" s="1" t="s">
        <v>3209</v>
      </c>
      <c r="B815" s="1" t="n">
        <v>18399827</v>
      </c>
      <c r="C815" s="1" t="s">
        <v>3199</v>
      </c>
      <c r="D815" s="1" t="s">
        <v>3200</v>
      </c>
      <c r="E815" s="1" t="s">
        <v>3210</v>
      </c>
      <c r="F815" s="1" t="s">
        <v>3211</v>
      </c>
      <c r="G815" s="2" t="s">
        <v>28</v>
      </c>
      <c r="H815" s="1" t="n">
        <v>-1</v>
      </c>
      <c r="I815" s="1" t="n">
        <v>-1</v>
      </c>
      <c r="J815" s="1" t="n">
        <v>0</v>
      </c>
      <c r="K815" s="1" t="n">
        <v>-1</v>
      </c>
      <c r="L815" s="2" t="n">
        <v>1</v>
      </c>
      <c r="M815" s="1" t="s">
        <v>70</v>
      </c>
      <c r="N815" s="1" t="s">
        <v>105</v>
      </c>
      <c r="O815" s="5" t="n">
        <v>46221.8173611111</v>
      </c>
      <c r="P815" s="5" t="n">
        <v>46224.0743055556</v>
      </c>
      <c r="Q815" s="1" t="n">
        <v>54.884</v>
      </c>
      <c r="R815" s="1" t="n">
        <v>-102.9111</v>
      </c>
      <c r="S815" s="1" t="s">
        <v>3212</v>
      </c>
      <c r="T815" s="1" t="n">
        <v>2026</v>
      </c>
      <c r="U815" s="1" t="n">
        <v>2026</v>
      </c>
      <c r="V815" s="5" t="n">
        <v>46224.1145833333</v>
      </c>
      <c r="W815" s="6" t="n">
        <v>46387.9999999884</v>
      </c>
    </row>
    <row r="816" customFormat="false" ht="12.75" hidden="false" customHeight="false" outlineLevel="0" collapsed="false">
      <c r="A816" s="1" t="s">
        <v>3213</v>
      </c>
      <c r="B816" s="1" t="n">
        <v>18399917</v>
      </c>
      <c r="C816" s="1" t="s">
        <v>3199</v>
      </c>
      <c r="D816" s="1" t="s">
        <v>3214</v>
      </c>
      <c r="E816" s="1" t="s">
        <v>3215</v>
      </c>
      <c r="F816" s="1" t="s">
        <v>3216</v>
      </c>
      <c r="G816" s="2" t="s">
        <v>28</v>
      </c>
      <c r="H816" s="1" t="n">
        <v>-1</v>
      </c>
      <c r="I816" s="1" t="n">
        <v>-1</v>
      </c>
      <c r="J816" s="1" t="n">
        <v>0</v>
      </c>
      <c r="K816" s="1" t="n">
        <v>-1</v>
      </c>
      <c r="L816" s="2" t="n">
        <v>37</v>
      </c>
      <c r="M816" s="1" t="s">
        <v>29</v>
      </c>
      <c r="N816" s="1" t="s">
        <v>105</v>
      </c>
      <c r="O816" s="5" t="n">
        <v>46211.8534722222</v>
      </c>
      <c r="P816" s="5" t="n">
        <v>46224.0979166667</v>
      </c>
      <c r="Q816" s="1" t="n">
        <v>55.0063</v>
      </c>
      <c r="R816" s="1" t="n">
        <v>-105.6375</v>
      </c>
      <c r="S816" s="1" t="s">
        <v>3217</v>
      </c>
      <c r="T816" s="1" t="n">
        <v>2026</v>
      </c>
      <c r="U816" s="1" t="n">
        <v>2026</v>
      </c>
      <c r="V816" s="5" t="n">
        <v>46224.1145833333</v>
      </c>
      <c r="W816" s="6" t="n">
        <v>46387.9999999884</v>
      </c>
    </row>
    <row r="817" customFormat="false" ht="12.75" hidden="false" customHeight="false" outlineLevel="0" collapsed="false">
      <c r="A817" s="1" t="s">
        <v>3218</v>
      </c>
      <c r="B817" s="1" t="n">
        <v>18399869</v>
      </c>
      <c r="C817" s="1" t="s">
        <v>3199</v>
      </c>
      <c r="D817" s="1" t="s">
        <v>3200</v>
      </c>
      <c r="E817" s="1" t="s">
        <v>3219</v>
      </c>
      <c r="F817" s="1" t="s">
        <v>3220</v>
      </c>
      <c r="G817" s="2" t="s">
        <v>84</v>
      </c>
      <c r="H817" s="1" t="n">
        <v>-1</v>
      </c>
      <c r="I817" s="1" t="n">
        <v>-1</v>
      </c>
      <c r="J817" s="1" t="n">
        <v>0</v>
      </c>
      <c r="K817" s="1" t="n">
        <v>-1</v>
      </c>
      <c r="L817" s="2" t="n">
        <v>1</v>
      </c>
      <c r="M817" s="1" t="s">
        <v>70</v>
      </c>
      <c r="N817" s="1" t="s">
        <v>105</v>
      </c>
      <c r="O817" s="5" t="n">
        <v>46221.8625</v>
      </c>
      <c r="P817" s="5" t="n">
        <v>46224.0715277778</v>
      </c>
      <c r="Q817" s="1" t="n">
        <v>55.5397</v>
      </c>
      <c r="R817" s="1" t="n">
        <v>-102.308</v>
      </c>
      <c r="S817" s="1" t="s">
        <v>3221</v>
      </c>
      <c r="T817" s="1" t="n">
        <v>2026</v>
      </c>
      <c r="U817" s="1" t="n">
        <v>2026</v>
      </c>
      <c r="V817" s="5" t="n">
        <v>46224.1145833333</v>
      </c>
      <c r="W817" s="6" t="n">
        <v>46387.9999999884</v>
      </c>
    </row>
    <row r="818" customFormat="false" ht="12.75" hidden="false" customHeight="false" outlineLevel="0" collapsed="false">
      <c r="A818" s="1" t="s">
        <v>3222</v>
      </c>
      <c r="B818" s="1" t="n">
        <v>18396299</v>
      </c>
      <c r="C818" s="1" t="s">
        <v>3199</v>
      </c>
      <c r="D818" s="1" t="s">
        <v>3214</v>
      </c>
      <c r="E818" s="1" t="s">
        <v>3223</v>
      </c>
      <c r="F818" s="1" t="s">
        <v>3224</v>
      </c>
      <c r="G818" s="2" t="s">
        <v>28</v>
      </c>
      <c r="H818" s="1" t="n">
        <v>-1</v>
      </c>
      <c r="I818" s="1" t="n">
        <v>-1</v>
      </c>
      <c r="J818" s="1" t="n">
        <v>0</v>
      </c>
      <c r="K818" s="1" t="n">
        <v>-1</v>
      </c>
      <c r="L818" s="2" t="n">
        <v>0.5</v>
      </c>
      <c r="M818" s="1" t="s">
        <v>70</v>
      </c>
      <c r="N818" s="1" t="s">
        <v>105</v>
      </c>
      <c r="O818" s="5" t="n">
        <v>46224.0152777778</v>
      </c>
      <c r="P818" s="5" t="n">
        <v>46224.1430555556</v>
      </c>
      <c r="Q818" s="1" t="n">
        <v>55.5959</v>
      </c>
      <c r="R818" s="1" t="n">
        <v>-104.8423</v>
      </c>
      <c r="S818" s="1" t="s">
        <v>3225</v>
      </c>
      <c r="T818" s="1" t="n">
        <v>2026</v>
      </c>
      <c r="U818" s="1" t="n">
        <v>2026</v>
      </c>
      <c r="V818" s="5" t="n">
        <v>46224.0729166667</v>
      </c>
      <c r="W818" s="6" t="n">
        <v>46387.9999999884</v>
      </c>
    </row>
    <row r="819" customFormat="false" ht="12.75" hidden="false" customHeight="false" outlineLevel="0" collapsed="false">
      <c r="A819" s="1" t="s">
        <v>3226</v>
      </c>
      <c r="B819" s="1" t="n">
        <v>18392841</v>
      </c>
      <c r="C819" s="1" t="s">
        <v>3199</v>
      </c>
      <c r="D819" s="1" t="s">
        <v>3227</v>
      </c>
      <c r="E819" s="1" t="s">
        <v>3228</v>
      </c>
      <c r="F819" s="1" t="s">
        <v>3229</v>
      </c>
      <c r="G819" s="2" t="s">
        <v>28</v>
      </c>
      <c r="H819" s="1" t="n">
        <v>-1</v>
      </c>
      <c r="I819" s="1" t="n">
        <v>-1</v>
      </c>
      <c r="J819" s="1" t="n">
        <v>0</v>
      </c>
      <c r="K819" s="1" t="n">
        <v>-1</v>
      </c>
      <c r="L819" s="2" t="n">
        <v>12</v>
      </c>
      <c r="M819" s="1" t="s">
        <v>29</v>
      </c>
      <c r="N819" s="1" t="s">
        <v>37</v>
      </c>
      <c r="O819" s="5" t="n">
        <v>46216.9506944444</v>
      </c>
      <c r="P819" s="5" t="n">
        <v>46224.0069444444</v>
      </c>
      <c r="Q819" s="1" t="n">
        <v>55.6557</v>
      </c>
      <c r="R819" s="1" t="n">
        <v>-106.544</v>
      </c>
      <c r="S819" s="1" t="s">
        <v>3230</v>
      </c>
      <c r="T819" s="1" t="n">
        <v>2026</v>
      </c>
      <c r="U819" s="1" t="n">
        <v>2026</v>
      </c>
      <c r="V819" s="5" t="n">
        <v>46224.03125</v>
      </c>
      <c r="W819" s="6" t="n">
        <v>46387.9999999884</v>
      </c>
    </row>
    <row r="820" customFormat="false" ht="12.75" hidden="false" customHeight="false" outlineLevel="0" collapsed="false">
      <c r="A820" s="1" t="s">
        <v>3231</v>
      </c>
      <c r="B820" s="1" t="n">
        <v>18392646</v>
      </c>
      <c r="C820" s="1" t="s">
        <v>3199</v>
      </c>
      <c r="D820" s="1" t="s">
        <v>3232</v>
      </c>
      <c r="E820" s="1" t="s">
        <v>3233</v>
      </c>
      <c r="F820" s="1" t="s">
        <v>3234</v>
      </c>
      <c r="G820" s="2" t="s">
        <v>28</v>
      </c>
      <c r="H820" s="1" t="n">
        <v>-1</v>
      </c>
      <c r="I820" s="1" t="n">
        <v>-1</v>
      </c>
      <c r="J820" s="1" t="n">
        <v>0</v>
      </c>
      <c r="K820" s="1" t="n">
        <v>-1</v>
      </c>
      <c r="L820" s="2" t="n">
        <v>6</v>
      </c>
      <c r="M820" s="1" t="s">
        <v>70</v>
      </c>
      <c r="N820" s="1" t="s">
        <v>105</v>
      </c>
      <c r="O820" s="5" t="n">
        <v>46218.8666666667</v>
      </c>
      <c r="P820" s="5" t="n">
        <v>46224.0055555556</v>
      </c>
      <c r="Q820" s="1" t="n">
        <v>57.6085</v>
      </c>
      <c r="R820" s="1" t="n">
        <v>-109.6453</v>
      </c>
      <c r="S820" s="1" t="s">
        <v>3235</v>
      </c>
      <c r="T820" s="1" t="n">
        <v>2026</v>
      </c>
      <c r="U820" s="1" t="n">
        <v>2026</v>
      </c>
      <c r="V820" s="5" t="n">
        <v>46224.03125</v>
      </c>
      <c r="W820" s="6" t="n">
        <v>46387.9999999884</v>
      </c>
    </row>
    <row r="821" customFormat="false" ht="12.75" hidden="false" customHeight="false" outlineLevel="0" collapsed="false">
      <c r="A821" s="1" t="s">
        <v>3236</v>
      </c>
      <c r="B821" s="1" t="n">
        <v>18392815</v>
      </c>
      <c r="C821" s="1" t="s">
        <v>3199</v>
      </c>
      <c r="D821" s="1" t="s">
        <v>3214</v>
      </c>
      <c r="E821" s="1" t="s">
        <v>3237</v>
      </c>
      <c r="F821" s="1" t="s">
        <v>3238</v>
      </c>
      <c r="G821" s="2" t="s">
        <v>28</v>
      </c>
      <c r="H821" s="1" t="n">
        <v>-1</v>
      </c>
      <c r="I821" s="1" t="n">
        <v>-1</v>
      </c>
      <c r="J821" s="1" t="n">
        <v>0</v>
      </c>
      <c r="K821" s="1" t="n">
        <v>-1</v>
      </c>
      <c r="L821" s="2" t="n">
        <v>50</v>
      </c>
      <c r="M821" s="1" t="s">
        <v>70</v>
      </c>
      <c r="N821" s="1" t="s">
        <v>105</v>
      </c>
      <c r="O821" s="5" t="n">
        <v>46219.0361111111</v>
      </c>
      <c r="P821" s="5" t="n">
        <v>46224.0263888889</v>
      </c>
      <c r="Q821" s="1" t="n">
        <v>56.5269</v>
      </c>
      <c r="R821" s="1" t="n">
        <v>-106.0008</v>
      </c>
      <c r="S821" s="1" t="s">
        <v>3239</v>
      </c>
      <c r="T821" s="1" t="n">
        <v>2026</v>
      </c>
      <c r="U821" s="1" t="n">
        <v>2026</v>
      </c>
      <c r="V821" s="5" t="n">
        <v>46224.03125</v>
      </c>
      <c r="W821" s="6" t="n">
        <v>46387.9999999884</v>
      </c>
    </row>
    <row r="822" customFormat="false" ht="12.75" hidden="false" customHeight="false" outlineLevel="0" collapsed="false">
      <c r="A822" s="1" t="s">
        <v>3240</v>
      </c>
      <c r="B822" s="1" t="n">
        <v>18381993</v>
      </c>
      <c r="C822" s="1" t="s">
        <v>3199</v>
      </c>
      <c r="D822" s="1" t="s">
        <v>3214</v>
      </c>
      <c r="E822" s="1" t="s">
        <v>3241</v>
      </c>
      <c r="F822" s="1" t="s">
        <v>3242</v>
      </c>
      <c r="G822" s="2" t="s">
        <v>28</v>
      </c>
      <c r="H822" s="1" t="n">
        <v>-1</v>
      </c>
      <c r="I822" s="1" t="n">
        <v>-1</v>
      </c>
      <c r="J822" s="1" t="n">
        <v>0</v>
      </c>
      <c r="K822" s="1" t="n">
        <v>-1</v>
      </c>
      <c r="L822" s="2" t="n">
        <v>13</v>
      </c>
      <c r="M822" s="1" t="s">
        <v>70</v>
      </c>
      <c r="N822" s="1" t="s">
        <v>37</v>
      </c>
      <c r="O822" s="5" t="n">
        <v>46221.0645833333</v>
      </c>
      <c r="P822" s="5" t="n">
        <v>46224.1138888889</v>
      </c>
      <c r="Q822" s="1" t="n">
        <v>55.6526</v>
      </c>
      <c r="R822" s="1" t="n">
        <v>-104.5808</v>
      </c>
      <c r="S822" s="1" t="s">
        <v>3243</v>
      </c>
      <c r="T822" s="1" t="n">
        <v>2026</v>
      </c>
      <c r="U822" s="1" t="n">
        <v>2026</v>
      </c>
      <c r="V822" s="5" t="n">
        <v>46223.90625</v>
      </c>
      <c r="W822" s="6" t="n">
        <v>46387.9999999884</v>
      </c>
    </row>
    <row r="823" customFormat="false" ht="12.75" hidden="false" customHeight="false" outlineLevel="0" collapsed="false">
      <c r="A823" s="1" t="s">
        <v>3244</v>
      </c>
      <c r="B823" s="1" t="n">
        <v>18310588</v>
      </c>
      <c r="C823" s="1" t="s">
        <v>3199</v>
      </c>
      <c r="D823" s="1" t="s">
        <v>3214</v>
      </c>
      <c r="E823" s="1" t="s">
        <v>3245</v>
      </c>
      <c r="F823" s="1" t="s">
        <v>3246</v>
      </c>
      <c r="G823" s="2" t="s">
        <v>28</v>
      </c>
      <c r="H823" s="1" t="n">
        <v>-1</v>
      </c>
      <c r="I823" s="1" t="n">
        <v>-1</v>
      </c>
      <c r="J823" s="1" t="n">
        <v>0</v>
      </c>
      <c r="K823" s="1" t="n">
        <v>-1</v>
      </c>
      <c r="L823" s="2" t="n">
        <v>0.8</v>
      </c>
      <c r="M823" s="1" t="s">
        <v>29</v>
      </c>
      <c r="N823" s="1" t="s">
        <v>105</v>
      </c>
      <c r="O823" s="5" t="n">
        <v>46220.9868055556</v>
      </c>
      <c r="P823" s="5" t="n">
        <v>46224.1152777778</v>
      </c>
      <c r="Q823" s="1" t="n">
        <v>55.4167</v>
      </c>
      <c r="R823" s="1" t="n">
        <v>-106.1208</v>
      </c>
      <c r="S823" s="1" t="s">
        <v>3247</v>
      </c>
      <c r="T823" s="1" t="n">
        <v>2026</v>
      </c>
      <c r="U823" s="1" t="n">
        <v>2026</v>
      </c>
      <c r="V823" s="5" t="n">
        <v>46223.1145833333</v>
      </c>
      <c r="W823" s="6" t="n">
        <v>46387.9999999884</v>
      </c>
    </row>
    <row r="824" customFormat="false" ht="12.75" hidden="false" customHeight="false" outlineLevel="0" collapsed="false">
      <c r="A824" s="1" t="s">
        <v>3248</v>
      </c>
      <c r="B824" s="1" t="n">
        <v>18303010</v>
      </c>
      <c r="C824" s="1" t="s">
        <v>3199</v>
      </c>
      <c r="D824" s="1" t="s">
        <v>3227</v>
      </c>
      <c r="E824" s="1" t="s">
        <v>3249</v>
      </c>
      <c r="F824" s="1" t="s">
        <v>3250</v>
      </c>
      <c r="G824" s="2" t="s">
        <v>28</v>
      </c>
      <c r="H824" s="1" t="n">
        <v>-1</v>
      </c>
      <c r="I824" s="1" t="n">
        <v>-1</v>
      </c>
      <c r="J824" s="1" t="n">
        <v>0</v>
      </c>
      <c r="K824" s="1" t="n">
        <v>-1</v>
      </c>
      <c r="L824" s="2" t="n">
        <v>0.1</v>
      </c>
      <c r="M824" s="1" t="s">
        <v>29</v>
      </c>
      <c r="N824" s="1" t="s">
        <v>37</v>
      </c>
      <c r="O824" s="5" t="n">
        <v>46222.8784722222</v>
      </c>
      <c r="P824" s="5" t="n">
        <v>46223.9861111111</v>
      </c>
      <c r="Q824" s="1" t="n">
        <v>55.5665</v>
      </c>
      <c r="R824" s="1" t="n">
        <v>-106.4699</v>
      </c>
      <c r="S824" s="1" t="s">
        <v>3251</v>
      </c>
      <c r="T824" s="1" t="n">
        <v>2026</v>
      </c>
      <c r="U824" s="1" t="n">
        <v>2026</v>
      </c>
      <c r="V824" s="5" t="n">
        <v>46223.0319444445</v>
      </c>
      <c r="W824" s="6" t="n">
        <v>46387.9999999884</v>
      </c>
    </row>
    <row r="825" customFormat="false" ht="12.75" hidden="false" customHeight="false" outlineLevel="0" collapsed="false">
      <c r="A825" s="1" t="s">
        <v>3252</v>
      </c>
      <c r="B825" s="1" t="n">
        <v>18291872</v>
      </c>
      <c r="C825" s="1" t="s">
        <v>3199</v>
      </c>
      <c r="D825" s="1" t="s">
        <v>3200</v>
      </c>
      <c r="E825" s="1" t="s">
        <v>3253</v>
      </c>
      <c r="F825" s="1" t="s">
        <v>3254</v>
      </c>
      <c r="G825" s="2" t="s">
        <v>28</v>
      </c>
      <c r="H825" s="1" t="n">
        <v>-1</v>
      </c>
      <c r="I825" s="1" t="n">
        <v>-1</v>
      </c>
      <c r="J825" s="1" t="n">
        <v>0</v>
      </c>
      <c r="K825" s="1" t="n">
        <v>-1</v>
      </c>
      <c r="L825" s="2" t="n">
        <v>2.5</v>
      </c>
      <c r="M825" s="1" t="s">
        <v>70</v>
      </c>
      <c r="N825" s="1" t="s">
        <v>37</v>
      </c>
      <c r="O825" s="5" t="n">
        <v>46221.7381944444</v>
      </c>
      <c r="P825" s="5" t="n">
        <v>46224.075</v>
      </c>
      <c r="Q825" s="1" t="n">
        <v>55.4702</v>
      </c>
      <c r="R825" s="1" t="n">
        <v>-102.8093</v>
      </c>
      <c r="S825" s="1" t="s">
        <v>3255</v>
      </c>
      <c r="T825" s="1" t="n">
        <v>2026</v>
      </c>
      <c r="U825" s="1" t="n">
        <v>2026</v>
      </c>
      <c r="V825" s="5" t="n">
        <v>46222.90625</v>
      </c>
      <c r="W825" s="6" t="n">
        <v>46387.9999999884</v>
      </c>
    </row>
    <row r="826" customFormat="false" ht="12.75" hidden="false" customHeight="false" outlineLevel="0" collapsed="false">
      <c r="A826" s="1" t="s">
        <v>3256</v>
      </c>
      <c r="B826" s="1" t="n">
        <v>18291985</v>
      </c>
      <c r="C826" s="1" t="s">
        <v>3199</v>
      </c>
      <c r="D826" s="1" t="s">
        <v>3227</v>
      </c>
      <c r="E826" s="1" t="s">
        <v>3257</v>
      </c>
      <c r="F826" s="1" t="s">
        <v>3258</v>
      </c>
      <c r="G826" s="2" t="s">
        <v>28</v>
      </c>
      <c r="H826" s="1" t="n">
        <v>-1</v>
      </c>
      <c r="I826" s="1" t="n">
        <v>-1</v>
      </c>
      <c r="J826" s="1" t="n">
        <v>0</v>
      </c>
      <c r="K826" s="1" t="n">
        <v>-1</v>
      </c>
      <c r="L826" s="2" t="n">
        <v>114.5</v>
      </c>
      <c r="M826" s="1" t="s">
        <v>70</v>
      </c>
      <c r="N826" s="1" t="s">
        <v>105</v>
      </c>
      <c r="O826" s="5" t="n">
        <v>46220.8451388889</v>
      </c>
      <c r="P826" s="5" t="n">
        <v>46224.0194444444</v>
      </c>
      <c r="Q826" s="1" t="n">
        <v>55.2969</v>
      </c>
      <c r="R826" s="1" t="n">
        <v>-108.1237</v>
      </c>
      <c r="S826" s="1" t="s">
        <v>3259</v>
      </c>
      <c r="T826" s="1" t="n">
        <v>2026</v>
      </c>
      <c r="U826" s="1" t="n">
        <v>2026</v>
      </c>
      <c r="V826" s="5" t="n">
        <v>46222.90625</v>
      </c>
      <c r="W826" s="6" t="n">
        <v>46387.9999999884</v>
      </c>
    </row>
    <row r="827" customFormat="false" ht="12.75" hidden="false" customHeight="false" outlineLevel="0" collapsed="false">
      <c r="A827" s="1" t="s">
        <v>3260</v>
      </c>
      <c r="B827" s="1" t="n">
        <v>18284114</v>
      </c>
      <c r="C827" s="1" t="s">
        <v>3199</v>
      </c>
      <c r="D827" s="1" t="s">
        <v>3200</v>
      </c>
      <c r="E827" s="1" t="s">
        <v>3261</v>
      </c>
      <c r="F827" s="1" t="s">
        <v>3262</v>
      </c>
      <c r="G827" s="2" t="s">
        <v>28</v>
      </c>
      <c r="H827" s="1" t="n">
        <v>-1</v>
      </c>
      <c r="I827" s="1" t="n">
        <v>-1</v>
      </c>
      <c r="J827" s="1" t="n">
        <v>0</v>
      </c>
      <c r="K827" s="1" t="n">
        <v>-1</v>
      </c>
      <c r="L827" s="2" t="n">
        <v>2.5</v>
      </c>
      <c r="M827" s="1" t="s">
        <v>70</v>
      </c>
      <c r="N827" s="1" t="s">
        <v>105</v>
      </c>
      <c r="O827" s="5" t="n">
        <v>46222.5694444444</v>
      </c>
      <c r="P827" s="5" t="n">
        <v>46224.0680555556</v>
      </c>
      <c r="Q827" s="1" t="n">
        <v>56.016</v>
      </c>
      <c r="R827" s="1" t="n">
        <v>-102.2332</v>
      </c>
      <c r="S827" s="1" t="s">
        <v>3263</v>
      </c>
      <c r="T827" s="1" t="n">
        <v>2026</v>
      </c>
      <c r="U827" s="1" t="n">
        <v>2026</v>
      </c>
      <c r="V827" s="5" t="n">
        <v>46222.8229166667</v>
      </c>
      <c r="W827" s="6" t="n">
        <v>46387.9999999884</v>
      </c>
    </row>
    <row r="828" customFormat="false" ht="12.75" hidden="false" customHeight="false" outlineLevel="0" collapsed="false">
      <c r="A828" s="1" t="s">
        <v>3264</v>
      </c>
      <c r="B828" s="1" t="n">
        <v>18272756</v>
      </c>
      <c r="C828" s="1" t="s">
        <v>3199</v>
      </c>
      <c r="D828" s="1" t="s">
        <v>3214</v>
      </c>
      <c r="E828" s="1" t="s">
        <v>3265</v>
      </c>
      <c r="F828" s="1" t="s">
        <v>3266</v>
      </c>
      <c r="G828" s="2" t="s">
        <v>28</v>
      </c>
      <c r="H828" s="1" t="n">
        <v>-1</v>
      </c>
      <c r="I828" s="1" t="n">
        <v>-1</v>
      </c>
      <c r="J828" s="1" t="n">
        <v>0</v>
      </c>
      <c r="K828" s="1" t="n">
        <v>-1</v>
      </c>
      <c r="L828" s="2" t="n">
        <v>6397</v>
      </c>
      <c r="M828" s="1" t="s">
        <v>70</v>
      </c>
      <c r="N828" s="1" t="s">
        <v>105</v>
      </c>
      <c r="O828" s="5" t="n">
        <v>46199.7701388889</v>
      </c>
      <c r="P828" s="5" t="n">
        <v>46224.0340277778</v>
      </c>
      <c r="Q828" s="1" t="n">
        <v>56.1072</v>
      </c>
      <c r="R828" s="1" t="n">
        <v>-102.9605</v>
      </c>
      <c r="S828" s="1" t="s">
        <v>3267</v>
      </c>
      <c r="T828" s="1" t="n">
        <v>2026</v>
      </c>
      <c r="U828" s="1" t="n">
        <v>2026</v>
      </c>
      <c r="V828" s="5" t="n">
        <v>46222.6979166667</v>
      </c>
      <c r="W828" s="6" t="n">
        <v>46387.9999999884</v>
      </c>
    </row>
    <row r="829" customFormat="false" ht="12.75" hidden="false" customHeight="false" outlineLevel="0" collapsed="false">
      <c r="A829" s="1" t="s">
        <v>3268</v>
      </c>
      <c r="B829" s="1" t="n">
        <v>18223385</v>
      </c>
      <c r="C829" s="1" t="s">
        <v>3199</v>
      </c>
      <c r="D829" s="1" t="s">
        <v>3214</v>
      </c>
      <c r="E829" s="1" t="s">
        <v>3269</v>
      </c>
      <c r="F829" s="1" t="s">
        <v>3270</v>
      </c>
      <c r="G829" s="2" t="s">
        <v>28</v>
      </c>
      <c r="H829" s="1" t="n">
        <v>-1</v>
      </c>
      <c r="I829" s="1" t="n">
        <v>-1</v>
      </c>
      <c r="J829" s="1" t="n">
        <v>0</v>
      </c>
      <c r="K829" s="1" t="n">
        <v>-1</v>
      </c>
      <c r="L829" s="2" t="n">
        <v>265</v>
      </c>
      <c r="M829" s="1" t="s">
        <v>70</v>
      </c>
      <c r="N829" s="1" t="s">
        <v>105</v>
      </c>
      <c r="O829" s="5" t="n">
        <v>46216.8388888889</v>
      </c>
      <c r="P829" s="5" t="n">
        <v>46224.1173611111</v>
      </c>
      <c r="Q829" s="1" t="n">
        <v>55.7512</v>
      </c>
      <c r="R829" s="1" t="n">
        <v>-105.7648</v>
      </c>
      <c r="S829" s="1" t="s">
        <v>3271</v>
      </c>
      <c r="T829" s="1" t="n">
        <v>2026</v>
      </c>
      <c r="U829" s="1" t="n">
        <v>2026</v>
      </c>
      <c r="V829" s="5" t="n">
        <v>46222.15625</v>
      </c>
      <c r="W829" s="6" t="n">
        <v>46387.9999999884</v>
      </c>
    </row>
    <row r="830" customFormat="false" ht="12.75" hidden="false" customHeight="false" outlineLevel="0" collapsed="false">
      <c r="A830" s="1" t="s">
        <v>3272</v>
      </c>
      <c r="B830" s="1" t="n">
        <v>18205687</v>
      </c>
      <c r="C830" s="1" t="s">
        <v>3199</v>
      </c>
      <c r="D830" s="1" t="s">
        <v>3273</v>
      </c>
      <c r="E830" s="1" t="s">
        <v>3274</v>
      </c>
      <c r="F830" s="1" t="s">
        <v>3275</v>
      </c>
      <c r="G830" s="2" t="s">
        <v>28</v>
      </c>
      <c r="H830" s="1" t="n">
        <v>-1</v>
      </c>
      <c r="I830" s="1" t="n">
        <v>-1</v>
      </c>
      <c r="J830" s="1" t="n">
        <v>0</v>
      </c>
      <c r="K830" s="1" t="n">
        <v>-1</v>
      </c>
      <c r="L830" s="2" t="n">
        <v>25049.5</v>
      </c>
      <c r="M830" s="1" t="s">
        <v>70</v>
      </c>
      <c r="N830" s="1" t="s">
        <v>105</v>
      </c>
      <c r="O830" s="5" t="n">
        <v>46198.8423611111</v>
      </c>
      <c r="P830" s="5" t="n">
        <v>46224.6006944444</v>
      </c>
      <c r="Q830" s="1" t="n">
        <v>58.4197</v>
      </c>
      <c r="R830" s="1" t="n">
        <v>-106.6479</v>
      </c>
      <c r="S830" s="1" t="s">
        <v>3276</v>
      </c>
      <c r="T830" s="1" t="n">
        <v>2026</v>
      </c>
      <c r="U830" s="1" t="n">
        <v>2026</v>
      </c>
      <c r="V830" s="5" t="n">
        <v>46221.9479166667</v>
      </c>
      <c r="W830" s="6" t="n">
        <v>46387.9999999884</v>
      </c>
    </row>
    <row r="831" customFormat="false" ht="12.75" hidden="false" customHeight="false" outlineLevel="0" collapsed="false">
      <c r="A831" s="1" t="s">
        <v>3277</v>
      </c>
      <c r="B831" s="1" t="n">
        <v>18201712</v>
      </c>
      <c r="C831" s="1" t="s">
        <v>3199</v>
      </c>
      <c r="D831" s="1" t="s">
        <v>3214</v>
      </c>
      <c r="E831" s="1" t="s">
        <v>3278</v>
      </c>
      <c r="F831" s="1" t="s">
        <v>3279</v>
      </c>
      <c r="G831" s="2" t="s">
        <v>28</v>
      </c>
      <c r="H831" s="1" t="n">
        <v>-1</v>
      </c>
      <c r="I831" s="1" t="n">
        <v>-1</v>
      </c>
      <c r="J831" s="1" t="n">
        <v>0</v>
      </c>
      <c r="K831" s="1" t="n">
        <v>-1</v>
      </c>
      <c r="L831" s="2" t="n">
        <v>407</v>
      </c>
      <c r="M831" s="1" t="s">
        <v>70</v>
      </c>
      <c r="N831" s="1" t="s">
        <v>37</v>
      </c>
      <c r="O831" s="5" t="n">
        <v>46208.61875</v>
      </c>
      <c r="P831" s="5" t="n">
        <v>46224.5854166667</v>
      </c>
      <c r="Q831" s="1" t="n">
        <v>56.4042</v>
      </c>
      <c r="R831" s="1" t="n">
        <v>-103.5119</v>
      </c>
      <c r="S831" s="1" t="s">
        <v>3280</v>
      </c>
      <c r="T831" s="1" t="n">
        <v>2026</v>
      </c>
      <c r="U831" s="1" t="n">
        <v>2026</v>
      </c>
      <c r="V831" s="5" t="n">
        <v>46221.90625</v>
      </c>
      <c r="W831" s="6" t="n">
        <v>46387.9999999884</v>
      </c>
    </row>
    <row r="832" customFormat="false" ht="12.75" hidden="false" customHeight="false" outlineLevel="0" collapsed="false">
      <c r="A832" s="1" t="s">
        <v>3281</v>
      </c>
      <c r="B832" s="1" t="n">
        <v>18197815</v>
      </c>
      <c r="C832" s="1" t="s">
        <v>3199</v>
      </c>
      <c r="D832" s="1" t="s">
        <v>3273</v>
      </c>
      <c r="E832" s="1" t="s">
        <v>3282</v>
      </c>
      <c r="F832" s="1" t="s">
        <v>3283</v>
      </c>
      <c r="G832" s="2" t="s">
        <v>28</v>
      </c>
      <c r="H832" s="1" t="n">
        <v>-1</v>
      </c>
      <c r="I832" s="1" t="n">
        <v>-1</v>
      </c>
      <c r="J832" s="1" t="n">
        <v>0</v>
      </c>
      <c r="K832" s="1" t="n">
        <v>-1</v>
      </c>
      <c r="L832" s="2" t="n">
        <v>375</v>
      </c>
      <c r="M832" s="1" t="s">
        <v>70</v>
      </c>
      <c r="N832" s="1" t="s">
        <v>105</v>
      </c>
      <c r="O832" s="5" t="n">
        <v>46202.6805555556</v>
      </c>
      <c r="P832" s="5" t="n">
        <v>46222.9381944445</v>
      </c>
      <c r="Q832" s="1" t="n">
        <v>59.6292</v>
      </c>
      <c r="R832" s="1" t="n">
        <v>-105.3635</v>
      </c>
      <c r="S832" s="1" t="s">
        <v>3284</v>
      </c>
      <c r="T832" s="1" t="n">
        <v>2026</v>
      </c>
      <c r="U832" s="1" t="n">
        <v>2026</v>
      </c>
      <c r="V832" s="5" t="n">
        <v>46221.8645833333</v>
      </c>
      <c r="W832" s="6" t="n">
        <v>46387.9999999884</v>
      </c>
    </row>
    <row r="833" customFormat="false" ht="12.75" hidden="false" customHeight="false" outlineLevel="0" collapsed="false">
      <c r="A833" s="1" t="s">
        <v>3285</v>
      </c>
      <c r="B833" s="1" t="n">
        <v>18197821</v>
      </c>
      <c r="C833" s="1" t="s">
        <v>3199</v>
      </c>
      <c r="D833" s="1" t="s">
        <v>3273</v>
      </c>
      <c r="E833" s="1" t="s">
        <v>3286</v>
      </c>
      <c r="F833" s="1" t="s">
        <v>3287</v>
      </c>
      <c r="G833" s="2" t="s">
        <v>28</v>
      </c>
      <c r="H833" s="1" t="n">
        <v>-1</v>
      </c>
      <c r="I833" s="1" t="n">
        <v>-1</v>
      </c>
      <c r="J833" s="1" t="n">
        <v>0</v>
      </c>
      <c r="K833" s="1" t="n">
        <v>-1</v>
      </c>
      <c r="L833" s="2" t="n">
        <v>100</v>
      </c>
      <c r="M833" s="1" t="s">
        <v>70</v>
      </c>
      <c r="N833" s="1" t="s">
        <v>105</v>
      </c>
      <c r="O833" s="5" t="n">
        <v>46221.8222222222</v>
      </c>
      <c r="P833" s="5" t="n">
        <v>46224.6006944444</v>
      </c>
      <c r="Q833" s="1" t="n">
        <v>59.7777</v>
      </c>
      <c r="R833" s="1" t="n">
        <v>-102.804</v>
      </c>
      <c r="S833" s="1" t="s">
        <v>3288</v>
      </c>
      <c r="T833" s="1" t="n">
        <v>2026</v>
      </c>
      <c r="U833" s="1" t="n">
        <v>2026</v>
      </c>
      <c r="V833" s="5" t="n">
        <v>46221.8645833333</v>
      </c>
      <c r="W833" s="6" t="n">
        <v>46387.9999999884</v>
      </c>
    </row>
    <row r="834" customFormat="false" ht="12.75" hidden="false" customHeight="false" outlineLevel="0" collapsed="false">
      <c r="A834" s="1" t="s">
        <v>3289</v>
      </c>
      <c r="B834" s="1" t="n">
        <v>18179073</v>
      </c>
      <c r="C834" s="1" t="s">
        <v>3199</v>
      </c>
      <c r="D834" s="1" t="s">
        <v>3227</v>
      </c>
      <c r="E834" s="1" t="s">
        <v>3290</v>
      </c>
      <c r="F834" s="1" t="s">
        <v>3291</v>
      </c>
      <c r="G834" s="2" t="s">
        <v>28</v>
      </c>
      <c r="H834" s="1" t="n">
        <v>-1</v>
      </c>
      <c r="I834" s="1" t="n">
        <v>-1</v>
      </c>
      <c r="J834" s="1" t="n">
        <v>0</v>
      </c>
      <c r="K834" s="1" t="n">
        <v>-1</v>
      </c>
      <c r="L834" s="2" t="n">
        <v>232.9</v>
      </c>
      <c r="M834" s="1" t="s">
        <v>70</v>
      </c>
      <c r="N834" s="1" t="s">
        <v>105</v>
      </c>
      <c r="O834" s="5" t="n">
        <v>46211.8597222222</v>
      </c>
      <c r="P834" s="5" t="n">
        <v>46224.0090277778</v>
      </c>
      <c r="Q834" s="1" t="n">
        <v>55.2026</v>
      </c>
      <c r="R834" s="1" t="n">
        <v>-108.6612</v>
      </c>
      <c r="S834" s="1" t="s">
        <v>3292</v>
      </c>
      <c r="T834" s="1" t="n">
        <v>2026</v>
      </c>
      <c r="U834" s="1" t="n">
        <v>2026</v>
      </c>
      <c r="V834" s="5" t="n">
        <v>46221.65625</v>
      </c>
      <c r="W834" s="6" t="n">
        <v>46387.9999999884</v>
      </c>
    </row>
    <row r="835" customFormat="false" ht="12.75" hidden="false" customHeight="false" outlineLevel="0" collapsed="false">
      <c r="A835" s="1" t="s">
        <v>3293</v>
      </c>
      <c r="B835" s="1" t="n">
        <v>18174889</v>
      </c>
      <c r="C835" s="1" t="s">
        <v>3199</v>
      </c>
      <c r="D835" s="1" t="s">
        <v>3273</v>
      </c>
      <c r="E835" s="1" t="s">
        <v>3294</v>
      </c>
      <c r="F835" s="1" t="s">
        <v>3295</v>
      </c>
      <c r="G835" s="2" t="s">
        <v>28</v>
      </c>
      <c r="H835" s="1" t="n">
        <v>-1</v>
      </c>
      <c r="I835" s="1" t="n">
        <v>-1</v>
      </c>
      <c r="J835" s="1" t="n">
        <v>0</v>
      </c>
      <c r="K835" s="1" t="n">
        <v>-1</v>
      </c>
      <c r="L835" s="2" t="n">
        <v>9972</v>
      </c>
      <c r="M835" s="1" t="s">
        <v>70</v>
      </c>
      <c r="N835" s="1" t="s">
        <v>105</v>
      </c>
      <c r="O835" s="5" t="n">
        <v>46198.0034722222</v>
      </c>
      <c r="P835" s="5" t="n">
        <v>46224.6006944444</v>
      </c>
      <c r="Q835" s="1" t="n">
        <v>58.2664</v>
      </c>
      <c r="R835" s="1" t="n">
        <v>-102.7021</v>
      </c>
      <c r="S835" s="1" t="s">
        <v>3296</v>
      </c>
      <c r="T835" s="1" t="n">
        <v>2026</v>
      </c>
      <c r="U835" s="1" t="n">
        <v>2026</v>
      </c>
      <c r="V835" s="5" t="n">
        <v>46221.6145833333</v>
      </c>
      <c r="W835" s="6" t="n">
        <v>46387.9999999884</v>
      </c>
    </row>
    <row r="836" customFormat="false" ht="12.75" hidden="false" customHeight="false" outlineLevel="0" collapsed="false">
      <c r="A836" s="1" t="s">
        <v>3297</v>
      </c>
      <c r="B836" s="1" t="n">
        <v>18130549</v>
      </c>
      <c r="C836" s="1" t="s">
        <v>3199</v>
      </c>
      <c r="D836" s="1" t="s">
        <v>3200</v>
      </c>
      <c r="E836" s="1" t="s">
        <v>3298</v>
      </c>
      <c r="F836" s="1" t="s">
        <v>3299</v>
      </c>
      <c r="G836" s="2" t="s">
        <v>28</v>
      </c>
      <c r="H836" s="1" t="n">
        <v>-1</v>
      </c>
      <c r="I836" s="1" t="n">
        <v>-1</v>
      </c>
      <c r="J836" s="1" t="n">
        <v>0</v>
      </c>
      <c r="K836" s="1" t="n">
        <v>-1</v>
      </c>
      <c r="L836" s="2" t="n">
        <v>32</v>
      </c>
      <c r="M836" s="1" t="s">
        <v>70</v>
      </c>
      <c r="N836" s="1" t="s">
        <v>105</v>
      </c>
      <c r="O836" s="5" t="n">
        <v>46210.8333333333</v>
      </c>
      <c r="P836" s="5" t="n">
        <v>46224.0736111111</v>
      </c>
      <c r="Q836" s="1" t="n">
        <v>55.432</v>
      </c>
      <c r="R836" s="1" t="n">
        <v>-101.97</v>
      </c>
      <c r="S836" s="1" t="s">
        <v>3300</v>
      </c>
      <c r="T836" s="1" t="n">
        <v>2026</v>
      </c>
      <c r="U836" s="1" t="n">
        <v>2026</v>
      </c>
      <c r="V836" s="5" t="n">
        <v>46221.1145833333</v>
      </c>
      <c r="W836" s="6" t="n">
        <v>46387.9999999884</v>
      </c>
    </row>
    <row r="837" customFormat="false" ht="12.75" hidden="false" customHeight="false" outlineLevel="0" collapsed="false">
      <c r="A837" s="1" t="s">
        <v>3301</v>
      </c>
      <c r="B837" s="1" t="n">
        <v>18123145</v>
      </c>
      <c r="C837" s="1" t="s">
        <v>3199</v>
      </c>
      <c r="D837" s="1" t="s">
        <v>3302</v>
      </c>
      <c r="E837" s="1" t="s">
        <v>3303</v>
      </c>
      <c r="F837" s="1" t="s">
        <v>3304</v>
      </c>
      <c r="G837" s="2" t="s">
        <v>28</v>
      </c>
      <c r="H837" s="1" t="n">
        <v>-1</v>
      </c>
      <c r="I837" s="1" t="n">
        <v>-1</v>
      </c>
      <c r="J837" s="1" t="n">
        <v>0</v>
      </c>
      <c r="K837" s="1" t="n">
        <v>-1</v>
      </c>
      <c r="L837" s="2" t="n">
        <v>2</v>
      </c>
      <c r="M837" s="1" t="s">
        <v>70</v>
      </c>
      <c r="N837" s="1" t="s">
        <v>105</v>
      </c>
      <c r="O837" s="5" t="n">
        <v>46220.9791666667</v>
      </c>
      <c r="P837" s="5" t="n">
        <v>46224.0270833333</v>
      </c>
      <c r="Q837" s="1" t="n">
        <v>57.0985</v>
      </c>
      <c r="R837" s="1" t="n">
        <v>-104.9167</v>
      </c>
      <c r="S837" s="1" t="s">
        <v>3305</v>
      </c>
      <c r="T837" s="1" t="n">
        <v>2026</v>
      </c>
      <c r="U837" s="1" t="n">
        <v>2026</v>
      </c>
      <c r="V837" s="5" t="n">
        <v>46221.03125</v>
      </c>
      <c r="W837" s="6" t="n">
        <v>46387.9999999884</v>
      </c>
    </row>
    <row r="838" customFormat="false" ht="12.75" hidden="false" customHeight="false" outlineLevel="0" collapsed="false">
      <c r="A838" s="1" t="s">
        <v>3306</v>
      </c>
      <c r="B838" s="1" t="n">
        <v>18122998</v>
      </c>
      <c r="C838" s="1" t="s">
        <v>3199</v>
      </c>
      <c r="D838" s="1" t="s">
        <v>3200</v>
      </c>
      <c r="E838" s="1" t="s">
        <v>3307</v>
      </c>
      <c r="F838" s="1" t="s">
        <v>3308</v>
      </c>
      <c r="G838" s="2" t="s">
        <v>28</v>
      </c>
      <c r="H838" s="1" t="n">
        <v>-1</v>
      </c>
      <c r="I838" s="1" t="n">
        <v>-1</v>
      </c>
      <c r="J838" s="1" t="n">
        <v>0</v>
      </c>
      <c r="K838" s="1" t="n">
        <v>-1</v>
      </c>
      <c r="L838" s="2" t="n">
        <v>37</v>
      </c>
      <c r="M838" s="1" t="s">
        <v>70</v>
      </c>
      <c r="N838" s="1" t="s">
        <v>105</v>
      </c>
      <c r="O838" s="5" t="n">
        <v>46198.9527777778</v>
      </c>
      <c r="P838" s="5" t="n">
        <v>46224.0708333333</v>
      </c>
      <c r="Q838" s="1" t="n">
        <v>55.5835</v>
      </c>
      <c r="R838" s="1" t="n">
        <v>-102.2895</v>
      </c>
      <c r="S838" s="1" t="s">
        <v>3309</v>
      </c>
      <c r="T838" s="1" t="n">
        <v>2026</v>
      </c>
      <c r="U838" s="1" t="n">
        <v>2026</v>
      </c>
      <c r="V838" s="5" t="n">
        <v>46221.03125</v>
      </c>
      <c r="W838" s="6" t="n">
        <v>46387.9999999884</v>
      </c>
    </row>
    <row r="839" customFormat="false" ht="12.75" hidden="false" customHeight="false" outlineLevel="0" collapsed="false">
      <c r="A839" s="1" t="s">
        <v>3310</v>
      </c>
      <c r="B839" s="1" t="n">
        <v>18115765</v>
      </c>
      <c r="C839" s="1" t="s">
        <v>3199</v>
      </c>
      <c r="D839" s="1" t="s">
        <v>3214</v>
      </c>
      <c r="E839" s="1" t="s">
        <v>3311</v>
      </c>
      <c r="F839" s="1" t="s">
        <v>3312</v>
      </c>
      <c r="G839" s="2" t="s">
        <v>28</v>
      </c>
      <c r="H839" s="1" t="n">
        <v>-1</v>
      </c>
      <c r="I839" s="1" t="n">
        <v>-1</v>
      </c>
      <c r="J839" s="1" t="n">
        <v>0</v>
      </c>
      <c r="K839" s="1" t="n">
        <v>-1</v>
      </c>
      <c r="L839" s="2" t="n">
        <v>309</v>
      </c>
      <c r="M839" s="1" t="s">
        <v>70</v>
      </c>
      <c r="N839" s="1" t="s">
        <v>105</v>
      </c>
      <c r="O839" s="5" t="n">
        <v>46198.9826388889</v>
      </c>
      <c r="P839" s="5" t="n">
        <v>46224.025</v>
      </c>
      <c r="Q839" s="1" t="n">
        <v>56.3311</v>
      </c>
      <c r="R839" s="1" t="n">
        <v>-103.0408</v>
      </c>
      <c r="S839" s="1" t="s">
        <v>3313</v>
      </c>
      <c r="T839" s="1" t="n">
        <v>2026</v>
      </c>
      <c r="U839" s="1" t="n">
        <v>2026</v>
      </c>
      <c r="V839" s="5" t="n">
        <v>46220.9479166667</v>
      </c>
      <c r="W839" s="6" t="n">
        <v>46387.9999999884</v>
      </c>
    </row>
    <row r="840" customFormat="false" ht="12.75" hidden="false" customHeight="false" outlineLevel="0" collapsed="false">
      <c r="A840" s="1" t="s">
        <v>3314</v>
      </c>
      <c r="B840" s="1" t="n">
        <v>18108331</v>
      </c>
      <c r="C840" s="1" t="s">
        <v>3199</v>
      </c>
      <c r="D840" s="1" t="s">
        <v>3200</v>
      </c>
      <c r="E840" s="1" t="s">
        <v>3315</v>
      </c>
      <c r="F840" s="1" t="s">
        <v>3316</v>
      </c>
      <c r="G840" s="2" t="s">
        <v>36</v>
      </c>
      <c r="H840" s="1" t="n">
        <v>-1</v>
      </c>
      <c r="I840" s="1" t="n">
        <v>-1</v>
      </c>
      <c r="J840" s="1" t="n">
        <v>0</v>
      </c>
      <c r="K840" s="1" t="n">
        <v>-1</v>
      </c>
      <c r="L840" s="2" t="n">
        <v>1</v>
      </c>
      <c r="M840" s="1" t="s">
        <v>70</v>
      </c>
      <c r="N840" s="1" t="s">
        <v>37</v>
      </c>
      <c r="O840" s="5" t="n">
        <v>46219.8638888889</v>
      </c>
      <c r="P840" s="5" t="n">
        <v>46224.0270833333</v>
      </c>
      <c r="Q840" s="1" t="n">
        <v>54.5339</v>
      </c>
      <c r="R840" s="1" t="n">
        <v>-101.929</v>
      </c>
      <c r="S840" s="1" t="s">
        <v>3317</v>
      </c>
      <c r="T840" s="1" t="n">
        <v>2026</v>
      </c>
      <c r="U840" s="1" t="n">
        <v>2026</v>
      </c>
      <c r="V840" s="5" t="n">
        <v>46220.8645833333</v>
      </c>
      <c r="W840" s="6" t="n">
        <v>46387.9999999884</v>
      </c>
    </row>
    <row r="841" customFormat="false" ht="12.75" hidden="false" customHeight="false" outlineLevel="0" collapsed="false">
      <c r="A841" s="1" t="s">
        <v>3318</v>
      </c>
      <c r="B841" s="1" t="n">
        <v>18104702</v>
      </c>
      <c r="C841" s="1" t="s">
        <v>3199</v>
      </c>
      <c r="D841" s="1" t="s">
        <v>3214</v>
      </c>
      <c r="E841" s="1" t="s">
        <v>3319</v>
      </c>
      <c r="F841" s="1" t="s">
        <v>3320</v>
      </c>
      <c r="G841" s="2" t="s">
        <v>28</v>
      </c>
      <c r="H841" s="1" t="n">
        <v>-1</v>
      </c>
      <c r="I841" s="1" t="n">
        <v>-1</v>
      </c>
      <c r="J841" s="1" t="n">
        <v>0</v>
      </c>
      <c r="K841" s="1" t="n">
        <v>-1</v>
      </c>
      <c r="L841" s="2" t="n">
        <v>10461</v>
      </c>
      <c r="M841" s="1" t="s">
        <v>70</v>
      </c>
      <c r="N841" s="1" t="s">
        <v>105</v>
      </c>
      <c r="O841" s="5" t="n">
        <v>46200.0180555556</v>
      </c>
      <c r="P841" s="5" t="n">
        <v>46224.5840277778</v>
      </c>
      <c r="Q841" s="1" t="n">
        <v>56.3521</v>
      </c>
      <c r="R841" s="1" t="n">
        <v>-102.9161</v>
      </c>
      <c r="S841" s="1" t="s">
        <v>3321</v>
      </c>
      <c r="T841" s="1" t="n">
        <v>2026</v>
      </c>
      <c r="U841" s="1" t="n">
        <v>2026</v>
      </c>
      <c r="V841" s="5" t="n">
        <v>46220.8229166667</v>
      </c>
      <c r="W841" s="6" t="n">
        <v>46387.9999999884</v>
      </c>
    </row>
    <row r="842" customFormat="false" ht="12.75" hidden="false" customHeight="false" outlineLevel="0" collapsed="false">
      <c r="A842" s="1" t="s">
        <v>3322</v>
      </c>
      <c r="B842" s="1" t="n">
        <v>18101126</v>
      </c>
      <c r="C842" s="1" t="s">
        <v>3199</v>
      </c>
      <c r="D842" s="1" t="s">
        <v>3214</v>
      </c>
      <c r="E842" s="1" t="s">
        <v>3323</v>
      </c>
      <c r="F842" s="1" t="s">
        <v>3324</v>
      </c>
      <c r="G842" s="2" t="s">
        <v>28</v>
      </c>
      <c r="H842" s="1" t="n">
        <v>-1</v>
      </c>
      <c r="I842" s="1" t="n">
        <v>-1</v>
      </c>
      <c r="J842" s="1" t="n">
        <v>0</v>
      </c>
      <c r="K842" s="1" t="n">
        <v>-1</v>
      </c>
      <c r="L842" s="2" t="n">
        <v>95.7</v>
      </c>
      <c r="M842" s="1" t="s">
        <v>70</v>
      </c>
      <c r="N842" s="1" t="s">
        <v>105</v>
      </c>
      <c r="O842" s="5" t="n">
        <v>46187.8020833333</v>
      </c>
      <c r="P842" s="5" t="n">
        <v>46224.1145833333</v>
      </c>
      <c r="Q842" s="1" t="n">
        <v>55.3919</v>
      </c>
      <c r="R842" s="1" t="n">
        <v>-104.3312</v>
      </c>
      <c r="S842" s="1" t="s">
        <v>3325</v>
      </c>
      <c r="T842" s="1" t="n">
        <v>2026</v>
      </c>
      <c r="U842" s="1" t="n">
        <v>2026</v>
      </c>
      <c r="V842" s="5" t="n">
        <v>46220.78125</v>
      </c>
      <c r="W842" s="6" t="n">
        <v>46387.9999999884</v>
      </c>
    </row>
    <row r="843" customFormat="false" ht="12.75" hidden="false" customHeight="false" outlineLevel="0" collapsed="false">
      <c r="A843" s="1" t="s">
        <v>3326</v>
      </c>
      <c r="B843" s="1" t="n">
        <v>18046762</v>
      </c>
      <c r="C843" s="1" t="s">
        <v>3199</v>
      </c>
      <c r="D843" s="1" t="s">
        <v>3214</v>
      </c>
      <c r="E843" s="1" t="s">
        <v>3327</v>
      </c>
      <c r="F843" s="1" t="s">
        <v>3328</v>
      </c>
      <c r="G843" s="2" t="s">
        <v>28</v>
      </c>
      <c r="H843" s="1" t="n">
        <v>-1</v>
      </c>
      <c r="I843" s="1" t="n">
        <v>-1</v>
      </c>
      <c r="J843" s="1" t="n">
        <v>0</v>
      </c>
      <c r="K843" s="1" t="n">
        <v>-1</v>
      </c>
      <c r="L843" s="2" t="n">
        <v>2970</v>
      </c>
      <c r="M843" s="1" t="s">
        <v>70</v>
      </c>
      <c r="N843" s="1" t="s">
        <v>105</v>
      </c>
      <c r="O843" s="5" t="n">
        <v>46215.9875</v>
      </c>
      <c r="P843" s="5" t="n">
        <v>46224.1229166667</v>
      </c>
      <c r="Q843" s="1" t="n">
        <v>55.7391</v>
      </c>
      <c r="R843" s="1" t="n">
        <v>-105.6186</v>
      </c>
      <c r="S843" s="1" t="s">
        <v>3329</v>
      </c>
      <c r="T843" s="1" t="n">
        <v>2026</v>
      </c>
      <c r="U843" s="1" t="n">
        <v>2026</v>
      </c>
      <c r="V843" s="5" t="n">
        <v>46220.15625</v>
      </c>
      <c r="W843" s="6" t="n">
        <v>46387.9999999884</v>
      </c>
    </row>
    <row r="844" customFormat="false" ht="12.75" hidden="false" customHeight="false" outlineLevel="0" collapsed="false">
      <c r="A844" s="1" t="s">
        <v>3330</v>
      </c>
      <c r="B844" s="1" t="n">
        <v>18042959</v>
      </c>
      <c r="C844" s="1" t="s">
        <v>3199</v>
      </c>
      <c r="D844" s="1" t="s">
        <v>3200</v>
      </c>
      <c r="E844" s="1" t="s">
        <v>3331</v>
      </c>
      <c r="F844" s="1" t="s">
        <v>3332</v>
      </c>
      <c r="G844" s="2" t="s">
        <v>28</v>
      </c>
      <c r="H844" s="1" t="n">
        <v>-1</v>
      </c>
      <c r="I844" s="1" t="n">
        <v>-1</v>
      </c>
      <c r="J844" s="1" t="n">
        <v>0</v>
      </c>
      <c r="K844" s="1" t="n">
        <v>-1</v>
      </c>
      <c r="L844" s="2" t="n">
        <v>9630</v>
      </c>
      <c r="M844" s="1" t="s">
        <v>70</v>
      </c>
      <c r="N844" s="1" t="s">
        <v>105</v>
      </c>
      <c r="O844" s="5" t="n">
        <v>46198.8020833333</v>
      </c>
      <c r="P844" s="5" t="n">
        <v>46224.0680555556</v>
      </c>
      <c r="Q844" s="1" t="n">
        <v>55.978</v>
      </c>
      <c r="R844" s="1" t="n">
        <v>-102.6901</v>
      </c>
      <c r="S844" s="1" t="s">
        <v>3333</v>
      </c>
      <c r="T844" s="1" t="n">
        <v>2026</v>
      </c>
      <c r="U844" s="1" t="n">
        <v>2026</v>
      </c>
      <c r="V844" s="5" t="n">
        <v>46220.1145833333</v>
      </c>
      <c r="W844" s="6" t="n">
        <v>46387.9999999884</v>
      </c>
    </row>
    <row r="845" customFormat="false" ht="12.75" hidden="false" customHeight="false" outlineLevel="0" collapsed="false">
      <c r="A845" s="1" t="s">
        <v>3334</v>
      </c>
      <c r="B845" s="1" t="n">
        <v>18042944</v>
      </c>
      <c r="C845" s="1" t="s">
        <v>3199</v>
      </c>
      <c r="D845" s="1" t="s">
        <v>3200</v>
      </c>
      <c r="E845" s="1" t="s">
        <v>3335</v>
      </c>
      <c r="F845" s="1" t="s">
        <v>3336</v>
      </c>
      <c r="G845" s="2" t="s">
        <v>28</v>
      </c>
      <c r="H845" s="1" t="n">
        <v>-1</v>
      </c>
      <c r="I845" s="1" t="n">
        <v>-1</v>
      </c>
      <c r="J845" s="1" t="n">
        <v>0</v>
      </c>
      <c r="K845" s="1" t="n">
        <v>-1</v>
      </c>
      <c r="L845" s="2" t="n">
        <v>319</v>
      </c>
      <c r="M845" s="1" t="s">
        <v>70</v>
      </c>
      <c r="N845" s="1" t="s">
        <v>105</v>
      </c>
      <c r="O845" s="5" t="n">
        <v>46200.8090277778</v>
      </c>
      <c r="P845" s="5" t="n">
        <v>46224.0701388889</v>
      </c>
      <c r="Q845" s="1" t="n">
        <v>55.7826</v>
      </c>
      <c r="R845" s="1" t="n">
        <v>-102.724</v>
      </c>
      <c r="S845" s="1" t="s">
        <v>3337</v>
      </c>
      <c r="T845" s="1" t="n">
        <v>2026</v>
      </c>
      <c r="U845" s="1" t="n">
        <v>2026</v>
      </c>
      <c r="V845" s="5" t="n">
        <v>46220.1145833333</v>
      </c>
      <c r="W845" s="6" t="n">
        <v>46387.9999999884</v>
      </c>
    </row>
    <row r="846" customFormat="false" ht="12.75" hidden="false" customHeight="false" outlineLevel="0" collapsed="false">
      <c r="A846" s="1" t="s">
        <v>3338</v>
      </c>
      <c r="B846" s="1" t="n">
        <v>18039443</v>
      </c>
      <c r="C846" s="1" t="s">
        <v>3199</v>
      </c>
      <c r="D846" s="1" t="s">
        <v>3214</v>
      </c>
      <c r="E846" s="1" t="s">
        <v>3339</v>
      </c>
      <c r="F846" s="1" t="s">
        <v>3340</v>
      </c>
      <c r="G846" s="2" t="s">
        <v>28</v>
      </c>
      <c r="H846" s="1" t="n">
        <v>-1</v>
      </c>
      <c r="I846" s="1" t="n">
        <v>-1</v>
      </c>
      <c r="J846" s="1" t="n">
        <v>0</v>
      </c>
      <c r="K846" s="1" t="n">
        <v>-1</v>
      </c>
      <c r="L846" s="2" t="n">
        <v>23.7</v>
      </c>
      <c r="M846" s="1" t="s">
        <v>70</v>
      </c>
      <c r="N846" s="1" t="s">
        <v>105</v>
      </c>
      <c r="O846" s="5" t="n">
        <v>46188.8152777778</v>
      </c>
      <c r="P846" s="5" t="n">
        <v>46224.1201388889</v>
      </c>
      <c r="Q846" s="1" t="n">
        <v>56.0876</v>
      </c>
      <c r="R846" s="1" t="n">
        <v>-104.8486</v>
      </c>
      <c r="S846" s="1" t="s">
        <v>3341</v>
      </c>
      <c r="T846" s="1" t="n">
        <v>2026</v>
      </c>
      <c r="U846" s="1" t="n">
        <v>2026</v>
      </c>
      <c r="V846" s="5" t="n">
        <v>46220.0729166667</v>
      </c>
      <c r="W846" s="6" t="n">
        <v>46387.9999999884</v>
      </c>
    </row>
    <row r="847" customFormat="false" ht="12.75" hidden="false" customHeight="false" outlineLevel="0" collapsed="false">
      <c r="A847" s="1" t="s">
        <v>3342</v>
      </c>
      <c r="B847" s="1" t="n">
        <v>18027692</v>
      </c>
      <c r="C847" s="1" t="s">
        <v>3199</v>
      </c>
      <c r="D847" s="1" t="s">
        <v>3200</v>
      </c>
      <c r="E847" s="1" t="s">
        <v>3343</v>
      </c>
      <c r="F847" s="1" t="s">
        <v>3344</v>
      </c>
      <c r="G847" s="2" t="s">
        <v>28</v>
      </c>
      <c r="H847" s="1" t="n">
        <v>-1</v>
      </c>
      <c r="I847" s="1" t="n">
        <v>-1</v>
      </c>
      <c r="J847" s="1" t="n">
        <v>0</v>
      </c>
      <c r="K847" s="1" t="n">
        <v>-1</v>
      </c>
      <c r="L847" s="2" t="n">
        <v>11300</v>
      </c>
      <c r="M847" s="1" t="s">
        <v>70</v>
      </c>
      <c r="N847" s="1" t="s">
        <v>105</v>
      </c>
      <c r="O847" s="5" t="n">
        <v>46199.1</v>
      </c>
      <c r="P847" s="5" t="n">
        <v>46224.0763888889</v>
      </c>
      <c r="Q847" s="1" t="n">
        <v>55.4799</v>
      </c>
      <c r="R847" s="1" t="n">
        <v>-103.3844</v>
      </c>
      <c r="S847" s="1" t="s">
        <v>3345</v>
      </c>
      <c r="T847" s="1" t="n">
        <v>2026</v>
      </c>
      <c r="U847" s="1" t="n">
        <v>2026</v>
      </c>
      <c r="V847" s="5" t="n">
        <v>46219.9479166667</v>
      </c>
      <c r="W847" s="6" t="n">
        <v>46387.9999999884</v>
      </c>
    </row>
    <row r="848" customFormat="false" ht="12.75" hidden="false" customHeight="false" outlineLevel="0" collapsed="false">
      <c r="A848" s="1" t="s">
        <v>3346</v>
      </c>
      <c r="B848" s="1" t="n">
        <v>18010280</v>
      </c>
      <c r="C848" s="1" t="s">
        <v>3199</v>
      </c>
      <c r="D848" s="1" t="s">
        <v>3214</v>
      </c>
      <c r="E848" s="1" t="s">
        <v>3347</v>
      </c>
      <c r="F848" s="1" t="s">
        <v>3348</v>
      </c>
      <c r="G848" s="2" t="s">
        <v>28</v>
      </c>
      <c r="H848" s="1" t="n">
        <v>-1</v>
      </c>
      <c r="I848" s="1" t="n">
        <v>-1</v>
      </c>
      <c r="J848" s="1" t="n">
        <v>0</v>
      </c>
      <c r="K848" s="1" t="n">
        <v>-1</v>
      </c>
      <c r="L848" s="2" t="n">
        <v>2677</v>
      </c>
      <c r="M848" s="1" t="s">
        <v>70</v>
      </c>
      <c r="N848" s="1" t="s">
        <v>105</v>
      </c>
      <c r="O848" s="5" t="n">
        <v>46199.8986111111</v>
      </c>
      <c r="P848" s="5" t="n">
        <v>46224.0222222222</v>
      </c>
      <c r="Q848" s="1" t="n">
        <v>56.2396</v>
      </c>
      <c r="R848" s="1" t="n">
        <v>-104.308</v>
      </c>
      <c r="S848" s="1" t="s">
        <v>3349</v>
      </c>
      <c r="T848" s="1" t="n">
        <v>2026</v>
      </c>
      <c r="U848" s="1" t="n">
        <v>2026</v>
      </c>
      <c r="V848" s="5" t="n">
        <v>46219.7395833333</v>
      </c>
      <c r="W848" s="6" t="n">
        <v>46387.9999999884</v>
      </c>
    </row>
    <row r="849" customFormat="false" ht="12.75" hidden="false" customHeight="false" outlineLevel="0" collapsed="false">
      <c r="A849" s="1" t="s">
        <v>3350</v>
      </c>
      <c r="B849" s="1" t="n">
        <v>18007289</v>
      </c>
      <c r="C849" s="1" t="s">
        <v>3199</v>
      </c>
      <c r="D849" s="1" t="s">
        <v>3214</v>
      </c>
      <c r="E849" s="1" t="s">
        <v>3351</v>
      </c>
      <c r="F849" s="1" t="s">
        <v>3352</v>
      </c>
      <c r="G849" s="2" t="s">
        <v>28</v>
      </c>
      <c r="H849" s="1" t="n">
        <v>-1</v>
      </c>
      <c r="I849" s="1" t="n">
        <v>-1</v>
      </c>
      <c r="J849" s="1" t="n">
        <v>0</v>
      </c>
      <c r="K849" s="1" t="n">
        <v>-1</v>
      </c>
      <c r="L849" s="2" t="n">
        <v>12315</v>
      </c>
      <c r="M849" s="1" t="s">
        <v>29</v>
      </c>
      <c r="N849" s="1" t="s">
        <v>105</v>
      </c>
      <c r="O849" s="5" t="n">
        <v>46209.8951388889</v>
      </c>
      <c r="P849" s="5" t="n">
        <v>46224.1368055556</v>
      </c>
      <c r="Q849" s="1" t="n">
        <v>55.0667</v>
      </c>
      <c r="R849" s="1" t="n">
        <v>-104.663</v>
      </c>
      <c r="S849" s="1" t="s">
        <v>3353</v>
      </c>
      <c r="T849" s="1" t="n">
        <v>2026</v>
      </c>
      <c r="U849" s="1" t="n">
        <v>2026</v>
      </c>
      <c r="V849" s="5" t="n">
        <v>46219.6979166667</v>
      </c>
      <c r="W849" s="6" t="n">
        <v>46387.9999999884</v>
      </c>
    </row>
    <row r="850" customFormat="false" ht="12.75" hidden="false" customHeight="false" outlineLevel="0" collapsed="false">
      <c r="A850" s="1" t="s">
        <v>3354</v>
      </c>
      <c r="B850" s="1" t="n">
        <v>17968570</v>
      </c>
      <c r="C850" s="1" t="s">
        <v>3199</v>
      </c>
      <c r="D850" s="1" t="s">
        <v>3214</v>
      </c>
      <c r="E850" s="1" t="s">
        <v>3355</v>
      </c>
      <c r="F850" s="1" t="s">
        <v>3356</v>
      </c>
      <c r="G850" s="2" t="s">
        <v>28</v>
      </c>
      <c r="H850" s="1" t="n">
        <v>-1</v>
      </c>
      <c r="I850" s="1" t="n">
        <v>-1</v>
      </c>
      <c r="J850" s="1" t="n">
        <v>0</v>
      </c>
      <c r="K850" s="1" t="n">
        <v>-1</v>
      </c>
      <c r="L850" s="2" t="n">
        <v>0.1</v>
      </c>
      <c r="M850" s="1" t="s">
        <v>70</v>
      </c>
      <c r="N850" s="1" t="s">
        <v>105</v>
      </c>
      <c r="O850" s="5" t="n">
        <v>46219.0090277778</v>
      </c>
      <c r="P850" s="5" t="n">
        <v>46224.6326388889</v>
      </c>
      <c r="Q850" s="1" t="n">
        <v>55.4102</v>
      </c>
      <c r="R850" s="1" t="n">
        <v>-105.0419</v>
      </c>
      <c r="S850" s="1" t="s">
        <v>3357</v>
      </c>
      <c r="T850" s="1" t="n">
        <v>2026</v>
      </c>
      <c r="U850" s="1" t="n">
        <v>2026</v>
      </c>
      <c r="V850" s="5" t="n">
        <v>46219.2395833333</v>
      </c>
      <c r="W850" s="6" t="n">
        <v>46387.9999999884</v>
      </c>
    </row>
    <row r="851" customFormat="false" ht="12.75" hidden="false" customHeight="false" outlineLevel="0" collapsed="false">
      <c r="A851" s="1" t="s">
        <v>3358</v>
      </c>
      <c r="B851" s="1" t="n">
        <v>17951113</v>
      </c>
      <c r="C851" s="1" t="s">
        <v>3199</v>
      </c>
      <c r="D851" s="1" t="s">
        <v>3200</v>
      </c>
      <c r="E851" s="1" t="s">
        <v>3359</v>
      </c>
      <c r="F851" s="1" t="s">
        <v>3360</v>
      </c>
      <c r="G851" s="2" t="s">
        <v>28</v>
      </c>
      <c r="H851" s="1" t="n">
        <v>-1</v>
      </c>
      <c r="I851" s="1" t="n">
        <v>-1</v>
      </c>
      <c r="J851" s="1" t="n">
        <v>0</v>
      </c>
      <c r="K851" s="1" t="n">
        <v>-1</v>
      </c>
      <c r="L851" s="2" t="n">
        <v>0.1</v>
      </c>
      <c r="M851" s="1" t="s">
        <v>70</v>
      </c>
      <c r="N851" s="1" t="s">
        <v>105</v>
      </c>
      <c r="O851" s="5" t="n">
        <v>46215.0013888889</v>
      </c>
      <c r="P851" s="5" t="n">
        <v>46224.0729166667</v>
      </c>
      <c r="Q851" s="1" t="n">
        <v>55.4547</v>
      </c>
      <c r="R851" s="1" t="n">
        <v>-102.4198</v>
      </c>
      <c r="S851" s="1" t="s">
        <v>3361</v>
      </c>
      <c r="T851" s="1" t="n">
        <v>2026</v>
      </c>
      <c r="U851" s="1" t="n">
        <v>2026</v>
      </c>
      <c r="V851" s="5" t="n">
        <v>46219.03125</v>
      </c>
      <c r="W851" s="6" t="n">
        <v>46387.9999999884</v>
      </c>
    </row>
    <row r="852" customFormat="false" ht="12.75" hidden="false" customHeight="false" outlineLevel="0" collapsed="false">
      <c r="A852" s="1" t="s">
        <v>3362</v>
      </c>
      <c r="B852" s="1" t="n">
        <v>17947874</v>
      </c>
      <c r="C852" s="1" t="s">
        <v>3199</v>
      </c>
      <c r="D852" s="1" t="s">
        <v>3273</v>
      </c>
      <c r="E852" s="1" t="s">
        <v>3363</v>
      </c>
      <c r="F852" s="1" t="s">
        <v>3364</v>
      </c>
      <c r="G852" s="2" t="s">
        <v>28</v>
      </c>
      <c r="H852" s="1" t="n">
        <v>-1</v>
      </c>
      <c r="I852" s="1" t="n">
        <v>-1</v>
      </c>
      <c r="J852" s="1" t="n">
        <v>0</v>
      </c>
      <c r="K852" s="1" t="n">
        <v>-1</v>
      </c>
      <c r="L852" s="2" t="n">
        <v>15727</v>
      </c>
      <c r="M852" s="1" t="s">
        <v>70</v>
      </c>
      <c r="N852" s="1" t="s">
        <v>105</v>
      </c>
      <c r="O852" s="5" t="n">
        <v>46200.0118055556</v>
      </c>
      <c r="P852" s="5" t="n">
        <v>46224.6013888889</v>
      </c>
      <c r="Q852" s="1" t="n">
        <v>59.4611</v>
      </c>
      <c r="R852" s="1" t="n">
        <v>-102.5919</v>
      </c>
      <c r="S852" s="1" t="s">
        <v>3365</v>
      </c>
      <c r="T852" s="1" t="n">
        <v>2026</v>
      </c>
      <c r="U852" s="1" t="n">
        <v>2026</v>
      </c>
      <c r="V852" s="5" t="n">
        <v>46218.9895833333</v>
      </c>
      <c r="W852" s="6" t="n">
        <v>46387.9999999884</v>
      </c>
    </row>
    <row r="853" customFormat="false" ht="12.75" hidden="false" customHeight="false" outlineLevel="0" collapsed="false">
      <c r="A853" s="1" t="s">
        <v>3366</v>
      </c>
      <c r="B853" s="1" t="n">
        <v>17947776</v>
      </c>
      <c r="C853" s="1" t="s">
        <v>3199</v>
      </c>
      <c r="D853" s="1" t="s">
        <v>3214</v>
      </c>
      <c r="E853" s="1" t="s">
        <v>3367</v>
      </c>
      <c r="F853" s="1" t="s">
        <v>3368</v>
      </c>
      <c r="G853" s="2" t="s">
        <v>28</v>
      </c>
      <c r="H853" s="1" t="n">
        <v>-1</v>
      </c>
      <c r="I853" s="1" t="n">
        <v>-1</v>
      </c>
      <c r="J853" s="1" t="n">
        <v>0</v>
      </c>
      <c r="K853" s="1" t="n">
        <v>-1</v>
      </c>
      <c r="L853" s="2" t="n">
        <v>26.8</v>
      </c>
      <c r="M853" s="1" t="s">
        <v>29</v>
      </c>
      <c r="N853" s="1" t="s">
        <v>105</v>
      </c>
      <c r="O853" s="5" t="n">
        <v>46208.8701388889</v>
      </c>
      <c r="P853" s="5" t="n">
        <v>46224.0451388889</v>
      </c>
      <c r="Q853" s="1" t="n">
        <v>55.1114</v>
      </c>
      <c r="R853" s="1" t="n">
        <v>-104.1158</v>
      </c>
      <c r="S853" s="1" t="s">
        <v>3369</v>
      </c>
      <c r="T853" s="1" t="n">
        <v>2026</v>
      </c>
      <c r="U853" s="1" t="n">
        <v>2026</v>
      </c>
      <c r="V853" s="5" t="n">
        <v>46218.9895833333</v>
      </c>
      <c r="W853" s="6" t="n">
        <v>46387.9999999884</v>
      </c>
    </row>
    <row r="854" customFormat="false" ht="12.75" hidden="false" customHeight="false" outlineLevel="0" collapsed="false">
      <c r="A854" s="1" t="s">
        <v>3370</v>
      </c>
      <c r="B854" s="1" t="n">
        <v>17937335</v>
      </c>
      <c r="C854" s="1" t="s">
        <v>3199</v>
      </c>
      <c r="D854" s="1" t="s">
        <v>3273</v>
      </c>
      <c r="E854" s="1" t="s">
        <v>3371</v>
      </c>
      <c r="F854" s="1" t="s">
        <v>3372</v>
      </c>
      <c r="G854" s="2" t="s">
        <v>28</v>
      </c>
      <c r="H854" s="1" t="n">
        <v>-1</v>
      </c>
      <c r="I854" s="1" t="n">
        <v>-1</v>
      </c>
      <c r="J854" s="1" t="n">
        <v>0</v>
      </c>
      <c r="K854" s="1" t="n">
        <v>-1</v>
      </c>
      <c r="L854" s="2" t="n">
        <v>4587</v>
      </c>
      <c r="M854" s="1" t="s">
        <v>70</v>
      </c>
      <c r="N854" s="1" t="s">
        <v>105</v>
      </c>
      <c r="O854" s="5" t="n">
        <v>46197.8770833333</v>
      </c>
      <c r="P854" s="5" t="n">
        <v>46222.9381944445</v>
      </c>
      <c r="Q854" s="1" t="n">
        <v>58.7098</v>
      </c>
      <c r="R854" s="1" t="n">
        <v>-103.6821</v>
      </c>
      <c r="S854" s="1" t="s">
        <v>3373</v>
      </c>
      <c r="T854" s="1" t="n">
        <v>2026</v>
      </c>
      <c r="U854" s="1" t="n">
        <v>2026</v>
      </c>
      <c r="V854" s="5" t="n">
        <v>46218.8645833333</v>
      </c>
      <c r="W854" s="6" t="n">
        <v>46387.9999999884</v>
      </c>
    </row>
    <row r="855" customFormat="false" ht="12.75" hidden="false" customHeight="false" outlineLevel="0" collapsed="false">
      <c r="A855" s="1" t="s">
        <v>3374</v>
      </c>
      <c r="B855" s="1" t="n">
        <v>17933799</v>
      </c>
      <c r="C855" s="1" t="s">
        <v>3199</v>
      </c>
      <c r="D855" s="1" t="s">
        <v>3214</v>
      </c>
      <c r="E855" s="1" t="s">
        <v>3375</v>
      </c>
      <c r="F855" s="1" t="s">
        <v>3376</v>
      </c>
      <c r="G855" s="2" t="s">
        <v>28</v>
      </c>
      <c r="H855" s="1" t="n">
        <v>-1</v>
      </c>
      <c r="I855" s="1" t="n">
        <v>-1</v>
      </c>
      <c r="J855" s="1" t="n">
        <v>0</v>
      </c>
      <c r="K855" s="1" t="n">
        <v>-1</v>
      </c>
      <c r="L855" s="2" t="n">
        <v>1500</v>
      </c>
      <c r="M855" s="1" t="s">
        <v>70</v>
      </c>
      <c r="N855" s="1" t="s">
        <v>105</v>
      </c>
      <c r="O855" s="5" t="n">
        <v>46207.8736111111</v>
      </c>
      <c r="P855" s="5" t="n">
        <v>46224.5861111111</v>
      </c>
      <c r="Q855" s="1" t="n">
        <v>57.2978</v>
      </c>
      <c r="R855" s="1" t="n">
        <v>-105.0472</v>
      </c>
      <c r="S855" s="1" t="s">
        <v>3377</v>
      </c>
      <c r="T855" s="1" t="n">
        <v>2026</v>
      </c>
      <c r="U855" s="1" t="n">
        <v>2026</v>
      </c>
      <c r="V855" s="5" t="n">
        <v>46218.8229166667</v>
      </c>
      <c r="W855" s="6" t="n">
        <v>46387.9999999884</v>
      </c>
    </row>
    <row r="856" customFormat="false" ht="12.75" hidden="false" customHeight="false" outlineLevel="0" collapsed="false">
      <c r="A856" s="1" t="s">
        <v>3378</v>
      </c>
      <c r="B856" s="1" t="n">
        <v>17930325</v>
      </c>
      <c r="C856" s="1" t="s">
        <v>3199</v>
      </c>
      <c r="D856" s="1" t="s">
        <v>3214</v>
      </c>
      <c r="E856" s="1" t="s">
        <v>3379</v>
      </c>
      <c r="F856" s="1" t="s">
        <v>3380</v>
      </c>
      <c r="G856" s="2" t="s">
        <v>28</v>
      </c>
      <c r="H856" s="1" t="n">
        <v>-1</v>
      </c>
      <c r="I856" s="1" t="n">
        <v>-1</v>
      </c>
      <c r="J856" s="1" t="n">
        <v>0</v>
      </c>
      <c r="K856" s="1" t="n">
        <v>-1</v>
      </c>
      <c r="L856" s="2" t="n">
        <v>0.1</v>
      </c>
      <c r="M856" s="1" t="s">
        <v>70</v>
      </c>
      <c r="N856" s="1" t="s">
        <v>105</v>
      </c>
      <c r="O856" s="5" t="n">
        <v>46213.7486111111</v>
      </c>
      <c r="P856" s="5" t="n">
        <v>46224.1180555556</v>
      </c>
      <c r="Q856" s="1" t="n">
        <v>56.087</v>
      </c>
      <c r="R856" s="1" t="n">
        <v>-105.7572</v>
      </c>
      <c r="S856" s="1" t="s">
        <v>3381</v>
      </c>
      <c r="T856" s="1" t="n">
        <v>2026</v>
      </c>
      <c r="U856" s="1" t="n">
        <v>2026</v>
      </c>
      <c r="V856" s="5" t="n">
        <v>46218.78125</v>
      </c>
      <c r="W856" s="6" t="n">
        <v>46387.9999999884</v>
      </c>
    </row>
    <row r="857" customFormat="false" ht="12.75" hidden="false" customHeight="false" outlineLevel="0" collapsed="false">
      <c r="A857" s="1" t="s">
        <v>3382</v>
      </c>
      <c r="B857" s="1" t="n">
        <v>17871603</v>
      </c>
      <c r="C857" s="1" t="s">
        <v>3199</v>
      </c>
      <c r="D857" s="1" t="s">
        <v>3214</v>
      </c>
      <c r="E857" s="1" t="s">
        <v>3383</v>
      </c>
      <c r="F857" s="1" t="s">
        <v>3384</v>
      </c>
      <c r="G857" s="2" t="s">
        <v>28</v>
      </c>
      <c r="H857" s="1" t="n">
        <v>-1</v>
      </c>
      <c r="I857" s="1" t="n">
        <v>-1</v>
      </c>
      <c r="J857" s="1" t="n">
        <v>0</v>
      </c>
      <c r="K857" s="1" t="n">
        <v>-1</v>
      </c>
      <c r="L857" s="2" t="n">
        <v>9.8</v>
      </c>
      <c r="M857" s="1" t="s">
        <v>70</v>
      </c>
      <c r="N857" s="1" t="s">
        <v>105</v>
      </c>
      <c r="O857" s="5" t="n">
        <v>46217.7326388889</v>
      </c>
      <c r="P857" s="5" t="n">
        <v>46224.1201388889</v>
      </c>
      <c r="Q857" s="1" t="n">
        <v>55.7383</v>
      </c>
      <c r="R857" s="1" t="n">
        <v>-105.0615</v>
      </c>
      <c r="S857" s="1" t="s">
        <v>3385</v>
      </c>
      <c r="T857" s="1" t="n">
        <v>2026</v>
      </c>
      <c r="U857" s="1" t="n">
        <v>2026</v>
      </c>
      <c r="V857" s="5" t="n">
        <v>46218.0729166667</v>
      </c>
      <c r="W857" s="6" t="n">
        <v>46387.9999999884</v>
      </c>
    </row>
    <row r="858" customFormat="false" ht="12.75" hidden="false" customHeight="false" outlineLevel="0" collapsed="false">
      <c r="A858" s="1" t="s">
        <v>3386</v>
      </c>
      <c r="B858" s="1" t="n">
        <v>17864251</v>
      </c>
      <c r="C858" s="1" t="s">
        <v>3199</v>
      </c>
      <c r="D858" s="1" t="s">
        <v>3214</v>
      </c>
      <c r="E858" s="1" t="s">
        <v>3387</v>
      </c>
      <c r="F858" s="1" t="s">
        <v>3388</v>
      </c>
      <c r="G858" s="2" t="s">
        <v>28</v>
      </c>
      <c r="H858" s="1" t="n">
        <v>-1</v>
      </c>
      <c r="I858" s="1" t="n">
        <v>-1</v>
      </c>
      <c r="J858" s="1" t="n">
        <v>0</v>
      </c>
      <c r="K858" s="1" t="n">
        <v>-1</v>
      </c>
      <c r="L858" s="2" t="n">
        <v>1083</v>
      </c>
      <c r="M858" s="1" t="s">
        <v>70</v>
      </c>
      <c r="N858" s="1" t="s">
        <v>105</v>
      </c>
      <c r="O858" s="5" t="n">
        <v>46196.78125</v>
      </c>
      <c r="P858" s="5" t="n">
        <v>46224.1222222222</v>
      </c>
      <c r="Q858" s="1" t="n">
        <v>55.6867</v>
      </c>
      <c r="R858" s="1" t="n">
        <v>-105.3082</v>
      </c>
      <c r="S858" s="1" t="s">
        <v>3389</v>
      </c>
      <c r="T858" s="1" t="n">
        <v>2026</v>
      </c>
      <c r="U858" s="1" t="n">
        <v>2026</v>
      </c>
      <c r="V858" s="5" t="n">
        <v>46217.9895833333</v>
      </c>
      <c r="W858" s="6" t="n">
        <v>46387.9999999884</v>
      </c>
    </row>
    <row r="859" customFormat="false" ht="12.75" hidden="false" customHeight="false" outlineLevel="0" collapsed="false">
      <c r="A859" s="1" t="s">
        <v>3390</v>
      </c>
      <c r="B859" s="1" t="n">
        <v>17858008</v>
      </c>
      <c r="C859" s="1" t="s">
        <v>3199</v>
      </c>
      <c r="D859" s="1" t="s">
        <v>3214</v>
      </c>
      <c r="E859" s="1" t="s">
        <v>3391</v>
      </c>
      <c r="F859" s="1" t="s">
        <v>3392</v>
      </c>
      <c r="G859" s="2" t="s">
        <v>28</v>
      </c>
      <c r="H859" s="1" t="n">
        <v>-1</v>
      </c>
      <c r="I859" s="1" t="n">
        <v>-1</v>
      </c>
      <c r="J859" s="1" t="n">
        <v>0</v>
      </c>
      <c r="K859" s="1" t="n">
        <v>-1</v>
      </c>
      <c r="L859" s="2" t="n">
        <v>4</v>
      </c>
      <c r="M859" s="1" t="s">
        <v>70</v>
      </c>
      <c r="N859" s="1" t="s">
        <v>105</v>
      </c>
      <c r="O859" s="5" t="n">
        <v>46217.8479166667</v>
      </c>
      <c r="P859" s="5" t="n">
        <v>46224.0236111111</v>
      </c>
      <c r="Q859" s="1" t="n">
        <v>57.5293</v>
      </c>
      <c r="R859" s="1" t="n">
        <v>-104.5732</v>
      </c>
      <c r="S859" s="1" t="s">
        <v>3393</v>
      </c>
      <c r="T859" s="1" t="n">
        <v>2026</v>
      </c>
      <c r="U859" s="1" t="n">
        <v>2026</v>
      </c>
      <c r="V859" s="5" t="n">
        <v>46217.90625</v>
      </c>
      <c r="W859" s="6" t="n">
        <v>46387.9999999884</v>
      </c>
    </row>
    <row r="860" customFormat="false" ht="12.75" hidden="false" customHeight="false" outlineLevel="0" collapsed="false">
      <c r="A860" s="1" t="s">
        <v>3394</v>
      </c>
      <c r="B860" s="1" t="n">
        <v>17795310</v>
      </c>
      <c r="C860" s="1" t="s">
        <v>3199</v>
      </c>
      <c r="D860" s="1" t="s">
        <v>3214</v>
      </c>
      <c r="E860" s="1" t="s">
        <v>3395</v>
      </c>
      <c r="F860" s="1" t="s">
        <v>3396</v>
      </c>
      <c r="G860" s="2" t="s">
        <v>28</v>
      </c>
      <c r="H860" s="1" t="n">
        <v>-1</v>
      </c>
      <c r="I860" s="1" t="n">
        <v>-1</v>
      </c>
      <c r="J860" s="1" t="n">
        <v>0</v>
      </c>
      <c r="K860" s="1" t="n">
        <v>-1</v>
      </c>
      <c r="L860" s="2" t="n">
        <v>174</v>
      </c>
      <c r="M860" s="1" t="s">
        <v>70</v>
      </c>
      <c r="N860" s="1" t="s">
        <v>105</v>
      </c>
      <c r="O860" s="5" t="n">
        <v>46198.9284722222</v>
      </c>
      <c r="P860" s="5" t="n">
        <v>46219.1840277778</v>
      </c>
      <c r="Q860" s="1" t="n">
        <v>54.8685</v>
      </c>
      <c r="R860" s="1" t="n">
        <v>-104.2752</v>
      </c>
      <c r="S860" s="1" t="s">
        <v>3397</v>
      </c>
      <c r="T860" s="1" t="n">
        <v>2026</v>
      </c>
      <c r="U860" s="1" t="n">
        <v>2026</v>
      </c>
      <c r="V860" s="5" t="n">
        <v>46217.1145833333</v>
      </c>
      <c r="W860" s="6" t="n">
        <v>46387.9999999884</v>
      </c>
    </row>
    <row r="861" customFormat="false" ht="12.75" hidden="false" customHeight="false" outlineLevel="0" collapsed="false">
      <c r="A861" s="1" t="s">
        <v>3398</v>
      </c>
      <c r="B861" s="1" t="n">
        <v>17486223</v>
      </c>
      <c r="C861" s="1" t="s">
        <v>3199</v>
      </c>
      <c r="D861" s="1" t="s">
        <v>3273</v>
      </c>
      <c r="E861" s="1" t="s">
        <v>3399</v>
      </c>
      <c r="F861" s="1" t="s">
        <v>3400</v>
      </c>
      <c r="G861" s="2" t="s">
        <v>28</v>
      </c>
      <c r="H861" s="1" t="n">
        <v>-1</v>
      </c>
      <c r="I861" s="1" t="n">
        <v>-1</v>
      </c>
      <c r="J861" s="1" t="n">
        <v>0</v>
      </c>
      <c r="K861" s="1" t="n">
        <v>-1</v>
      </c>
      <c r="L861" s="2" t="n">
        <v>7878</v>
      </c>
      <c r="M861" s="1" t="s">
        <v>70</v>
      </c>
      <c r="N861" s="1" t="s">
        <v>105</v>
      </c>
      <c r="O861" s="5" t="n">
        <v>46197.8951388889</v>
      </c>
      <c r="P861" s="5" t="n">
        <v>46224.6013888889</v>
      </c>
      <c r="Q861" s="1" t="n">
        <v>58.7552</v>
      </c>
      <c r="R861" s="1" t="n">
        <v>-103.7817</v>
      </c>
      <c r="S861" s="1" t="s">
        <v>3401</v>
      </c>
      <c r="T861" s="1" t="n">
        <v>2026</v>
      </c>
      <c r="U861" s="1" t="n">
        <v>2026</v>
      </c>
      <c r="V861" s="5" t="n">
        <v>46213.0729166667</v>
      </c>
      <c r="W861" s="6" t="n">
        <v>46387.9999999884</v>
      </c>
    </row>
    <row r="862" customFormat="false" ht="12.75" hidden="false" customHeight="false" outlineLevel="0" collapsed="false">
      <c r="A862" s="1" t="s">
        <v>3402</v>
      </c>
      <c r="B862" s="1" t="n">
        <v>17276534</v>
      </c>
      <c r="C862" s="1" t="s">
        <v>3199</v>
      </c>
      <c r="D862" s="1" t="s">
        <v>3214</v>
      </c>
      <c r="E862" s="1" t="s">
        <v>3403</v>
      </c>
      <c r="F862" s="1" t="s">
        <v>3404</v>
      </c>
      <c r="G862" s="2" t="s">
        <v>28</v>
      </c>
      <c r="H862" s="1" t="n">
        <v>-1</v>
      </c>
      <c r="I862" s="1" t="n">
        <v>-1</v>
      </c>
      <c r="J862" s="1" t="n">
        <v>0</v>
      </c>
      <c r="K862" s="1" t="n">
        <v>-1</v>
      </c>
      <c r="L862" s="2" t="n">
        <v>1</v>
      </c>
      <c r="M862" s="1" t="s">
        <v>70</v>
      </c>
      <c r="N862" s="1" t="s">
        <v>105</v>
      </c>
      <c r="O862" s="5" t="n">
        <v>46204.8041666667</v>
      </c>
      <c r="P862" s="5" t="n">
        <v>46224.1409722222</v>
      </c>
      <c r="Q862" s="1" t="n">
        <v>55.852</v>
      </c>
      <c r="R862" s="1" t="n">
        <v>-105.328</v>
      </c>
      <c r="S862" s="1" t="s">
        <v>3405</v>
      </c>
      <c r="T862" s="1" t="n">
        <v>2026</v>
      </c>
      <c r="U862" s="1" t="n">
        <v>2026</v>
      </c>
      <c r="V862" s="5" t="n">
        <v>46210.15625</v>
      </c>
      <c r="W862" s="6" t="n">
        <v>46387.9999999884</v>
      </c>
    </row>
    <row r="863" customFormat="false" ht="12.75" hidden="false" customHeight="false" outlineLevel="0" collapsed="false">
      <c r="A863" s="1" t="s">
        <v>3406</v>
      </c>
      <c r="B863" s="1" t="n">
        <v>17121723</v>
      </c>
      <c r="C863" s="1" t="s">
        <v>3199</v>
      </c>
      <c r="D863" s="1" t="s">
        <v>3214</v>
      </c>
      <c r="E863" s="1" t="s">
        <v>3407</v>
      </c>
      <c r="F863" s="1" t="s">
        <v>3408</v>
      </c>
      <c r="G863" s="2" t="s">
        <v>28</v>
      </c>
      <c r="H863" s="1" t="n">
        <v>-1</v>
      </c>
      <c r="I863" s="1" t="n">
        <v>-1</v>
      </c>
      <c r="J863" s="1" t="n">
        <v>0</v>
      </c>
      <c r="K863" s="1" t="n">
        <v>-1</v>
      </c>
      <c r="L863" s="2" t="n">
        <v>403</v>
      </c>
      <c r="M863" s="1" t="s">
        <v>70</v>
      </c>
      <c r="N863" s="1" t="s">
        <v>105</v>
      </c>
      <c r="O863" s="5" t="n">
        <v>46200.9208333333</v>
      </c>
      <c r="P863" s="5" t="n">
        <v>46224.0229166667</v>
      </c>
      <c r="Q863" s="1" t="n">
        <v>56.6345</v>
      </c>
      <c r="R863" s="1" t="n">
        <v>-103.228</v>
      </c>
      <c r="S863" s="1" t="s">
        <v>3409</v>
      </c>
      <c r="T863" s="1" t="n">
        <v>2026</v>
      </c>
      <c r="U863" s="1" t="n">
        <v>2026</v>
      </c>
      <c r="V863" s="5" t="n">
        <v>46207.9895833333</v>
      </c>
      <c r="W863" s="6" t="n">
        <v>46387.9999999884</v>
      </c>
    </row>
    <row r="864" customFormat="false" ht="12.75" hidden="false" customHeight="false" outlineLevel="0" collapsed="false">
      <c r="A864" s="1" t="s">
        <v>3410</v>
      </c>
      <c r="B864" s="1" t="n">
        <v>17057770</v>
      </c>
      <c r="C864" s="1" t="s">
        <v>3199</v>
      </c>
      <c r="D864" s="1" t="s">
        <v>3227</v>
      </c>
      <c r="E864" s="1" t="s">
        <v>3411</v>
      </c>
      <c r="F864" s="1" t="s">
        <v>3412</v>
      </c>
      <c r="G864" s="2" t="s">
        <v>28</v>
      </c>
      <c r="H864" s="1" t="n">
        <v>-1</v>
      </c>
      <c r="I864" s="1" t="n">
        <v>-1</v>
      </c>
      <c r="J864" s="1" t="n">
        <v>0</v>
      </c>
      <c r="K864" s="1" t="n">
        <v>-1</v>
      </c>
      <c r="L864" s="2" t="n">
        <v>13089</v>
      </c>
      <c r="M864" s="1" t="s">
        <v>70</v>
      </c>
      <c r="N864" s="1" t="s">
        <v>105</v>
      </c>
      <c r="O864" s="5" t="n">
        <v>46198.9423611111</v>
      </c>
      <c r="P864" s="5" t="n">
        <v>46223.9625</v>
      </c>
      <c r="Q864" s="1" t="n">
        <v>56.89</v>
      </c>
      <c r="R864" s="1" t="n">
        <v>-106.05</v>
      </c>
      <c r="S864" s="1" t="s">
        <v>3413</v>
      </c>
      <c r="T864" s="1" t="n">
        <v>2026</v>
      </c>
      <c r="U864" s="1" t="n">
        <v>2026</v>
      </c>
      <c r="V864" s="5" t="n">
        <v>46207.0729166667</v>
      </c>
      <c r="W864" s="6" t="n">
        <v>46387.9999999884</v>
      </c>
    </row>
    <row r="865" customFormat="false" ht="12.75" hidden="false" customHeight="false" outlineLevel="0" collapsed="false">
      <c r="A865" s="1" t="s">
        <v>3414</v>
      </c>
      <c r="B865" s="1" t="n">
        <v>17048980</v>
      </c>
      <c r="C865" s="1" t="s">
        <v>3199</v>
      </c>
      <c r="D865" s="1" t="s">
        <v>3200</v>
      </c>
      <c r="E865" s="1" t="s">
        <v>3415</v>
      </c>
      <c r="F865" s="1" t="s">
        <v>3416</v>
      </c>
      <c r="G865" s="2" t="s">
        <v>28</v>
      </c>
      <c r="H865" s="1" t="n">
        <v>-1</v>
      </c>
      <c r="I865" s="1" t="n">
        <v>-1</v>
      </c>
      <c r="J865" s="1" t="n">
        <v>0</v>
      </c>
      <c r="K865" s="1" t="n">
        <v>-1</v>
      </c>
      <c r="L865" s="2" t="n">
        <v>0.2</v>
      </c>
      <c r="M865" s="1" t="s">
        <v>70</v>
      </c>
      <c r="N865" s="1" t="s">
        <v>105</v>
      </c>
      <c r="O865" s="5" t="n">
        <v>46199.7972222222</v>
      </c>
      <c r="P865" s="5" t="n">
        <v>46224.0694444444</v>
      </c>
      <c r="Q865" s="1" t="n">
        <v>55.9098</v>
      </c>
      <c r="R865" s="1" t="n">
        <v>-103.0475</v>
      </c>
      <c r="S865" s="1" t="s">
        <v>3417</v>
      </c>
      <c r="T865" s="1" t="n">
        <v>2026</v>
      </c>
      <c r="U865" s="1" t="n">
        <v>2026</v>
      </c>
      <c r="V865" s="5" t="n">
        <v>46206.9479166667</v>
      </c>
      <c r="W865" s="6" t="n">
        <v>46387.9999999884</v>
      </c>
    </row>
    <row r="866" customFormat="false" ht="12.75" hidden="false" customHeight="false" outlineLevel="0" collapsed="false">
      <c r="A866" s="1" t="s">
        <v>3418</v>
      </c>
      <c r="B866" s="1" t="n">
        <v>16987067</v>
      </c>
      <c r="C866" s="1" t="s">
        <v>3199</v>
      </c>
      <c r="D866" s="1" t="s">
        <v>3232</v>
      </c>
      <c r="E866" s="1" t="s">
        <v>3419</v>
      </c>
      <c r="F866" s="1" t="s">
        <v>3420</v>
      </c>
      <c r="G866" s="2" t="s">
        <v>28</v>
      </c>
      <c r="H866" s="1" t="n">
        <v>-1</v>
      </c>
      <c r="I866" s="1" t="n">
        <v>-1</v>
      </c>
      <c r="J866" s="1" t="n">
        <v>0</v>
      </c>
      <c r="K866" s="1" t="n">
        <v>-1</v>
      </c>
      <c r="L866" s="2" t="n">
        <v>3779</v>
      </c>
      <c r="M866" s="1" t="s">
        <v>70</v>
      </c>
      <c r="N866" s="1" t="s">
        <v>105</v>
      </c>
      <c r="O866" s="5" t="n">
        <v>46200.8701388889</v>
      </c>
      <c r="P866" s="5" t="n">
        <v>46224.0048611111</v>
      </c>
      <c r="Q866" s="1" t="n">
        <v>57.0615</v>
      </c>
      <c r="R866" s="1" t="n">
        <v>-108.5394</v>
      </c>
      <c r="S866" s="1" t="s">
        <v>3421</v>
      </c>
      <c r="T866" s="1" t="n">
        <v>2026</v>
      </c>
      <c r="U866" s="1" t="n">
        <v>2026</v>
      </c>
      <c r="V866" s="5" t="n">
        <v>46206.0729166667</v>
      </c>
      <c r="W866" s="6" t="n">
        <v>46387.9999999884</v>
      </c>
    </row>
    <row r="867" customFormat="false" ht="12.75" hidden="false" customHeight="false" outlineLevel="0" collapsed="false">
      <c r="A867" s="1" t="s">
        <v>3422</v>
      </c>
      <c r="B867" s="1" t="n">
        <v>16364896</v>
      </c>
      <c r="C867" s="1" t="s">
        <v>3199</v>
      </c>
      <c r="D867" s="1" t="s">
        <v>3200</v>
      </c>
      <c r="E867" s="1" t="s">
        <v>3423</v>
      </c>
      <c r="F867" s="1" t="s">
        <v>3424</v>
      </c>
      <c r="G867" s="2" t="s">
        <v>28</v>
      </c>
      <c r="H867" s="1" t="n">
        <v>-1</v>
      </c>
      <c r="I867" s="1" t="n">
        <v>-1</v>
      </c>
      <c r="J867" s="1" t="n">
        <v>0</v>
      </c>
      <c r="K867" s="1" t="n">
        <v>-1</v>
      </c>
      <c r="L867" s="2" t="n">
        <v>137</v>
      </c>
      <c r="M867" s="1" t="s">
        <v>70</v>
      </c>
      <c r="N867" s="1" t="s">
        <v>105</v>
      </c>
      <c r="O867" s="5" t="n">
        <v>46187.8340277778</v>
      </c>
      <c r="P867" s="5" t="n">
        <v>46224.0743055556</v>
      </c>
      <c r="Q867" s="1" t="n">
        <v>54.9386</v>
      </c>
      <c r="R867" s="1" t="n">
        <v>-103.3036</v>
      </c>
      <c r="S867" s="1" t="s">
        <v>3425</v>
      </c>
      <c r="T867" s="1" t="n">
        <v>2026</v>
      </c>
      <c r="U867" s="1" t="n">
        <v>2026</v>
      </c>
      <c r="V867" s="5" t="n">
        <v>46195.0729166667</v>
      </c>
      <c r="W867" s="6" t="n">
        <v>46387.9999999884</v>
      </c>
    </row>
    <row r="868" customFormat="false" ht="12.75" hidden="false" customHeight="false" outlineLevel="0" collapsed="false">
      <c r="A868" s="1" t="s">
        <v>3426</v>
      </c>
      <c r="B868" s="1" t="n">
        <v>18403343</v>
      </c>
      <c r="C868" s="1" t="s">
        <v>3427</v>
      </c>
      <c r="D868" s="1" t="s">
        <v>3428</v>
      </c>
      <c r="E868" s="1" t="s">
        <v>3429</v>
      </c>
      <c r="F868" s="1" t="s">
        <v>3430</v>
      </c>
      <c r="G868" s="2" t="s">
        <v>36</v>
      </c>
      <c r="H868" s="1" t="n">
        <v>-1</v>
      </c>
      <c r="I868" s="1" t="n">
        <v>-1</v>
      </c>
      <c r="J868" s="1" t="n">
        <v>0</v>
      </c>
      <c r="K868" s="1" t="n">
        <v>-1</v>
      </c>
      <c r="L868" s="2" t="n">
        <v>0</v>
      </c>
      <c r="M868" s="1" t="s">
        <v>29</v>
      </c>
      <c r="N868" s="1" t="s">
        <v>105</v>
      </c>
      <c r="O868" s="5" t="n">
        <v>46224.1215277778</v>
      </c>
      <c r="P868" s="5" t="n">
        <v>46224.1215277778</v>
      </c>
      <c r="Q868" s="1" t="n">
        <v>59.8227</v>
      </c>
      <c r="R868" s="1" t="n">
        <v>-133.9205</v>
      </c>
      <c r="S868" s="1" t="s">
        <v>106</v>
      </c>
      <c r="T868" s="1" t="n">
        <v>2026</v>
      </c>
      <c r="U868" s="1" t="n">
        <v>2026</v>
      </c>
      <c r="V868" s="5" t="n">
        <v>46224.15625</v>
      </c>
      <c r="W868" s="6" t="n">
        <v>46387.9999999884</v>
      </c>
    </row>
    <row r="869" customFormat="false" ht="12.75" hidden="false" customHeight="false" outlineLevel="0" collapsed="false">
      <c r="A869" s="1" t="s">
        <v>3431</v>
      </c>
      <c r="B869" s="1" t="n">
        <v>18227069</v>
      </c>
      <c r="C869" s="1" t="s">
        <v>3427</v>
      </c>
      <c r="D869" s="1" t="s">
        <v>3428</v>
      </c>
      <c r="E869" s="1" t="s">
        <v>3432</v>
      </c>
      <c r="F869" s="1" t="s">
        <v>3433</v>
      </c>
      <c r="G869" s="2" t="s">
        <v>36</v>
      </c>
      <c r="H869" s="1" t="n">
        <v>-1</v>
      </c>
      <c r="I869" s="1" t="n">
        <v>-1</v>
      </c>
      <c r="J869" s="1" t="n">
        <v>0</v>
      </c>
      <c r="K869" s="1" t="n">
        <v>-1</v>
      </c>
      <c r="L869" s="2" t="n">
        <v>47</v>
      </c>
      <c r="M869" s="1" t="s">
        <v>70</v>
      </c>
      <c r="N869" s="1" t="s">
        <v>30</v>
      </c>
      <c r="O869" s="5" t="n">
        <v>46218.1006944444</v>
      </c>
      <c r="P869" s="5" t="n">
        <v>46222.1951388889</v>
      </c>
      <c r="Q869" s="1" t="n">
        <v>59.7549</v>
      </c>
      <c r="R869" s="1" t="n">
        <v>-129.1568</v>
      </c>
      <c r="S869" s="1" t="s">
        <v>3434</v>
      </c>
      <c r="T869" s="1" t="n">
        <v>2026</v>
      </c>
      <c r="U869" s="1" t="n">
        <v>2026</v>
      </c>
      <c r="V869" s="5" t="n">
        <v>46222.1979166667</v>
      </c>
      <c r="W869" s="6" t="n">
        <v>46387.9999999884</v>
      </c>
    </row>
    <row r="870" customFormat="false" ht="12.75" hidden="false" customHeight="false" outlineLevel="0" collapsed="false">
      <c r="A870" s="1" t="s">
        <v>3435</v>
      </c>
      <c r="B870" s="1" t="n">
        <v>17937390</v>
      </c>
      <c r="C870" s="1" t="s">
        <v>3427</v>
      </c>
      <c r="D870" s="1" t="s">
        <v>105</v>
      </c>
      <c r="E870" s="1" t="s">
        <v>3436</v>
      </c>
      <c r="F870" s="1" t="s">
        <v>3437</v>
      </c>
      <c r="G870" s="2" t="s">
        <v>28</v>
      </c>
      <c r="H870" s="1" t="n">
        <v>-1</v>
      </c>
      <c r="I870" s="1" t="n">
        <v>-1</v>
      </c>
      <c r="J870" s="1" t="n">
        <v>0</v>
      </c>
      <c r="K870" s="1" t="n">
        <v>-1</v>
      </c>
      <c r="L870" s="2" t="n">
        <v>25</v>
      </c>
      <c r="M870" s="1" t="s">
        <v>65</v>
      </c>
      <c r="N870" s="1" t="s">
        <v>105</v>
      </c>
      <c r="O870" s="5" t="n">
        <v>46218.8576388889</v>
      </c>
      <c r="P870" s="5" t="n">
        <v>46218.8597222222</v>
      </c>
      <c r="Q870" s="1" t="n">
        <v>66.0829</v>
      </c>
      <c r="R870" s="1" t="n">
        <v>-136.3479</v>
      </c>
      <c r="S870" s="1" t="s">
        <v>3438</v>
      </c>
      <c r="T870" s="1" t="n">
        <v>2026</v>
      </c>
      <c r="U870" s="1" t="n">
        <v>2026</v>
      </c>
      <c r="V870" s="5" t="n">
        <v>46218.8645833333</v>
      </c>
      <c r="W870" s="6" t="n">
        <v>46387.9999999884</v>
      </c>
    </row>
    <row r="871" customFormat="false" ht="12.75" hidden="false" customHeight="false" outlineLevel="0" collapsed="false">
      <c r="A871" s="1" t="s">
        <v>3439</v>
      </c>
      <c r="B871" s="1" t="n">
        <v>17765456</v>
      </c>
      <c r="C871" s="1" t="s">
        <v>3427</v>
      </c>
      <c r="D871" s="1" t="s">
        <v>105</v>
      </c>
      <c r="E871" s="1" t="s">
        <v>3440</v>
      </c>
      <c r="F871" s="1" t="s">
        <v>3441</v>
      </c>
      <c r="G871" s="2" t="s">
        <v>28</v>
      </c>
      <c r="H871" s="1" t="n">
        <v>-1</v>
      </c>
      <c r="I871" s="1" t="n">
        <v>-1</v>
      </c>
      <c r="J871" s="1" t="n">
        <v>0</v>
      </c>
      <c r="K871" s="1" t="n">
        <v>-1</v>
      </c>
      <c r="L871" s="2" t="n">
        <v>10</v>
      </c>
      <c r="M871" s="1" t="s">
        <v>65</v>
      </c>
      <c r="N871" s="1" t="s">
        <v>105</v>
      </c>
      <c r="O871" s="5" t="n">
        <v>46216.6694444444</v>
      </c>
      <c r="P871" s="5" t="n">
        <v>46216.6986111111</v>
      </c>
      <c r="Q871" s="1" t="n">
        <v>66.8678</v>
      </c>
      <c r="R871" s="1" t="n">
        <v>-140.0786</v>
      </c>
      <c r="S871" s="1" t="s">
        <v>3442</v>
      </c>
      <c r="T871" s="1" t="n">
        <v>2026</v>
      </c>
      <c r="U871" s="1" t="n">
        <v>2026</v>
      </c>
      <c r="V871" s="5" t="n">
        <v>46216.7395833333</v>
      </c>
      <c r="W871" s="6" t="n">
        <v>46387.9999999884</v>
      </c>
    </row>
    <row r="872" customFormat="false" ht="12.75" hidden="false" customHeight="false" outlineLevel="0" collapsed="false">
      <c r="A872" s="1" t="s">
        <v>3443</v>
      </c>
      <c r="B872" s="1" t="n">
        <v>17638122</v>
      </c>
      <c r="C872" s="1" t="s">
        <v>3427</v>
      </c>
      <c r="D872" s="1" t="s">
        <v>3444</v>
      </c>
      <c r="E872" s="1" t="s">
        <v>3445</v>
      </c>
      <c r="F872" s="1" t="s">
        <v>3446</v>
      </c>
      <c r="G872" s="2" t="s">
        <v>28</v>
      </c>
      <c r="H872" s="1" t="n">
        <v>-1</v>
      </c>
      <c r="I872" s="1" t="n">
        <v>-1</v>
      </c>
      <c r="J872" s="1" t="n">
        <v>0</v>
      </c>
      <c r="K872" s="1" t="n">
        <v>-1</v>
      </c>
      <c r="L872" s="2" t="n">
        <v>4</v>
      </c>
      <c r="M872" s="1" t="s">
        <v>65</v>
      </c>
      <c r="N872" s="1" t="s">
        <v>105</v>
      </c>
      <c r="O872" s="5" t="n">
        <v>46215.0277777778</v>
      </c>
      <c r="P872" s="5" t="n">
        <v>46215.0340277778</v>
      </c>
      <c r="Q872" s="1" t="n">
        <v>65.1564</v>
      </c>
      <c r="R872" s="1" t="n">
        <v>-137.8692</v>
      </c>
      <c r="S872" s="1" t="s">
        <v>3447</v>
      </c>
      <c r="T872" s="1" t="n">
        <v>2026</v>
      </c>
      <c r="U872" s="1" t="n">
        <v>2026</v>
      </c>
      <c r="V872" s="5" t="n">
        <v>46215.0729166667</v>
      </c>
      <c r="W872" s="6" t="n">
        <v>46387.9999999884</v>
      </c>
    </row>
    <row r="873" customFormat="false" ht="12.75" hidden="false" customHeight="false" outlineLevel="0" collapsed="false">
      <c r="A873" s="1" t="s">
        <v>3448</v>
      </c>
      <c r="B873" s="1" t="n">
        <v>17631488</v>
      </c>
      <c r="C873" s="1" t="s">
        <v>3427</v>
      </c>
      <c r="D873" s="1" t="s">
        <v>105</v>
      </c>
      <c r="E873" s="1" t="s">
        <v>3449</v>
      </c>
      <c r="F873" s="1" t="s">
        <v>3450</v>
      </c>
      <c r="G873" s="2" t="s">
        <v>28</v>
      </c>
      <c r="H873" s="1" t="n">
        <v>-1</v>
      </c>
      <c r="I873" s="1" t="n">
        <v>-1</v>
      </c>
      <c r="J873" s="1" t="n">
        <v>0</v>
      </c>
      <c r="K873" s="1" t="n">
        <v>-1</v>
      </c>
      <c r="L873" s="2" t="n">
        <v>50</v>
      </c>
      <c r="M873" s="1" t="s">
        <v>65</v>
      </c>
      <c r="N873" s="1" t="s">
        <v>105</v>
      </c>
      <c r="O873" s="5" t="n">
        <v>46214.9680555556</v>
      </c>
      <c r="P873" s="5" t="n">
        <v>46214.9736111111</v>
      </c>
      <c r="Q873" s="1" t="n">
        <v>66.1907</v>
      </c>
      <c r="R873" s="1" t="n">
        <v>-139.6552</v>
      </c>
      <c r="S873" s="1" t="s">
        <v>3451</v>
      </c>
      <c r="T873" s="1" t="n">
        <v>2026</v>
      </c>
      <c r="U873" s="1" t="n">
        <v>2026</v>
      </c>
      <c r="V873" s="5" t="n">
        <v>46214.9895833333</v>
      </c>
      <c r="W873" s="6" t="n">
        <v>46387.9999999884</v>
      </c>
    </row>
    <row r="874" customFormat="false" ht="12.75" hidden="false" customHeight="false" outlineLevel="0" collapsed="false">
      <c r="A874" s="1" t="s">
        <v>3452</v>
      </c>
      <c r="B874" s="1" t="n">
        <v>17321693</v>
      </c>
      <c r="C874" s="1" t="s">
        <v>3427</v>
      </c>
      <c r="D874" s="1" t="s">
        <v>3453</v>
      </c>
      <c r="E874" s="1" t="s">
        <v>3454</v>
      </c>
      <c r="F874" s="1" t="s">
        <v>3455</v>
      </c>
      <c r="G874" s="2" t="s">
        <v>36</v>
      </c>
      <c r="H874" s="1" t="n">
        <v>-1</v>
      </c>
      <c r="I874" s="1" t="n">
        <v>-1</v>
      </c>
      <c r="J874" s="1" t="n">
        <v>0</v>
      </c>
      <c r="K874" s="1" t="n">
        <v>-1</v>
      </c>
      <c r="L874" s="2" t="n">
        <v>80</v>
      </c>
      <c r="M874" s="1" t="s">
        <v>29</v>
      </c>
      <c r="N874" s="1" t="s">
        <v>105</v>
      </c>
      <c r="O874" s="5" t="n">
        <v>46203.7791666667</v>
      </c>
      <c r="P874" s="5" t="n">
        <v>46204.7569444444</v>
      </c>
      <c r="Q874" s="1" t="n">
        <v>63.2732</v>
      </c>
      <c r="R874" s="1" t="n">
        <v>-134.3952</v>
      </c>
      <c r="S874" s="1" t="s">
        <v>3456</v>
      </c>
      <c r="T874" s="1" t="n">
        <v>2026</v>
      </c>
      <c r="U874" s="1" t="n">
        <v>2026</v>
      </c>
      <c r="V874" s="5" t="n">
        <v>46210.78125</v>
      </c>
      <c r="W874" s="6" t="n">
        <v>46387.9999999884</v>
      </c>
    </row>
    <row r="875" customFormat="false" ht="12.75" hidden="false" customHeight="false" outlineLevel="0" collapsed="false">
      <c r="A875" s="1" t="s">
        <v>3457</v>
      </c>
      <c r="B875" s="1" t="n">
        <v>16984371</v>
      </c>
      <c r="C875" s="1" t="s">
        <v>3427</v>
      </c>
      <c r="D875" s="1" t="s">
        <v>3444</v>
      </c>
      <c r="E875" s="1" t="s">
        <v>3458</v>
      </c>
      <c r="F875" s="1" t="s">
        <v>3459</v>
      </c>
      <c r="G875" s="2" t="s">
        <v>28</v>
      </c>
      <c r="H875" s="1" t="n">
        <v>-1</v>
      </c>
      <c r="I875" s="1" t="n">
        <v>-1</v>
      </c>
      <c r="J875" s="1" t="n">
        <v>0</v>
      </c>
      <c r="K875" s="1" t="n">
        <v>-1</v>
      </c>
      <c r="L875" s="2" t="n">
        <v>14</v>
      </c>
      <c r="M875" s="1" t="s">
        <v>65</v>
      </c>
      <c r="N875" s="1" t="s">
        <v>105</v>
      </c>
      <c r="O875" s="5" t="n">
        <v>46198.0236111111</v>
      </c>
      <c r="P875" s="5" t="n">
        <v>46205.9909722222</v>
      </c>
      <c r="Q875" s="1" t="n">
        <v>64.3282</v>
      </c>
      <c r="R875" s="1" t="n">
        <v>-140.9694</v>
      </c>
      <c r="S875" s="1" t="s">
        <v>3460</v>
      </c>
      <c r="T875" s="1" t="n">
        <v>2026</v>
      </c>
      <c r="U875" s="1" t="n">
        <v>2026</v>
      </c>
      <c r="V875" s="5" t="n">
        <v>46206.03125</v>
      </c>
      <c r="W875" s="6" t="n">
        <v>46387.9999999884</v>
      </c>
    </row>
    <row r="876" customFormat="false" ht="12.75" hidden="false" customHeight="false" outlineLevel="0" collapsed="false">
      <c r="A876" s="1" t="s">
        <v>3461</v>
      </c>
      <c r="B876" s="1" t="n">
        <v>16984368</v>
      </c>
      <c r="C876" s="1" t="s">
        <v>3427</v>
      </c>
      <c r="D876" s="1" t="s">
        <v>3444</v>
      </c>
      <c r="E876" s="1" t="s">
        <v>3462</v>
      </c>
      <c r="F876" s="1" t="s">
        <v>3463</v>
      </c>
      <c r="G876" s="2" t="s">
        <v>28</v>
      </c>
      <c r="H876" s="1" t="n">
        <v>-1</v>
      </c>
      <c r="I876" s="1" t="n">
        <v>-1</v>
      </c>
      <c r="J876" s="1" t="n">
        <v>0</v>
      </c>
      <c r="K876" s="1" t="n">
        <v>-1</v>
      </c>
      <c r="L876" s="2" t="n">
        <v>4</v>
      </c>
      <c r="M876" s="1" t="s">
        <v>65</v>
      </c>
      <c r="N876" s="1" t="s">
        <v>105</v>
      </c>
      <c r="O876" s="5" t="n">
        <v>46195.8659722222</v>
      </c>
      <c r="P876" s="5" t="n">
        <v>46205.9923611111</v>
      </c>
      <c r="Q876" s="1" t="n">
        <v>63.7149</v>
      </c>
      <c r="R876" s="1" t="n">
        <v>-138.5275</v>
      </c>
      <c r="S876" s="1" t="s">
        <v>3464</v>
      </c>
      <c r="T876" s="1" t="n">
        <v>2026</v>
      </c>
      <c r="U876" s="1" t="n">
        <v>2026</v>
      </c>
      <c r="V876" s="5" t="n">
        <v>46206.03125</v>
      </c>
      <c r="W876" s="6" t="n">
        <v>46387.9999999884</v>
      </c>
    </row>
    <row r="877" customFormat="false" ht="12.75" hidden="false" customHeight="false" outlineLevel="0" collapsed="false">
      <c r="A877" s="1" t="s">
        <v>3465</v>
      </c>
      <c r="B877" s="1" t="n">
        <v>16600614</v>
      </c>
      <c r="C877" s="1" t="s">
        <v>3427</v>
      </c>
      <c r="D877" s="1" t="s">
        <v>3453</v>
      </c>
      <c r="E877" s="1" t="s">
        <v>3466</v>
      </c>
      <c r="F877" s="1" t="s">
        <v>3467</v>
      </c>
      <c r="G877" s="2" t="s">
        <v>28</v>
      </c>
      <c r="H877" s="1" t="n">
        <v>-1</v>
      </c>
      <c r="I877" s="1" t="n">
        <v>-1</v>
      </c>
      <c r="J877" s="1" t="n">
        <v>0</v>
      </c>
      <c r="K877" s="1" t="n">
        <v>-1</v>
      </c>
      <c r="L877" s="2" t="n">
        <v>35</v>
      </c>
      <c r="M877" s="1" t="s">
        <v>29</v>
      </c>
      <c r="N877" s="1" t="s">
        <v>37</v>
      </c>
      <c r="O877" s="5" t="n">
        <v>46194.9506944444</v>
      </c>
      <c r="P877" s="5" t="n">
        <v>46199.9458333333</v>
      </c>
      <c r="Q877" s="1" t="n">
        <v>64.082</v>
      </c>
      <c r="R877" s="1" t="n">
        <v>-135.79</v>
      </c>
      <c r="S877" s="1" t="s">
        <v>3468</v>
      </c>
      <c r="T877" s="1" t="n">
        <v>2026</v>
      </c>
      <c r="U877" s="1" t="n">
        <v>2026</v>
      </c>
      <c r="V877" s="5" t="n">
        <v>46199.9479166667</v>
      </c>
      <c r="W877" s="6" t="n">
        <v>46387.9999999884</v>
      </c>
    </row>
    <row r="878" customFormat="false" ht="12.75" hidden="false" customHeight="false" outlineLevel="0" collapsed="false">
      <c r="A878" s="1" t="s">
        <v>3469</v>
      </c>
      <c r="B878" s="1" t="n">
        <v>16534619</v>
      </c>
      <c r="C878" s="1" t="s">
        <v>3427</v>
      </c>
      <c r="D878" s="1" t="s">
        <v>3470</v>
      </c>
      <c r="E878" s="1" t="s">
        <v>3471</v>
      </c>
      <c r="F878" s="1" t="s">
        <v>3472</v>
      </c>
      <c r="G878" s="2" t="s">
        <v>36</v>
      </c>
      <c r="H878" s="1" t="n">
        <v>-1</v>
      </c>
      <c r="I878" s="1" t="n">
        <v>-1</v>
      </c>
      <c r="J878" s="1" t="n">
        <v>0</v>
      </c>
      <c r="K878" s="1" t="n">
        <v>-1</v>
      </c>
      <c r="L878" s="2" t="n">
        <v>5</v>
      </c>
      <c r="M878" s="1" t="s">
        <v>65</v>
      </c>
      <c r="N878" s="1" t="s">
        <v>105</v>
      </c>
      <c r="O878" s="5" t="n">
        <v>46198.1708333333</v>
      </c>
      <c r="P878" s="5" t="n">
        <v>46198.6652777778</v>
      </c>
      <c r="Q878" s="1" t="n">
        <v>61.5533</v>
      </c>
      <c r="R878" s="1" t="n">
        <v>-134.9428</v>
      </c>
      <c r="S878" s="1" t="s">
        <v>3473</v>
      </c>
      <c r="T878" s="1" t="n">
        <v>2026</v>
      </c>
      <c r="U878" s="1" t="n">
        <v>2026</v>
      </c>
      <c r="V878" s="5" t="n">
        <v>46198.6979166667</v>
      </c>
      <c r="W878" s="6" t="n">
        <v>46387.9999999884</v>
      </c>
    </row>
    <row r="879" customFormat="false" ht="12.75" hidden="false" customHeight="false" outlineLevel="0" collapsed="false">
      <c r="A879" s="1" t="s">
        <v>3474</v>
      </c>
      <c r="B879" s="1" t="n">
        <v>16489440</v>
      </c>
      <c r="C879" s="1" t="s">
        <v>3427</v>
      </c>
      <c r="D879" s="1" t="s">
        <v>105</v>
      </c>
      <c r="E879" s="1" t="s">
        <v>3475</v>
      </c>
      <c r="F879" s="1" t="s">
        <v>3476</v>
      </c>
      <c r="G879" s="2" t="s">
        <v>28</v>
      </c>
      <c r="H879" s="1" t="n">
        <v>-1</v>
      </c>
      <c r="I879" s="1" t="n">
        <v>-1</v>
      </c>
      <c r="J879" s="1" t="n">
        <v>0</v>
      </c>
      <c r="K879" s="1" t="n">
        <v>-1</v>
      </c>
      <c r="L879" s="2" t="n">
        <v>1.5</v>
      </c>
      <c r="M879" s="1" t="s">
        <v>65</v>
      </c>
      <c r="N879" s="1" t="s">
        <v>105</v>
      </c>
      <c r="O879" s="5" t="n">
        <v>46197.0194444444</v>
      </c>
      <c r="P879" s="5" t="n">
        <v>46197.7715277778</v>
      </c>
      <c r="Q879" s="1" t="n">
        <v>66.9742</v>
      </c>
      <c r="R879" s="1" t="n">
        <v>-140.5171</v>
      </c>
      <c r="S879" s="1" t="s">
        <v>3477</v>
      </c>
      <c r="T879" s="1" t="n">
        <v>2026</v>
      </c>
      <c r="U879" s="1" t="n">
        <v>2026</v>
      </c>
      <c r="V879" s="5" t="n">
        <v>46197.78125</v>
      </c>
      <c r="W879" s="6" t="n">
        <v>46387.9999999884</v>
      </c>
    </row>
    <row r="880" customFormat="false" ht="12.75" hidden="false" customHeight="false" outlineLevel="0" collapsed="false">
      <c r="A880" s="1" t="s">
        <v>3478</v>
      </c>
      <c r="B880" s="1" t="n">
        <v>16488546</v>
      </c>
      <c r="C880" s="1" t="s">
        <v>3427</v>
      </c>
      <c r="D880" s="1" t="s">
        <v>3444</v>
      </c>
      <c r="E880" s="1" t="s">
        <v>3479</v>
      </c>
      <c r="F880" s="1" t="s">
        <v>3480</v>
      </c>
      <c r="G880" s="2" t="s">
        <v>28</v>
      </c>
      <c r="H880" s="1" t="n">
        <v>-1</v>
      </c>
      <c r="I880" s="1" t="n">
        <v>-1</v>
      </c>
      <c r="J880" s="1" t="n">
        <v>0</v>
      </c>
      <c r="K880" s="1" t="n">
        <v>-1</v>
      </c>
      <c r="L880" s="2" t="n">
        <v>13</v>
      </c>
      <c r="M880" s="1" t="s">
        <v>65</v>
      </c>
      <c r="N880" s="1" t="s">
        <v>105</v>
      </c>
      <c r="O880" s="5" t="n">
        <v>46195.0645833333</v>
      </c>
      <c r="P880" s="5" t="n">
        <v>46195.1819444444</v>
      </c>
      <c r="Q880" s="1" t="n">
        <v>63.5523</v>
      </c>
      <c r="R880" s="1" t="n">
        <v>-139.5714</v>
      </c>
      <c r="S880" s="1" t="s">
        <v>3481</v>
      </c>
      <c r="T880" s="1" t="n">
        <v>2026</v>
      </c>
      <c r="U880" s="1" t="n">
        <v>2026</v>
      </c>
      <c r="V880" s="5" t="n">
        <v>46197.7395833333</v>
      </c>
      <c r="W880" s="6" t="n">
        <v>46387.9999999884</v>
      </c>
    </row>
    <row r="881" customFormat="false" ht="12.75" hidden="false" customHeight="false" outlineLevel="0" collapsed="false">
      <c r="A881" s="1" t="s">
        <v>3482</v>
      </c>
      <c r="B881" s="1" t="n">
        <v>16488549</v>
      </c>
      <c r="C881" s="1" t="s">
        <v>3427</v>
      </c>
      <c r="D881" s="1" t="s">
        <v>3444</v>
      </c>
      <c r="E881" s="1" t="s">
        <v>3483</v>
      </c>
      <c r="F881" s="1" t="s">
        <v>3484</v>
      </c>
      <c r="G881" s="2" t="s">
        <v>28</v>
      </c>
      <c r="H881" s="1" t="n">
        <v>-1</v>
      </c>
      <c r="I881" s="1" t="n">
        <v>-1</v>
      </c>
      <c r="J881" s="1" t="n">
        <v>0</v>
      </c>
      <c r="K881" s="1" t="n">
        <v>-1</v>
      </c>
      <c r="L881" s="2" t="n">
        <v>2</v>
      </c>
      <c r="M881" s="1" t="s">
        <v>65</v>
      </c>
      <c r="N881" s="1" t="s">
        <v>105</v>
      </c>
      <c r="O881" s="5" t="n">
        <v>46195.1444444444</v>
      </c>
      <c r="P881" s="5" t="n">
        <v>46195.1708333333</v>
      </c>
      <c r="Q881" s="1" t="n">
        <v>63.6578</v>
      </c>
      <c r="R881" s="1" t="n">
        <v>-140.1722</v>
      </c>
      <c r="S881" s="1" t="s">
        <v>3485</v>
      </c>
      <c r="T881" s="1" t="n">
        <v>2026</v>
      </c>
      <c r="U881" s="1" t="n">
        <v>2026</v>
      </c>
      <c r="V881" s="5" t="n">
        <v>46197.7395833333</v>
      </c>
      <c r="W881" s="6" t="n">
        <v>46387.9999999884</v>
      </c>
    </row>
    <row r="882" customFormat="false" ht="12.75" hidden="false" customHeight="false" outlineLevel="0" collapsed="false">
      <c r="A882" s="1" t="s">
        <v>3486</v>
      </c>
      <c r="B882" s="1" t="n">
        <v>16488551</v>
      </c>
      <c r="C882" s="1" t="s">
        <v>3427</v>
      </c>
      <c r="D882" s="1" t="s">
        <v>3444</v>
      </c>
      <c r="E882" s="1" t="s">
        <v>3487</v>
      </c>
      <c r="F882" s="1" t="s">
        <v>3488</v>
      </c>
      <c r="G882" s="2" t="s">
        <v>28</v>
      </c>
      <c r="H882" s="1" t="n">
        <v>-1</v>
      </c>
      <c r="I882" s="1" t="n">
        <v>-1</v>
      </c>
      <c r="J882" s="1" t="n">
        <v>0</v>
      </c>
      <c r="K882" s="1" t="n">
        <v>-1</v>
      </c>
      <c r="L882" s="2" t="n">
        <v>82</v>
      </c>
      <c r="M882" s="1" t="s">
        <v>65</v>
      </c>
      <c r="N882" s="1" t="s">
        <v>105</v>
      </c>
      <c r="O882" s="5" t="n">
        <v>46195.7444444444</v>
      </c>
      <c r="P882" s="5" t="n">
        <v>46195.7486111111</v>
      </c>
      <c r="Q882" s="1" t="n">
        <v>63.1663</v>
      </c>
      <c r="R882" s="1" t="n">
        <v>-140.1358</v>
      </c>
      <c r="S882" s="1" t="s">
        <v>3489</v>
      </c>
      <c r="T882" s="1" t="n">
        <v>2026</v>
      </c>
      <c r="U882" s="1" t="n">
        <v>2026</v>
      </c>
      <c r="V882" s="5" t="n">
        <v>46197.7395833333</v>
      </c>
      <c r="W882" s="6" t="n">
        <v>46387.9999999884</v>
      </c>
    </row>
    <row r="883" customFormat="false" ht="12.75" hidden="false" customHeight="false" outlineLevel="0" collapsed="false">
      <c r="A883" s="1" t="s">
        <v>3490</v>
      </c>
      <c r="B883" s="1" t="n">
        <v>16488563</v>
      </c>
      <c r="C883" s="1" t="s">
        <v>3427</v>
      </c>
      <c r="D883" s="1" t="s">
        <v>105</v>
      </c>
      <c r="E883" s="1" t="s">
        <v>3491</v>
      </c>
      <c r="F883" s="1" t="s">
        <v>3492</v>
      </c>
      <c r="G883" s="2" t="s">
        <v>28</v>
      </c>
      <c r="H883" s="1" t="n">
        <v>-1</v>
      </c>
      <c r="I883" s="1" t="n">
        <v>-1</v>
      </c>
      <c r="J883" s="1" t="n">
        <v>0</v>
      </c>
      <c r="K883" s="1" t="n">
        <v>-1</v>
      </c>
      <c r="L883" s="2" t="n">
        <v>5</v>
      </c>
      <c r="M883" s="1" t="s">
        <v>65</v>
      </c>
      <c r="N883" s="1" t="s">
        <v>105</v>
      </c>
      <c r="O883" s="5" t="n">
        <v>46196.9166666667</v>
      </c>
      <c r="P883" s="5" t="n">
        <v>46197.0458333333</v>
      </c>
      <c r="Q883" s="1" t="n">
        <v>66.8194</v>
      </c>
      <c r="R883" s="1" t="n">
        <v>-138.6362</v>
      </c>
      <c r="S883" s="1" t="s">
        <v>3493</v>
      </c>
      <c r="T883" s="1" t="n">
        <v>2026</v>
      </c>
      <c r="U883" s="1" t="n">
        <v>2026</v>
      </c>
      <c r="V883" s="5" t="n">
        <v>46197.7395833333</v>
      </c>
      <c r="W883" s="6" t="n">
        <v>46387.9999999884</v>
      </c>
    </row>
    <row r="884" customFormat="false" ht="12.75" hidden="false" customHeight="false" outlineLevel="0" collapsed="false">
      <c r="A884" s="1" t="s">
        <v>3494</v>
      </c>
      <c r="B884" s="1" t="n">
        <v>16488554</v>
      </c>
      <c r="C884" s="1" t="s">
        <v>3427</v>
      </c>
      <c r="D884" s="1" t="s">
        <v>3444</v>
      </c>
      <c r="E884" s="1" t="s">
        <v>3495</v>
      </c>
      <c r="F884" s="1" t="s">
        <v>3496</v>
      </c>
      <c r="G884" s="2" t="s">
        <v>28</v>
      </c>
      <c r="H884" s="1" t="n">
        <v>-1</v>
      </c>
      <c r="I884" s="1" t="n">
        <v>-1</v>
      </c>
      <c r="J884" s="1" t="n">
        <v>0</v>
      </c>
      <c r="K884" s="1" t="n">
        <v>-1</v>
      </c>
      <c r="L884" s="2" t="n">
        <v>0.09</v>
      </c>
      <c r="M884" s="1" t="s">
        <v>65</v>
      </c>
      <c r="N884" s="1" t="s">
        <v>105</v>
      </c>
      <c r="O884" s="5" t="n">
        <v>46195.8958333333</v>
      </c>
      <c r="P884" s="5" t="n">
        <v>46195.8986111111</v>
      </c>
      <c r="Q884" s="1" t="n">
        <v>63.4906</v>
      </c>
      <c r="R884" s="1" t="n">
        <v>-140.0357</v>
      </c>
      <c r="S884" s="1" t="s">
        <v>3497</v>
      </c>
      <c r="T884" s="1" t="n">
        <v>2026</v>
      </c>
      <c r="U884" s="1" t="n">
        <v>2026</v>
      </c>
      <c r="V884" s="5" t="n">
        <v>46197.7395833333</v>
      </c>
      <c r="W884" s="6" t="n">
        <v>46387.9999999884</v>
      </c>
    </row>
    <row r="885" customFormat="false" ht="12.75" hidden="false" customHeight="false" outlineLevel="0" collapsed="false">
      <c r="A885" s="1" t="s">
        <v>3498</v>
      </c>
      <c r="B885" s="1" t="n">
        <v>16456890</v>
      </c>
      <c r="C885" s="1" t="s">
        <v>3427</v>
      </c>
      <c r="D885" s="1" t="s">
        <v>3444</v>
      </c>
      <c r="E885" s="1" t="s">
        <v>3499</v>
      </c>
      <c r="F885" s="1" t="s">
        <v>3500</v>
      </c>
      <c r="G885" s="2" t="s">
        <v>28</v>
      </c>
      <c r="H885" s="1" t="n">
        <v>-1</v>
      </c>
      <c r="I885" s="1" t="n">
        <v>-1</v>
      </c>
      <c r="J885" s="1" t="n">
        <v>0</v>
      </c>
      <c r="K885" s="1" t="n">
        <v>-1</v>
      </c>
      <c r="L885" s="2" t="n">
        <v>0.5</v>
      </c>
      <c r="M885" s="1" t="s">
        <v>65</v>
      </c>
      <c r="N885" s="1" t="s">
        <v>105</v>
      </c>
      <c r="O885" s="5" t="n">
        <v>46195.2166666667</v>
      </c>
      <c r="P885" s="5" t="n">
        <v>46195.9055555556</v>
      </c>
      <c r="Q885" s="1" t="n">
        <v>64.0633</v>
      </c>
      <c r="R885" s="1" t="n">
        <v>-138.1352</v>
      </c>
      <c r="S885" s="1" t="s">
        <v>3501</v>
      </c>
      <c r="T885" s="1" t="n">
        <v>2026</v>
      </c>
      <c r="U885" s="1" t="n">
        <v>2026</v>
      </c>
      <c r="V885" s="5" t="n">
        <v>46197.0729166667</v>
      </c>
      <c r="W885" s="6" t="n">
        <v>46387.9999999884</v>
      </c>
    </row>
    <row r="886" customFormat="false" ht="12.75" hidden="false" customHeight="false" outlineLevel="0" collapsed="false">
      <c r="A886" s="1" t="s">
        <v>3502</v>
      </c>
      <c r="B886" s="1" t="n">
        <v>16456902</v>
      </c>
      <c r="C886" s="1" t="s">
        <v>3427</v>
      </c>
      <c r="D886" s="1" t="s">
        <v>105</v>
      </c>
      <c r="E886" s="1" t="s">
        <v>3503</v>
      </c>
      <c r="F886" s="1" t="s">
        <v>3504</v>
      </c>
      <c r="G886" s="2" t="s">
        <v>28</v>
      </c>
      <c r="H886" s="1" t="n">
        <v>-1</v>
      </c>
      <c r="I886" s="1" t="n">
        <v>-1</v>
      </c>
      <c r="J886" s="1" t="n">
        <v>0</v>
      </c>
      <c r="K886" s="1" t="n">
        <v>-1</v>
      </c>
      <c r="L886" s="2" t="n">
        <v>150</v>
      </c>
      <c r="M886" s="1" t="s">
        <v>65</v>
      </c>
      <c r="N886" s="1" t="s">
        <v>105</v>
      </c>
      <c r="O886" s="5" t="n">
        <v>46196.8166666667</v>
      </c>
      <c r="P886" s="5" t="n">
        <v>46197.0513888889</v>
      </c>
      <c r="Q886" s="1" t="n">
        <v>66.5765</v>
      </c>
      <c r="R886" s="1" t="n">
        <v>-136.3669</v>
      </c>
      <c r="S886" s="1" t="s">
        <v>3505</v>
      </c>
      <c r="T886" s="1" t="n">
        <v>2026</v>
      </c>
      <c r="U886" s="1" t="n">
        <v>2026</v>
      </c>
      <c r="V886" s="5" t="n">
        <v>46197.0729166667</v>
      </c>
      <c r="W886" s="6" t="n">
        <v>46387.9999999884</v>
      </c>
    </row>
    <row r="887" customFormat="false" ht="12.75" hidden="false" customHeight="false" outlineLevel="0" collapsed="false">
      <c r="A887" s="1" t="s">
        <v>3506</v>
      </c>
      <c r="B887" s="1" t="n">
        <v>16443298</v>
      </c>
      <c r="C887" s="1" t="s">
        <v>3427</v>
      </c>
      <c r="D887" s="1" t="s">
        <v>105</v>
      </c>
      <c r="E887" s="1" t="s">
        <v>3507</v>
      </c>
      <c r="F887" s="1" t="s">
        <v>3508</v>
      </c>
      <c r="G887" s="2" t="s">
        <v>28</v>
      </c>
      <c r="H887" s="1" t="n">
        <v>-1</v>
      </c>
      <c r="I887" s="1" t="n">
        <v>-1</v>
      </c>
      <c r="J887" s="1" t="n">
        <v>0</v>
      </c>
      <c r="K887" s="1" t="n">
        <v>-1</v>
      </c>
      <c r="L887" s="2" t="n">
        <v>3</v>
      </c>
      <c r="M887" s="1" t="s">
        <v>65</v>
      </c>
      <c r="N887" s="1" t="s">
        <v>105</v>
      </c>
      <c r="O887" s="5" t="n">
        <v>46196.1229166667</v>
      </c>
      <c r="P887" s="5" t="n">
        <v>46196.7631944444</v>
      </c>
      <c r="Q887" s="1" t="n">
        <v>66.5944</v>
      </c>
      <c r="R887" s="1" t="n">
        <v>-138.4373</v>
      </c>
      <c r="S887" s="1" t="s">
        <v>3509</v>
      </c>
      <c r="T887" s="1" t="n">
        <v>2026</v>
      </c>
      <c r="U887" s="1" t="n">
        <v>2026</v>
      </c>
      <c r="V887" s="5" t="n">
        <v>46196.78125</v>
      </c>
      <c r="W887" s="6" t="n">
        <v>46387.9999999884</v>
      </c>
    </row>
    <row r="888" customFormat="false" ht="12.75" hidden="false" customHeight="false" outlineLevel="0" collapsed="false">
      <c r="A888" s="1" t="s">
        <v>3510</v>
      </c>
      <c r="B888" s="1" t="n">
        <v>16443297</v>
      </c>
      <c r="C888" s="1" t="s">
        <v>3427</v>
      </c>
      <c r="D888" s="1" t="s">
        <v>105</v>
      </c>
      <c r="E888" s="1" t="s">
        <v>3511</v>
      </c>
      <c r="F888" s="1" t="s">
        <v>3512</v>
      </c>
      <c r="G888" s="2" t="s">
        <v>28</v>
      </c>
      <c r="H888" s="1" t="n">
        <v>-1</v>
      </c>
      <c r="I888" s="1" t="n">
        <v>-1</v>
      </c>
      <c r="J888" s="1" t="n">
        <v>0</v>
      </c>
      <c r="K888" s="1" t="n">
        <v>-1</v>
      </c>
      <c r="L888" s="2" t="n">
        <v>3</v>
      </c>
      <c r="M888" s="1" t="s">
        <v>65</v>
      </c>
      <c r="N888" s="1" t="s">
        <v>105</v>
      </c>
      <c r="O888" s="5" t="n">
        <v>46196.1159722222</v>
      </c>
      <c r="P888" s="5" t="n">
        <v>46196.7486111111</v>
      </c>
      <c r="Q888" s="1" t="n">
        <v>66.3642</v>
      </c>
      <c r="R888" s="1" t="n">
        <v>-139.8921</v>
      </c>
      <c r="S888" s="1" t="s">
        <v>3513</v>
      </c>
      <c r="T888" s="1" t="n">
        <v>2026</v>
      </c>
      <c r="U888" s="1" t="n">
        <v>2026</v>
      </c>
      <c r="V888" s="5" t="n">
        <v>46196.78125</v>
      </c>
      <c r="W888" s="6" t="n">
        <v>46387.9999999884</v>
      </c>
    </row>
    <row r="889" customFormat="false" ht="12.75" hidden="false" customHeight="false" outlineLevel="0" collapsed="false">
      <c r="A889" s="1" t="s">
        <v>3514</v>
      </c>
      <c r="B889" s="1" t="n">
        <v>15878102</v>
      </c>
      <c r="C889" s="1" t="s">
        <v>3427</v>
      </c>
      <c r="D889" s="1" t="s">
        <v>3470</v>
      </c>
      <c r="E889" s="1" t="s">
        <v>3515</v>
      </c>
      <c r="F889" s="1" t="s">
        <v>3516</v>
      </c>
      <c r="G889" s="2" t="s">
        <v>36</v>
      </c>
      <c r="H889" s="1" t="n">
        <v>-1</v>
      </c>
      <c r="I889" s="1" t="n">
        <v>-1</v>
      </c>
      <c r="J889" s="1" t="n">
        <v>0</v>
      </c>
      <c r="K889" s="1" t="n">
        <v>-1</v>
      </c>
      <c r="L889" s="2" t="n">
        <v>950</v>
      </c>
      <c r="M889" s="1" t="s">
        <v>65</v>
      </c>
      <c r="N889" s="1" t="s">
        <v>105</v>
      </c>
      <c r="O889" s="5" t="n">
        <v>46179.1013888889</v>
      </c>
      <c r="P889" s="5" t="n">
        <v>46197.7083333333</v>
      </c>
      <c r="Q889" s="1" t="n">
        <v>61.6047</v>
      </c>
      <c r="R889" s="1" t="n">
        <v>-134.6167</v>
      </c>
      <c r="S889" s="1" t="s">
        <v>3517</v>
      </c>
      <c r="T889" s="1" t="n">
        <v>2026</v>
      </c>
      <c r="U889" s="1" t="n">
        <v>2026</v>
      </c>
      <c r="V889" s="5" t="n">
        <v>46183.7395833333</v>
      </c>
      <c r="W889" s="6" t="n">
        <v>46387.9999999884</v>
      </c>
    </row>
    <row r="890" customFormat="false" ht="12.75" hidden="false" customHeight="false" outlineLevel="0" collapsed="false">
      <c r="A890" s="1" t="s">
        <v>3518</v>
      </c>
      <c r="B890" s="1" t="n">
        <v>14096656</v>
      </c>
      <c r="C890" s="1" t="s">
        <v>3427</v>
      </c>
      <c r="D890" s="1" t="s">
        <v>3519</v>
      </c>
      <c r="E890" s="1" t="s">
        <v>3520</v>
      </c>
      <c r="F890" s="1" t="s">
        <v>3521</v>
      </c>
      <c r="G890" s="2" t="s">
        <v>36</v>
      </c>
      <c r="H890" s="1" t="n">
        <v>-1</v>
      </c>
      <c r="I890" s="1" t="n">
        <v>-1</v>
      </c>
      <c r="J890" s="1" t="n">
        <v>0</v>
      </c>
      <c r="K890" s="1" t="n">
        <v>-1</v>
      </c>
      <c r="L890" s="2" t="n">
        <v>1</v>
      </c>
      <c r="M890" s="1" t="s">
        <v>65</v>
      </c>
      <c r="N890" s="1" t="s">
        <v>30</v>
      </c>
      <c r="O890" s="5" t="n">
        <v>46121.9125</v>
      </c>
      <c r="P890" s="5" t="n">
        <v>46121.9180555556</v>
      </c>
      <c r="Q890" s="1" t="n">
        <v>61.4327</v>
      </c>
      <c r="R890" s="1" t="n">
        <v>-137.0263</v>
      </c>
      <c r="S890" s="1" t="s">
        <v>3522</v>
      </c>
      <c r="T890" s="1" t="n">
        <v>2026</v>
      </c>
      <c r="U890" s="1" t="n">
        <v>2026</v>
      </c>
      <c r="V890" s="5" t="n">
        <v>46121.9479166667</v>
      </c>
      <c r="W890" s="6" t="n">
        <v>46387.9999999884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15.57"/>
    <col collapsed="false" customWidth="true" hidden="false" outlineLevel="0" max="3" min="3" style="1" width="2.16"/>
    <col collapsed="false" customWidth="true" hidden="false" outlineLevel="0" max="5" min="4" style="1" width="6.14"/>
    <col collapsed="false" customWidth="true" hidden="false" outlineLevel="0" max="6" min="6" style="1" width="5.14"/>
    <col collapsed="false" customWidth="true" hidden="false" outlineLevel="0" max="10" min="7" style="1" width="11.53"/>
    <col collapsed="false" customWidth="true" hidden="false" outlineLevel="0" max="11" min="11" style="1" width="16.74"/>
    <col collapsed="false" customWidth="true" hidden="false" outlineLevel="0" max="12" min="12" style="1" width="7.69"/>
    <col collapsed="false" customWidth="true" hidden="false" outlineLevel="0" max="13" min="13" style="1" width="11.53"/>
    <col collapsed="false" customWidth="true" hidden="false" outlineLevel="0" max="14" min="14" style="1" width="5.14"/>
    <col collapsed="false" customWidth="true" hidden="false" outlineLevel="0" max="15" min="15" style="1" width="4.14"/>
    <col collapsed="false" customWidth="true" hidden="false" outlineLevel="0" max="16" min="16" style="1" width="5.14"/>
    <col collapsed="false" customWidth="true" hidden="false" outlineLevel="0" max="18" min="17" style="1" width="4.14"/>
    <col collapsed="false" customWidth="true" hidden="false" outlineLevel="0" max="20" min="19" style="1" width="5.14"/>
    <col collapsed="false" customWidth="true" hidden="false" outlineLevel="0" max="21" min="21" style="1" width="4.14"/>
    <col collapsed="false" customWidth="true" hidden="false" outlineLevel="0" max="22" min="22" style="1" width="5.14"/>
    <col collapsed="false" customWidth="true" hidden="false" outlineLevel="0" max="23" min="23" style="1" width="4.14"/>
    <col collapsed="false" customWidth="true" hidden="false" outlineLevel="0" max="24" min="24" style="1" width="2.16"/>
    <col collapsed="false" customWidth="true" hidden="false" outlineLevel="0" max="26" min="25" style="1" width="4.14"/>
    <col collapsed="false" customWidth="true" hidden="false" outlineLevel="0" max="27" min="27" style="1" width="5.14"/>
    <col collapsed="false" customWidth="true" hidden="false" outlineLevel="0" max="29" min="28" style="1" width="4.14"/>
    <col collapsed="false" customWidth="true" hidden="false" outlineLevel="0" max="30" min="30" style="1" width="2.16"/>
    <col collapsed="false" customWidth="true" hidden="false" outlineLevel="0" max="31" min="31" style="1" width="4.14"/>
    <col collapsed="false" customWidth="true" hidden="false" outlineLevel="0" max="32" min="32" style="1" width="5.14"/>
    <col collapsed="false" customWidth="true" hidden="false" outlineLevel="0" max="35" min="33" style="1" width="4.14"/>
    <col collapsed="false" customWidth="true" hidden="false" outlineLevel="0" max="37" min="36" style="1" width="5.14"/>
    <col collapsed="false" customWidth="true" hidden="false" outlineLevel="0" max="38" min="38" style="1" width="4.14"/>
    <col collapsed="false" customWidth="true" hidden="false" outlineLevel="0" max="39" min="39" style="1" width="2.16"/>
    <col collapsed="false" customWidth="true" hidden="false" outlineLevel="0" max="42" min="40" style="1" width="4.14"/>
    <col collapsed="false" customWidth="true" hidden="false" outlineLevel="0" max="43" min="43" style="1" width="2.16"/>
    <col collapsed="false" customWidth="true" hidden="false" outlineLevel="0" max="45" min="44" style="1" width="4.14"/>
    <col collapsed="false" customWidth="true" hidden="false" outlineLevel="0" max="46" min="46" style="1" width="5.14"/>
    <col collapsed="false" customWidth="true" hidden="false" outlineLevel="0" max="47" min="47" style="1" width="2.16"/>
    <col collapsed="false" customWidth="true" hidden="false" outlineLevel="0" max="51" min="48" style="1" width="4.14"/>
    <col collapsed="false" customWidth="true" hidden="false" outlineLevel="0" max="53" min="52" style="1" width="2.16"/>
    <col collapsed="false" customWidth="true" hidden="false" outlineLevel="0" max="54" min="54" style="1" width="4.14"/>
    <col collapsed="false" customWidth="true" hidden="false" outlineLevel="0" max="55" min="55" style="1" width="2.16"/>
    <col collapsed="false" customWidth="true" hidden="false" outlineLevel="0" max="56" min="56" style="1" width="4.14"/>
    <col collapsed="false" customWidth="true" hidden="false" outlineLevel="0" max="57" min="57" style="1" width="2.16"/>
    <col collapsed="false" customWidth="true" hidden="false" outlineLevel="0" max="58" min="58" style="1" width="4.14"/>
    <col collapsed="false" customWidth="true" hidden="false" outlineLevel="0" max="59" min="59" style="1" width="3.15"/>
    <col collapsed="false" customWidth="true" hidden="false" outlineLevel="0" max="60" min="60" style="1" width="7.16"/>
    <col collapsed="false" customWidth="true" hidden="false" outlineLevel="0" max="61" min="61" style="1" width="3.15"/>
    <col collapsed="false" customWidth="true" hidden="false" outlineLevel="0" max="63" min="62" style="1" width="5.14"/>
    <col collapsed="false" customWidth="true" hidden="false" outlineLevel="0" max="64" min="64" style="1" width="3.15"/>
    <col collapsed="false" customWidth="true" hidden="false" outlineLevel="0" max="66" min="65" style="1" width="5.14"/>
    <col collapsed="false" customWidth="true" hidden="false" outlineLevel="0" max="67" min="67" style="1" width="3.15"/>
    <col collapsed="false" customWidth="true" hidden="false" outlineLevel="0" max="68" min="68" style="1" width="5.14"/>
    <col collapsed="false" customWidth="true" hidden="false" outlineLevel="0" max="69" min="69" style="1" width="3.15"/>
    <col collapsed="false" customWidth="true" hidden="false" outlineLevel="0" max="70" min="70" style="1" width="5.14"/>
    <col collapsed="false" customWidth="true" hidden="false" outlineLevel="0" max="72" min="71" style="1" width="3.15"/>
    <col collapsed="false" customWidth="true" hidden="false" outlineLevel="0" max="74" min="73" style="1" width="5.14"/>
    <col collapsed="false" customWidth="true" hidden="false" outlineLevel="0" max="75" min="75" style="1" width="3.15"/>
    <col collapsed="false" customWidth="true" hidden="false" outlineLevel="0" max="76" min="76" style="1" width="5.14"/>
    <col collapsed="false" customWidth="true" hidden="false" outlineLevel="0" max="81" min="77" style="1" width="3.15"/>
    <col collapsed="false" customWidth="true" hidden="false" outlineLevel="0" max="83" min="82" style="1" width="5.14"/>
    <col collapsed="false" customWidth="true" hidden="false" outlineLevel="0" max="84" min="84" style="1" width="3.15"/>
    <col collapsed="false" customWidth="true" hidden="false" outlineLevel="0" max="85" min="85" style="1" width="5.14"/>
    <col collapsed="false" customWidth="true" hidden="false" outlineLevel="0" max="86" min="86" style="1" width="3.15"/>
    <col collapsed="false" customWidth="true" hidden="false" outlineLevel="0" max="87" min="87" style="1" width="5.14"/>
    <col collapsed="false" customWidth="true" hidden="false" outlineLevel="0" max="89" min="88" style="1" width="3.15"/>
    <col collapsed="false" customWidth="true" hidden="false" outlineLevel="0" max="90" min="90" style="1" width="5.14"/>
    <col collapsed="false" customWidth="true" hidden="false" outlineLevel="0" max="91" min="91" style="1" width="3.15"/>
    <col collapsed="false" customWidth="true" hidden="false" outlineLevel="0" max="93" min="92" style="1" width="5.14"/>
    <col collapsed="false" customWidth="true" hidden="false" outlineLevel="0" max="94" min="94" style="1" width="3.15"/>
    <col collapsed="false" customWidth="true" hidden="false" outlineLevel="0" max="95" min="95" style="1" width="6.14"/>
    <col collapsed="false" customWidth="true" hidden="false" outlineLevel="0" max="101" min="96" style="1" width="3.15"/>
    <col collapsed="false" customWidth="true" hidden="false" outlineLevel="0" max="102" min="102" style="1" width="5.14"/>
    <col collapsed="false" customWidth="true" hidden="false" outlineLevel="0" max="105" min="103" style="1" width="3.15"/>
    <col collapsed="false" customWidth="true" hidden="false" outlineLevel="0" max="107" min="106" style="1" width="5.14"/>
    <col collapsed="false" customWidth="true" hidden="false" outlineLevel="0" max="111" min="108" style="1" width="3.15"/>
    <col collapsed="false" customWidth="true" hidden="false" outlineLevel="0" max="113" min="112" style="1" width="5.14"/>
    <col collapsed="false" customWidth="true" hidden="false" outlineLevel="0" max="114" min="114" style="1" width="3.15"/>
    <col collapsed="false" customWidth="true" hidden="false" outlineLevel="0" max="115" min="115" style="1" width="5.14"/>
    <col collapsed="false" customWidth="true" hidden="false" outlineLevel="0" max="116" min="116" style="1" width="3.15"/>
    <col collapsed="false" customWidth="true" hidden="false" outlineLevel="0" max="117" min="117" style="1" width="5.14"/>
    <col collapsed="false" customWidth="true" hidden="false" outlineLevel="0" max="118" min="118" style="1" width="3.15"/>
    <col collapsed="false" customWidth="true" hidden="false" outlineLevel="0" max="119" min="119" style="1" width="5.14"/>
    <col collapsed="false" customWidth="true" hidden="false" outlineLevel="0" max="124" min="120" style="1" width="3.15"/>
    <col collapsed="false" customWidth="true" hidden="false" outlineLevel="0" max="125" min="125" style="1" width="5.14"/>
    <col collapsed="false" customWidth="true" hidden="false" outlineLevel="0" max="126" min="126" style="1" width="3.15"/>
    <col collapsed="false" customWidth="true" hidden="false" outlineLevel="0" max="127" min="127" style="1" width="5.14"/>
    <col collapsed="false" customWidth="true" hidden="false" outlineLevel="0" max="128" min="128" style="1" width="3.15"/>
    <col collapsed="false" customWidth="true" hidden="false" outlineLevel="0" max="129" min="129" style="1" width="5.14"/>
    <col collapsed="false" customWidth="true" hidden="false" outlineLevel="0" max="130" min="130" style="1" width="3.15"/>
    <col collapsed="false" customWidth="true" hidden="false" outlineLevel="0" max="133" min="131" style="1" width="5.14"/>
    <col collapsed="false" customWidth="true" hidden="false" outlineLevel="0" max="139" min="134" style="1" width="3.15"/>
    <col collapsed="false" customWidth="true" hidden="false" outlineLevel="0" max="140" min="140" style="1" width="5.14"/>
    <col collapsed="false" customWidth="true" hidden="false" outlineLevel="0" max="146" min="141" style="1" width="3.15"/>
    <col collapsed="false" customWidth="true" hidden="false" outlineLevel="0" max="147" min="147" style="1" width="7.16"/>
    <col collapsed="false" customWidth="true" hidden="false" outlineLevel="0" max="153" min="148" style="1" width="3.15"/>
    <col collapsed="false" customWidth="true" hidden="false" outlineLevel="0" max="154" min="154" style="1" width="5.14"/>
    <col collapsed="false" customWidth="true" hidden="false" outlineLevel="0" max="155" min="155" style="1" width="3.15"/>
    <col collapsed="false" customWidth="true" hidden="false" outlineLevel="0" max="156" min="156" style="1" width="5.14"/>
    <col collapsed="false" customWidth="true" hidden="false" outlineLevel="0" max="157" min="157" style="1" width="6.14"/>
    <col collapsed="false" customWidth="true" hidden="false" outlineLevel="0" max="160" min="158" style="1" width="4.29"/>
    <col collapsed="false" customWidth="true" hidden="false" outlineLevel="0" max="161" min="161" style="1" width="7.16"/>
    <col collapsed="false" customWidth="true" hidden="false" outlineLevel="0" max="165" min="162" style="1" width="6.14"/>
    <col collapsed="false" customWidth="true" hidden="false" outlineLevel="0" max="168" min="166" style="1" width="4.29"/>
    <col collapsed="false" customWidth="true" hidden="false" outlineLevel="0" max="171" min="169" style="1" width="6.14"/>
    <col collapsed="false" customWidth="true" hidden="false" outlineLevel="0" max="173" min="172" style="1" width="4.29"/>
    <col collapsed="false" customWidth="true" hidden="false" outlineLevel="0" max="174" min="174" style="1" width="6.14"/>
    <col collapsed="false" customWidth="true" hidden="false" outlineLevel="0" max="175" min="175" style="1" width="4.29"/>
    <col collapsed="false" customWidth="true" hidden="false" outlineLevel="0" max="177" min="176" style="1" width="6.14"/>
    <col collapsed="false" customWidth="true" hidden="false" outlineLevel="0" max="178" min="178" style="1" width="4.29"/>
    <col collapsed="false" customWidth="true" hidden="false" outlineLevel="0" max="179" min="179" style="1" width="7.16"/>
    <col collapsed="false" customWidth="true" hidden="false" outlineLevel="0" max="183" min="180" style="1" width="4.29"/>
    <col collapsed="false" customWidth="true" hidden="false" outlineLevel="0" max="185" min="184" style="1" width="6.14"/>
    <col collapsed="false" customWidth="true" hidden="false" outlineLevel="0" max="186" min="186" style="1" width="4.29"/>
    <col collapsed="false" customWidth="true" hidden="false" outlineLevel="0" max="188" min="187" style="1" width="6.14"/>
    <col collapsed="false" customWidth="true" hidden="false" outlineLevel="0" max="194" min="189" style="1" width="4.29"/>
    <col collapsed="false" customWidth="true" hidden="false" outlineLevel="0" max="196" min="195" style="1" width="6.14"/>
    <col collapsed="false" customWidth="true" hidden="false" outlineLevel="0" max="199" min="197" style="1" width="4.29"/>
    <col collapsed="false" customWidth="true" hidden="false" outlineLevel="0" max="200" min="200" style="1" width="6.14"/>
    <col collapsed="false" customWidth="true" hidden="false" outlineLevel="0" max="202" min="201" style="1" width="4.29"/>
    <col collapsed="false" customWidth="true" hidden="false" outlineLevel="0" max="203" min="203" style="1" width="6.14"/>
    <col collapsed="false" customWidth="true" hidden="false" outlineLevel="0" max="204" min="204" style="1" width="4.29"/>
    <col collapsed="false" customWidth="true" hidden="false" outlineLevel="0" max="205" min="205" style="1" width="6.14"/>
    <col collapsed="false" customWidth="true" hidden="false" outlineLevel="0" max="206" min="206" style="1" width="7.16"/>
    <col collapsed="false" customWidth="true" hidden="false" outlineLevel="0" max="207" min="207" style="1" width="4.29"/>
    <col collapsed="false" customWidth="true" hidden="false" outlineLevel="0" max="208" min="208" style="1" width="6.14"/>
    <col collapsed="false" customWidth="true" hidden="false" outlineLevel="0" max="210" min="209" style="1" width="4.29"/>
    <col collapsed="false" customWidth="true" hidden="false" outlineLevel="0" max="212" min="211" style="1" width="6.14"/>
    <col collapsed="false" customWidth="true" hidden="false" outlineLevel="0" max="213" min="213" style="1" width="4.29"/>
    <col collapsed="false" customWidth="true" hidden="false" outlineLevel="0" max="214" min="214" style="1" width="6.14"/>
    <col collapsed="false" customWidth="true" hidden="false" outlineLevel="0" max="218" min="215" style="1" width="4.29"/>
    <col collapsed="false" customWidth="true" hidden="false" outlineLevel="0" max="219" min="219" style="1" width="6.14"/>
    <col collapsed="false" customWidth="true" hidden="false" outlineLevel="0" max="220" min="220" style="1" width="4.29"/>
    <col collapsed="false" customWidth="true" hidden="false" outlineLevel="0" max="221" min="221" style="1" width="6.14"/>
    <col collapsed="false" customWidth="true" hidden="false" outlineLevel="0" max="230" min="222" style="1" width="4.29"/>
    <col collapsed="false" customWidth="true" hidden="false" outlineLevel="0" max="231" min="231" style="1" width="6.14"/>
    <col collapsed="false" customWidth="true" hidden="false" outlineLevel="0" max="236" min="232" style="1" width="4.29"/>
    <col collapsed="false" customWidth="true" hidden="false" outlineLevel="0" max="238" min="237" style="1" width="6.14"/>
    <col collapsed="false" customWidth="true" hidden="false" outlineLevel="0" max="239" min="239" style="1" width="4.29"/>
    <col collapsed="false" customWidth="true" hidden="false" outlineLevel="0" max="240" min="240" style="1" width="6.14"/>
    <col collapsed="false" customWidth="true" hidden="false" outlineLevel="0" max="242" min="241" style="1" width="4.29"/>
    <col collapsed="false" customWidth="true" hidden="false" outlineLevel="0" max="243" min="243" style="1" width="6.14"/>
    <col collapsed="false" customWidth="true" hidden="false" outlineLevel="0" max="244" min="244" style="1" width="4.29"/>
    <col collapsed="false" customWidth="true" hidden="false" outlineLevel="0" max="245" min="245" style="1" width="6.14"/>
    <col collapsed="false" customWidth="true" hidden="false" outlineLevel="0" max="246" min="246" style="1" width="4.29"/>
    <col collapsed="false" customWidth="true" hidden="false" outlineLevel="0" max="247" min="247" style="1" width="6.14"/>
    <col collapsed="false" customWidth="true" hidden="false" outlineLevel="0" max="249" min="248" style="1" width="4.29"/>
    <col collapsed="false" customWidth="true" hidden="false" outlineLevel="0" max="250" min="250" style="1" width="6.14"/>
    <col collapsed="false" customWidth="true" hidden="false" outlineLevel="0" max="253" min="251" style="1" width="4.29"/>
    <col collapsed="false" customWidth="true" hidden="false" outlineLevel="0" max="254" min="254" style="1" width="6.14"/>
    <col collapsed="false" customWidth="true" hidden="false" outlineLevel="0" max="255" min="255" style="1" width="4.29"/>
    <col collapsed="false" customWidth="true" hidden="false" outlineLevel="0" max="256" min="256" style="1" width="6.14"/>
    <col collapsed="false" customWidth="true" hidden="false" outlineLevel="0" max="258" min="257" style="1" width="4.29"/>
    <col collapsed="false" customWidth="true" hidden="false" outlineLevel="0" max="259" min="259" style="1" width="6.14"/>
    <col collapsed="false" customWidth="true" hidden="false" outlineLevel="0" max="261" min="260" style="1" width="4.29"/>
    <col collapsed="false" customWidth="true" hidden="false" outlineLevel="0" max="262" min="262" style="1" width="7.16"/>
    <col collapsed="false" customWidth="true" hidden="false" outlineLevel="0" max="263" min="263" style="1" width="4.29"/>
    <col collapsed="false" customWidth="true" hidden="false" outlineLevel="0" max="264" min="264" style="1" width="6.14"/>
    <col collapsed="false" customWidth="true" hidden="false" outlineLevel="0" max="265" min="265" style="1" width="4.29"/>
    <col collapsed="false" customWidth="true" hidden="false" outlineLevel="0" max="268" min="266" style="1" width="6.14"/>
    <col collapsed="false" customWidth="true" hidden="false" outlineLevel="0" max="269" min="269" style="1" width="4.29"/>
    <col collapsed="false" customWidth="true" hidden="false" outlineLevel="0" max="273" min="270" style="1" width="6.14"/>
    <col collapsed="false" customWidth="true" hidden="false" outlineLevel="0" max="274" min="274" style="1" width="4.29"/>
    <col collapsed="false" customWidth="true" hidden="false" outlineLevel="0" max="275" min="275" style="1" width="6.14"/>
    <col collapsed="false" customWidth="true" hidden="false" outlineLevel="0" max="280" min="276" style="1" width="4.29"/>
    <col collapsed="false" customWidth="true" hidden="false" outlineLevel="0" max="281" min="281" style="1" width="6.14"/>
    <col collapsed="false" customWidth="true" hidden="false" outlineLevel="0" max="282" min="282" style="1" width="4.29"/>
    <col collapsed="false" customWidth="true" hidden="false" outlineLevel="0" max="283" min="283" style="1" width="6.14"/>
    <col collapsed="false" customWidth="true" hidden="false" outlineLevel="0" max="288" min="284" style="1" width="4.29"/>
    <col collapsed="false" customWidth="true" hidden="false" outlineLevel="0" max="289" min="289" style="1" width="6.14"/>
    <col collapsed="false" customWidth="true" hidden="false" outlineLevel="0" max="290" min="290" style="1" width="4.29"/>
    <col collapsed="false" customWidth="true" hidden="false" outlineLevel="0" max="292" min="291" style="1" width="6.14"/>
    <col collapsed="false" customWidth="true" hidden="false" outlineLevel="0" max="297" min="293" style="1" width="4.29"/>
    <col collapsed="false" customWidth="true" hidden="false" outlineLevel="0" max="298" min="298" style="1" width="6.14"/>
    <col collapsed="false" customWidth="true" hidden="false" outlineLevel="0" max="300" min="299" style="1" width="4.29"/>
    <col collapsed="false" customWidth="true" hidden="false" outlineLevel="0" max="301" min="301" style="1" width="6.14"/>
    <col collapsed="false" customWidth="true" hidden="false" outlineLevel="0" max="302" min="302" style="1" width="4.29"/>
    <col collapsed="false" customWidth="true" hidden="false" outlineLevel="0" max="304" min="303" style="1" width="6.14"/>
    <col collapsed="false" customWidth="true" hidden="false" outlineLevel="0" max="306" min="305" style="1" width="4.29"/>
    <col collapsed="false" customWidth="true" hidden="false" outlineLevel="0" max="307" min="307" style="1" width="6.14"/>
    <col collapsed="false" customWidth="true" hidden="false" outlineLevel="0" max="311" min="308" style="1" width="4.29"/>
    <col collapsed="false" customWidth="true" hidden="false" outlineLevel="0" max="312" min="312" style="1" width="6.14"/>
    <col collapsed="false" customWidth="true" hidden="false" outlineLevel="0" max="315" min="313" style="1" width="4.29"/>
    <col collapsed="false" customWidth="true" hidden="false" outlineLevel="0" max="316" min="316" style="1" width="7.16"/>
    <col collapsed="false" customWidth="true" hidden="false" outlineLevel="0" max="317" min="317" style="1" width="6.14"/>
    <col collapsed="false" customWidth="true" hidden="false" outlineLevel="0" max="322" min="318" style="1" width="5.29"/>
    <col collapsed="false" customWidth="true" hidden="false" outlineLevel="0" max="323" min="323" style="1" width="7.16"/>
    <col collapsed="false" customWidth="true" hidden="false" outlineLevel="0" max="324" min="324" style="1" width="5.29"/>
    <col collapsed="false" customWidth="true" hidden="false" outlineLevel="0" max="326" min="325" style="1" width="7.16"/>
    <col collapsed="false" customWidth="true" hidden="false" outlineLevel="0" max="327" min="327" style="1" width="5.29"/>
    <col collapsed="false" customWidth="true" hidden="false" outlineLevel="0" max="328" min="328" style="1" width="7.16"/>
    <col collapsed="false" customWidth="true" hidden="false" outlineLevel="0" max="330" min="329" style="1" width="5.29"/>
    <col collapsed="false" customWidth="true" hidden="false" outlineLevel="0" max="331" min="331" style="1" width="7.16"/>
    <col collapsed="false" customWidth="true" hidden="false" outlineLevel="0" max="332" min="332" style="1" width="5.29"/>
    <col collapsed="false" customWidth="true" hidden="false" outlineLevel="0" max="336" min="333" style="1" width="7.16"/>
    <col collapsed="false" customWidth="true" hidden="false" outlineLevel="0" max="337" min="337" style="1" width="5.29"/>
    <col collapsed="false" customWidth="true" hidden="false" outlineLevel="0" max="338" min="338" style="1" width="7.16"/>
    <col collapsed="false" customWidth="true" hidden="false" outlineLevel="0" max="342" min="339" style="1" width="5.29"/>
    <col collapsed="false" customWidth="true" hidden="false" outlineLevel="0" max="346" min="343" style="1" width="7.16"/>
    <col collapsed="false" customWidth="true" hidden="false" outlineLevel="0" max="348" min="347" style="1" width="5.29"/>
    <col collapsed="false" customWidth="true" hidden="false" outlineLevel="0" max="349" min="349" style="1" width="7.16"/>
    <col collapsed="false" customWidth="true" hidden="false" outlineLevel="0" max="350" min="350" style="1" width="5.29"/>
    <col collapsed="false" customWidth="true" hidden="false" outlineLevel="0" max="351" min="351" style="1" width="7.16"/>
    <col collapsed="false" customWidth="true" hidden="false" outlineLevel="0" max="352" min="352" style="1" width="5.29"/>
    <col collapsed="false" customWidth="true" hidden="false" outlineLevel="0" max="353" min="353" style="1" width="7.16"/>
    <col collapsed="false" customWidth="true" hidden="false" outlineLevel="0" max="354" min="354" style="1" width="5.29"/>
    <col collapsed="false" customWidth="true" hidden="false" outlineLevel="0" max="356" min="355" style="1" width="7.16"/>
    <col collapsed="false" customWidth="true" hidden="false" outlineLevel="0" max="362" min="357" style="1" width="5.29"/>
    <col collapsed="false" customWidth="true" hidden="false" outlineLevel="0" max="364" min="363" style="1" width="7.16"/>
    <col collapsed="false" customWidth="true" hidden="false" outlineLevel="0" max="365" min="365" style="1" width="5.29"/>
    <col collapsed="false" customWidth="true" hidden="false" outlineLevel="0" max="366" min="366" style="1" width="7.16"/>
    <col collapsed="false" customWidth="true" hidden="false" outlineLevel="0" max="369" min="367" style="1" width="5.29"/>
    <col collapsed="false" customWidth="true" hidden="false" outlineLevel="0" max="370" min="370" style="1" width="7.16"/>
    <col collapsed="false" customWidth="true" hidden="false" outlineLevel="0" max="373" min="371" style="1" width="5.29"/>
    <col collapsed="false" customWidth="true" hidden="false" outlineLevel="0" max="375" min="374" style="1" width="7.16"/>
    <col collapsed="false" customWidth="true" hidden="false" outlineLevel="0" max="380" min="376" style="1" width="5.29"/>
    <col collapsed="false" customWidth="true" hidden="false" outlineLevel="0" max="381" min="381" style="1" width="7.16"/>
    <col collapsed="false" customWidth="true" hidden="false" outlineLevel="0" max="382" min="382" style="1" width="5.29"/>
    <col collapsed="false" customWidth="true" hidden="false" outlineLevel="0" max="383" min="383" style="1" width="7.16"/>
    <col collapsed="false" customWidth="true" hidden="false" outlineLevel="0" max="384" min="384" style="1" width="5.29"/>
    <col collapsed="false" customWidth="true" hidden="false" outlineLevel="0" max="385" min="385" style="1" width="7.16"/>
    <col collapsed="false" customWidth="true" hidden="false" outlineLevel="0" max="386" min="386" style="1" width="5.29"/>
    <col collapsed="false" customWidth="true" hidden="false" outlineLevel="0" max="389" min="387" style="1" width="7.16"/>
    <col collapsed="false" customWidth="true" hidden="false" outlineLevel="0" max="392" min="390" style="1" width="5.29"/>
    <col collapsed="false" customWidth="true" hidden="false" outlineLevel="0" max="393" min="393" style="1" width="7.16"/>
    <col collapsed="false" customWidth="true" hidden="false" outlineLevel="0" max="394" min="394" style="1" width="5.29"/>
    <col collapsed="false" customWidth="true" hidden="false" outlineLevel="0" max="395" min="395" style="1" width="7.16"/>
    <col collapsed="false" customWidth="true" hidden="false" outlineLevel="0" max="396" min="396" style="1" width="5.29"/>
    <col collapsed="false" customWidth="true" hidden="false" outlineLevel="0" max="399" min="397" style="1" width="7.16"/>
    <col collapsed="false" customWidth="true" hidden="false" outlineLevel="0" max="401" min="400" style="1" width="5.29"/>
    <col collapsed="false" customWidth="true" hidden="false" outlineLevel="0" max="403" min="402" style="1" width="7.16"/>
    <col collapsed="false" customWidth="true" hidden="false" outlineLevel="0" max="404" min="404" style="1" width="5.29"/>
    <col collapsed="false" customWidth="true" hidden="false" outlineLevel="0" max="405" min="405" style="1" width="7.16"/>
    <col collapsed="false" customWidth="true" hidden="false" outlineLevel="0" max="406" min="406" style="1" width="5.29"/>
    <col collapsed="false" customWidth="true" hidden="false" outlineLevel="0" max="407" min="407" style="1" width="7.16"/>
    <col collapsed="false" customWidth="true" hidden="false" outlineLevel="0" max="409" min="408" style="1" width="5.29"/>
    <col collapsed="false" customWidth="true" hidden="false" outlineLevel="0" max="411" min="410" style="1" width="7.16"/>
    <col collapsed="false" customWidth="true" hidden="false" outlineLevel="0" max="412" min="412" style="1" width="5.29"/>
    <col collapsed="false" customWidth="true" hidden="false" outlineLevel="0" max="413" min="413" style="1" width="7.16"/>
    <col collapsed="false" customWidth="true" hidden="false" outlineLevel="0" max="418" min="414" style="1" width="5.29"/>
    <col collapsed="false" customWidth="true" hidden="false" outlineLevel="0" max="420" min="419" style="1" width="7.16"/>
    <col collapsed="false" customWidth="true" hidden="false" outlineLevel="0" max="422" min="421" style="1" width="5.29"/>
    <col collapsed="false" customWidth="true" hidden="false" outlineLevel="0" max="424" min="423" style="1" width="7.16"/>
    <col collapsed="false" customWidth="true" hidden="false" outlineLevel="0" max="425" min="425" style="1" width="5.29"/>
    <col collapsed="false" customWidth="true" hidden="false" outlineLevel="0" max="426" min="426" style="1" width="7.16"/>
    <col collapsed="false" customWidth="true" hidden="false" outlineLevel="0" max="427" min="427" style="1" width="5.29"/>
    <col collapsed="false" customWidth="true" hidden="false" outlineLevel="0" max="428" min="428" style="1" width="7.16"/>
    <col collapsed="false" customWidth="true" hidden="false" outlineLevel="0" max="430" min="429" style="1" width="5.29"/>
    <col collapsed="false" customWidth="true" hidden="false" outlineLevel="0" max="431" min="431" style="1" width="7.16"/>
    <col collapsed="false" customWidth="true" hidden="false" outlineLevel="0" max="433" min="432" style="1" width="5.29"/>
    <col collapsed="false" customWidth="true" hidden="false" outlineLevel="0" max="435" min="434" style="1" width="7.16"/>
    <col collapsed="false" customWidth="true" hidden="false" outlineLevel="0" max="436" min="436" style="1" width="5.29"/>
    <col collapsed="false" customWidth="true" hidden="false" outlineLevel="0" max="438" min="437" style="1" width="7.16"/>
    <col collapsed="false" customWidth="true" hidden="false" outlineLevel="0" max="441" min="439" style="1" width="5.29"/>
    <col collapsed="false" customWidth="true" hidden="false" outlineLevel="0" max="443" min="442" style="1" width="7.16"/>
    <col collapsed="false" customWidth="true" hidden="false" outlineLevel="0" max="444" min="444" style="1" width="5.29"/>
    <col collapsed="false" customWidth="true" hidden="false" outlineLevel="0" max="445" min="445" style="1" width="7.16"/>
    <col collapsed="false" customWidth="true" hidden="false" outlineLevel="0" max="446" min="446" style="1" width="5.29"/>
    <col collapsed="false" customWidth="true" hidden="false" outlineLevel="0" max="447" min="447" style="1" width="7.16"/>
    <col collapsed="false" customWidth="true" hidden="false" outlineLevel="0" max="448" min="448" style="1" width="5.29"/>
    <col collapsed="false" customWidth="true" hidden="false" outlineLevel="0" max="449" min="449" style="1" width="7.16"/>
    <col collapsed="false" customWidth="true" hidden="false" outlineLevel="0" max="454" min="450" style="1" width="5.29"/>
    <col collapsed="false" customWidth="true" hidden="false" outlineLevel="0" max="455" min="455" style="1" width="7.16"/>
    <col collapsed="false" customWidth="true" hidden="false" outlineLevel="0" max="456" min="456" style="1" width="5.29"/>
    <col collapsed="false" customWidth="true" hidden="false" outlineLevel="0" max="457" min="457" style="1" width="7.16"/>
    <col collapsed="false" customWidth="true" hidden="false" outlineLevel="0" max="459" min="458" style="1" width="5.29"/>
    <col collapsed="false" customWidth="true" hidden="false" outlineLevel="0" max="461" min="460" style="1" width="7.16"/>
    <col collapsed="false" customWidth="true" hidden="false" outlineLevel="0" max="462" min="462" style="1" width="5.29"/>
    <col collapsed="false" customWidth="true" hidden="false" outlineLevel="0" max="463" min="463" style="1" width="7.16"/>
    <col collapsed="false" customWidth="true" hidden="false" outlineLevel="0" max="466" min="464" style="1" width="5.29"/>
    <col collapsed="false" customWidth="true" hidden="false" outlineLevel="0" max="467" min="467" style="1" width="6.29"/>
    <col collapsed="false" customWidth="true" hidden="false" outlineLevel="0" max="468" min="468" style="1" width="8.15"/>
    <col collapsed="false" customWidth="true" hidden="false" outlineLevel="0" max="469" min="469" style="1" width="6.29"/>
    <col collapsed="false" customWidth="true" hidden="false" outlineLevel="0" max="470" min="470" style="1" width="8.15"/>
    <col collapsed="false" customWidth="true" hidden="false" outlineLevel="0" max="471" min="471" style="1" width="6.29"/>
    <col collapsed="false" customWidth="true" hidden="false" outlineLevel="0" max="473" min="472" style="1" width="8.15"/>
    <col collapsed="false" customWidth="true" hidden="false" outlineLevel="0" max="474" min="474" style="1" width="6.29"/>
    <col collapsed="false" customWidth="true" hidden="false" outlineLevel="0" max="475" min="475" style="1" width="8.15"/>
    <col collapsed="false" customWidth="true" hidden="false" outlineLevel="0" max="476" min="476" style="1" width="6.29"/>
    <col collapsed="false" customWidth="true" hidden="false" outlineLevel="0" max="477" min="477" style="1" width="8.15"/>
    <col collapsed="false" customWidth="true" hidden="false" outlineLevel="0" max="480" min="478" style="1" width="6.29"/>
    <col collapsed="false" customWidth="true" hidden="false" outlineLevel="0" max="482" min="481" style="1" width="8.15"/>
    <col collapsed="false" customWidth="true" hidden="false" outlineLevel="0" max="490" min="483" style="1" width="6.29"/>
    <col collapsed="false" customWidth="true" hidden="false" outlineLevel="0" max="491" min="491" style="1" width="8.15"/>
    <col collapsed="false" customWidth="true" hidden="false" outlineLevel="0" max="498" min="492" style="1" width="6.29"/>
    <col collapsed="false" customWidth="true" hidden="false" outlineLevel="0" max="499" min="499" style="1" width="8.15"/>
    <col collapsed="false" customWidth="true" hidden="false" outlineLevel="0" max="501" min="500" style="1" width="6.29"/>
    <col collapsed="false" customWidth="true" hidden="false" outlineLevel="0" max="504" min="502" style="1" width="8.15"/>
    <col collapsed="false" customWidth="true" hidden="false" outlineLevel="0" max="507" min="505" style="1" width="6.29"/>
    <col collapsed="false" customWidth="true" hidden="false" outlineLevel="0" max="508" min="508" style="1" width="8.15"/>
    <col collapsed="false" customWidth="true" hidden="false" outlineLevel="0" max="511" min="509" style="1" width="6.29"/>
    <col collapsed="false" customWidth="true" hidden="false" outlineLevel="0" max="513" min="512" style="1" width="8.15"/>
    <col collapsed="false" customWidth="true" hidden="false" outlineLevel="0" max="514" min="514" style="1" width="6.29"/>
    <col collapsed="false" customWidth="true" hidden="false" outlineLevel="0" max="515" min="515" style="1" width="8.15"/>
    <col collapsed="false" customWidth="true" hidden="false" outlineLevel="0" max="516" min="516" style="1" width="6.29"/>
    <col collapsed="false" customWidth="true" hidden="false" outlineLevel="0" max="519" min="517" style="1" width="8.15"/>
    <col collapsed="false" customWidth="true" hidden="false" outlineLevel="0" max="522" min="520" style="1" width="6.29"/>
    <col collapsed="false" customWidth="true" hidden="false" outlineLevel="0" max="526" min="523" style="1" width="8.15"/>
    <col collapsed="false" customWidth="true" hidden="false" outlineLevel="0" max="527" min="527" style="1" width="6.29"/>
    <col collapsed="false" customWidth="true" hidden="false" outlineLevel="0" max="528" min="528" style="1" width="8.15"/>
    <col collapsed="false" customWidth="true" hidden="false" outlineLevel="0" max="532" min="529" style="1" width="6.29"/>
    <col collapsed="false" customWidth="true" hidden="false" outlineLevel="0" max="533" min="533" style="1" width="7.29"/>
    <col collapsed="false" customWidth="true" hidden="false" outlineLevel="0" max="535" min="535" style="1" width="7.29"/>
    <col collapsed="false" customWidth="true" hidden="false" outlineLevel="0" max="537" min="537" style="1" width="7.29"/>
    <col collapsed="false" customWidth="true" hidden="false" outlineLevel="0" max="538" min="538" style="1" width="11.57"/>
  </cols>
  <sheetData>
    <row r="3" customFormat="false" ht="12.75" hidden="false" customHeight="false" outlineLevel="0" collapsed="false">
      <c r="A3" s="7" t="s">
        <v>6</v>
      </c>
      <c r="B3" s="8" t="s">
        <v>3523</v>
      </c>
    </row>
    <row r="4" customFormat="false" ht="12.75" hidden="false" customHeight="false" outlineLevel="0" collapsed="false">
      <c r="A4" s="9" t="s">
        <v>84</v>
      </c>
      <c r="B4" s="10" t="n">
        <v>110064.066</v>
      </c>
      <c r="G4" s="11" t="s">
        <v>3524</v>
      </c>
    </row>
    <row r="5" customFormat="false" ht="12.75" hidden="false" customHeight="false" outlineLevel="0" collapsed="false">
      <c r="A5" s="12" t="s">
        <v>28</v>
      </c>
      <c r="B5" s="13" t="n">
        <v>2537919.204</v>
      </c>
      <c r="G5" s="1" t="s">
        <v>3525</v>
      </c>
      <c r="H5" s="1" t="n">
        <v>0.05</v>
      </c>
    </row>
    <row r="6" customFormat="false" ht="12.75" hidden="false" customHeight="false" outlineLevel="0" collapsed="false">
      <c r="A6" s="12" t="s">
        <v>36</v>
      </c>
      <c r="B6" s="14" t="n">
        <v>134676.79</v>
      </c>
    </row>
    <row r="7" customFormat="false" ht="12.75" hidden="false" customHeight="false" outlineLevel="0" collapsed="false">
      <c r="A7" s="12" t="s">
        <v>3526</v>
      </c>
      <c r="B7" s="15"/>
      <c r="G7" s="1" t="s">
        <v>3527</v>
      </c>
      <c r="H7" s="1" t="s">
        <v>3528</v>
      </c>
      <c r="I7" s="1" t="s">
        <v>3529</v>
      </c>
      <c r="J7" s="1" t="s">
        <v>3530</v>
      </c>
      <c r="K7" s="1" t="s">
        <v>3531</v>
      </c>
    </row>
    <row r="8" customFormat="false" ht="12.75" hidden="false" customHeight="false" outlineLevel="0" collapsed="false">
      <c r="A8" s="16" t="s">
        <v>3532</v>
      </c>
      <c r="B8" s="17" t="n">
        <v>2782660.06</v>
      </c>
      <c r="G8" s="1" t="s">
        <v>3533</v>
      </c>
      <c r="H8" s="1" t="n">
        <f aca="false">COUNT('pivot table + ANOVA'!$B$4:$B$6)</f>
        <v>3</v>
      </c>
      <c r="I8" s="1" t="n">
        <f aca="false">SUM('pivot table + ANOVA'!$B$4:$B$6)</f>
        <v>2782660.06</v>
      </c>
      <c r="J8" s="1" t="n">
        <f aca="false">AVERAGE('pivot table + ANOVA'!$B$4:$B$6)</f>
        <v>927553.353333334</v>
      </c>
      <c r="K8" s="1" t="n">
        <f aca="false">VAR('pivot table + ANOVA'!$B$4:$B$6)</f>
        <v>1945110076290.71</v>
      </c>
    </row>
    <row r="10" customFormat="false" ht="12.75" hidden="false" customHeight="false" outlineLevel="0" collapsed="false">
      <c r="G10" s="1" t="s">
        <v>3534</v>
      </c>
      <c r="H10" s="1" t="s">
        <v>1101</v>
      </c>
      <c r="I10" s="1" t="s">
        <v>3535</v>
      </c>
      <c r="J10" s="1" t="s">
        <v>3536</v>
      </c>
      <c r="K10" s="1" t="s">
        <v>3537</v>
      </c>
      <c r="L10" s="1" t="s">
        <v>3538</v>
      </c>
      <c r="M10" s="1" t="s">
        <v>3539</v>
      </c>
    </row>
    <row r="11" customFormat="false" ht="12.75" hidden="false" customHeight="false" outlineLevel="0" collapsed="false">
      <c r="G11" s="1" t="s">
        <v>3540</v>
      </c>
      <c r="H11" s="1" t="n">
        <f aca="false">SUMPRODUCT('pivot table + ANOVA'!$I$8,'pivot table + ANOVA'!$J$8)-SUM('pivot table + ANOVA'!$I$8)^2/SUM('pivot table + ANOVA'!$H$8)</f>
        <v>0</v>
      </c>
      <c r="I11" s="1" t="n">
        <f aca="false">COUNT('pivot table + ANOVA'!$I$8)-1</f>
        <v>0</v>
      </c>
      <c r="J11" s="1" t="e">
        <f aca="false">'pivot table + ANOVA'!$H$11 / 'pivot table + ANOVA'!$I$11</f>
        <v>#DIV/0!</v>
      </c>
      <c r="K11" s="1" t="e">
        <f aca="false">'pivot table + ANOVA'!$J$11 / 'pivot table + ANOVA'!$J$12</f>
        <v>#DIV/0!</v>
      </c>
      <c r="L11" s="1" t="e">
        <f aca="false">FDIST('pivot table + ANOVA'!$K$11, 'pivot table + ANOVA'!$I$11, 'pivot table + ANOVA'!$I$12)</f>
        <v>#DIV/0!</v>
      </c>
      <c r="M11" s="1" t="e">
        <f aca="false">FINV('pivot table + ANOVA'!$H$5, 'pivot table + ANOVA'!$I$11, 'pivot table + ANOVA'!$I$12)</f>
        <v>#VALUE!</v>
      </c>
    </row>
    <row r="12" customFormat="false" ht="12.75" hidden="false" customHeight="false" outlineLevel="0" collapsed="false">
      <c r="G12" s="1" t="s">
        <v>3541</v>
      </c>
      <c r="H12" s="1" t="n">
        <f aca="false">SUM(DEVSQ('pivot table + ANOVA'!$B$4:$B$6))</f>
        <v>3890220152581.42</v>
      </c>
      <c r="I12" s="1" t="n">
        <f aca="false">SUM('pivot table + ANOVA'!$H$8)-COUNT('pivot table + ANOVA'!$H$8)</f>
        <v>2</v>
      </c>
      <c r="J12" s="1" t="n">
        <f aca="false">'pivot table + ANOVA'!$H$12 / 'pivot table + ANOVA'!$I$12</f>
        <v>1945110076290.71</v>
      </c>
    </row>
    <row r="13" customFormat="false" ht="12.75" hidden="false" customHeight="false" outlineLevel="0" collapsed="false">
      <c r="G13" s="1" t="s">
        <v>3542</v>
      </c>
      <c r="H13" s="1" t="n">
        <f aca="false">DEVSQ('pivot table + ANOVA'!$B$4:$B$6)</f>
        <v>3890220152581.42</v>
      </c>
      <c r="I13" s="1" t="n">
        <f aca="false">SUM('pivot table + ANOVA'!$H$8) - 1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3" min="3" style="1" width="17.15"/>
    <col collapsed="false" customWidth="true" hidden="false" outlineLevel="0" max="6" min="5" style="1" width="46.57"/>
  </cols>
  <sheetData>
    <row r="1" customFormat="false" ht="12.75" hidden="false" customHeight="false" outlineLevel="0" collapsed="false">
      <c r="A1" s="2" t="s">
        <v>11</v>
      </c>
      <c r="F1" s="18" t="s">
        <v>3543</v>
      </c>
    </row>
    <row r="2" customFormat="false" ht="12.75" hidden="false" customHeight="false" outlineLevel="0" collapsed="false">
      <c r="A2" s="2" t="n">
        <v>432</v>
      </c>
      <c r="C2" s="19" t="s">
        <v>3544</v>
      </c>
      <c r="D2" s="19"/>
      <c r="F2" s="20" t="s">
        <v>3545</v>
      </c>
    </row>
    <row r="3" customFormat="false" ht="12.75" hidden="false" customHeight="false" outlineLevel="0" collapsed="false">
      <c r="A3" s="2" t="n">
        <v>50</v>
      </c>
      <c r="C3" s="21" t="s">
        <v>3530</v>
      </c>
      <c r="D3" s="22" t="n">
        <f aca="false">AVERAGE(A2:A890)</f>
        <v>3130.1013048369</v>
      </c>
      <c r="F3" s="20" t="s">
        <v>3546</v>
      </c>
    </row>
    <row r="4" customFormat="false" ht="12.75" hidden="false" customHeight="false" outlineLevel="0" collapsed="false">
      <c r="A4" s="2" t="n">
        <v>107</v>
      </c>
      <c r="C4" s="23" t="s">
        <v>3547</v>
      </c>
      <c r="D4" s="24" t="n">
        <f aca="false">MEDIAN(A2:A890)</f>
        <v>94.7</v>
      </c>
    </row>
    <row r="5" customFormat="false" ht="12.75" hidden="false" customHeight="false" outlineLevel="0" collapsed="false">
      <c r="A5" s="2" t="n">
        <v>51</v>
      </c>
      <c r="C5" s="23" t="s">
        <v>3548</v>
      </c>
      <c r="D5" s="24" t="n">
        <f aca="false">STDEV(A2:A890)</f>
        <v>14341.4142082583</v>
      </c>
    </row>
    <row r="6" customFormat="false" ht="12.75" hidden="false" customHeight="false" outlineLevel="0" collapsed="false">
      <c r="A6" s="2" t="n">
        <v>76</v>
      </c>
      <c r="C6" s="23" t="s">
        <v>3549</v>
      </c>
      <c r="D6" s="24" t="n">
        <f aca="false">SKEW(A2:A890)</f>
        <v>14.4450654010773</v>
      </c>
    </row>
    <row r="7" customFormat="false" ht="12.75" hidden="false" customHeight="false" outlineLevel="0" collapsed="false">
      <c r="A7" s="2" t="n">
        <v>25</v>
      </c>
      <c r="C7" s="23" t="s">
        <v>3550</v>
      </c>
      <c r="D7" s="24" t="n">
        <f aca="false">D9-D8</f>
        <v>318813.7</v>
      </c>
    </row>
    <row r="8" customFormat="false" ht="12.75" hidden="false" customHeight="false" outlineLevel="0" collapsed="false">
      <c r="A8" s="2" t="n">
        <v>0.18</v>
      </c>
      <c r="C8" s="23" t="s">
        <v>3551</v>
      </c>
      <c r="D8" s="24" t="n">
        <f aca="false">MIN(A2:A890)</f>
        <v>-1</v>
      </c>
    </row>
    <row r="9" customFormat="false" ht="12.75" hidden="false" customHeight="false" outlineLevel="0" collapsed="false">
      <c r="A9" s="2" t="n">
        <v>0.16</v>
      </c>
      <c r="C9" s="23" t="s">
        <v>3552</v>
      </c>
      <c r="D9" s="24" t="n">
        <f aca="false">MAX(A2:A890)</f>
        <v>318812.7</v>
      </c>
    </row>
    <row r="10" customFormat="false" ht="12.75" hidden="false" customHeight="false" outlineLevel="0" collapsed="false">
      <c r="A10" s="2" t="n">
        <v>13200</v>
      </c>
      <c r="C10" s="25" t="s">
        <v>3529</v>
      </c>
      <c r="D10" s="26" t="n">
        <f aca="false">SUM(A2:A890)</f>
        <v>2782660.06</v>
      </c>
    </row>
    <row r="11" customFormat="false" ht="12.75" hidden="false" customHeight="false" outlineLevel="0" collapsed="false">
      <c r="A11" s="2" t="n">
        <v>219.6</v>
      </c>
    </row>
    <row r="12" customFormat="false" ht="12.75" hidden="false" customHeight="false" outlineLevel="0" collapsed="false">
      <c r="A12" s="2" t="n">
        <v>957.19</v>
      </c>
    </row>
    <row r="13" customFormat="false" ht="12.75" hidden="false" customHeight="false" outlineLevel="0" collapsed="false">
      <c r="A13" s="2" t="n">
        <v>0.01</v>
      </c>
    </row>
    <row r="14" customFormat="false" ht="12.75" hidden="false" customHeight="false" outlineLevel="0" collapsed="false">
      <c r="A14" s="2" t="n">
        <v>0.01</v>
      </c>
    </row>
    <row r="15" customFormat="false" ht="12.75" hidden="false" customHeight="false" outlineLevel="0" collapsed="false">
      <c r="A15" s="2" t="n">
        <v>105.5</v>
      </c>
    </row>
    <row r="16" customFormat="false" ht="12.75" hidden="false" customHeight="false" outlineLevel="0" collapsed="false">
      <c r="A16" s="2" t="n">
        <v>0.3</v>
      </c>
    </row>
    <row r="17" customFormat="false" ht="12.75" hidden="false" customHeight="false" outlineLevel="0" collapsed="false">
      <c r="A17" s="2" t="n">
        <v>2.5</v>
      </c>
    </row>
    <row r="18" customFormat="false" ht="12.75" hidden="false" customHeight="false" outlineLevel="0" collapsed="false">
      <c r="A18" s="2" t="n">
        <v>0.009</v>
      </c>
    </row>
    <row r="19" customFormat="false" ht="12.75" hidden="false" customHeight="false" outlineLevel="0" collapsed="false">
      <c r="A19" s="2" t="n">
        <v>16499</v>
      </c>
    </row>
    <row r="20" customFormat="false" ht="12.75" hidden="false" customHeight="false" outlineLevel="0" collapsed="false">
      <c r="A20" s="2" t="n">
        <v>4261</v>
      </c>
    </row>
    <row r="21" customFormat="false" ht="12.75" hidden="false" customHeight="false" outlineLevel="0" collapsed="false">
      <c r="A21" s="2" t="n">
        <v>0.08</v>
      </c>
    </row>
    <row r="22" customFormat="false" ht="12.75" hidden="false" customHeight="false" outlineLevel="0" collapsed="false">
      <c r="A22" s="2" t="n">
        <v>0.01</v>
      </c>
    </row>
    <row r="23" customFormat="false" ht="12.75" hidden="false" customHeight="false" outlineLevel="0" collapsed="false">
      <c r="A23" s="2" t="n">
        <v>23</v>
      </c>
    </row>
    <row r="24" customFormat="false" ht="12.75" hidden="false" customHeight="false" outlineLevel="0" collapsed="false">
      <c r="A24" s="2" t="n">
        <v>0.009</v>
      </c>
    </row>
    <row r="25" customFormat="false" ht="12.75" hidden="false" customHeight="false" outlineLevel="0" collapsed="false">
      <c r="A25" s="2" t="n">
        <v>0.6</v>
      </c>
    </row>
    <row r="26" customFormat="false" ht="12.75" hidden="false" customHeight="false" outlineLevel="0" collapsed="false">
      <c r="A26" s="2" t="n">
        <v>1.1</v>
      </c>
    </row>
    <row r="27" customFormat="false" ht="12.75" hidden="false" customHeight="false" outlineLevel="0" collapsed="false">
      <c r="A27" s="2" t="n">
        <v>0.009</v>
      </c>
    </row>
    <row r="28" customFormat="false" ht="12.75" hidden="false" customHeight="false" outlineLevel="0" collapsed="false">
      <c r="A28" s="2" t="n">
        <v>5</v>
      </c>
    </row>
    <row r="29" customFormat="false" ht="12.75" hidden="false" customHeight="false" outlineLevel="0" collapsed="false">
      <c r="A29" s="2" t="n">
        <v>54.5</v>
      </c>
    </row>
    <row r="30" customFormat="false" ht="12.75" hidden="false" customHeight="false" outlineLevel="0" collapsed="false">
      <c r="A30" s="2" t="n">
        <v>0.009</v>
      </c>
    </row>
    <row r="31" customFormat="false" ht="12.75" hidden="false" customHeight="false" outlineLevel="0" collapsed="false">
      <c r="A31" s="2" t="n">
        <v>0.009</v>
      </c>
    </row>
    <row r="32" customFormat="false" ht="12.75" hidden="false" customHeight="false" outlineLevel="0" collapsed="false">
      <c r="A32" s="2" t="n">
        <v>0.009</v>
      </c>
    </row>
    <row r="33" customFormat="false" ht="12.75" hidden="false" customHeight="false" outlineLevel="0" collapsed="false">
      <c r="A33" s="2" t="n">
        <v>2</v>
      </c>
    </row>
    <row r="34" customFormat="false" ht="12.75" hidden="false" customHeight="false" outlineLevel="0" collapsed="false">
      <c r="A34" s="2" t="n">
        <v>0.009</v>
      </c>
    </row>
    <row r="35" customFormat="false" ht="12.75" hidden="false" customHeight="false" outlineLevel="0" collapsed="false">
      <c r="A35" s="2" t="n">
        <v>0.31</v>
      </c>
    </row>
    <row r="36" customFormat="false" ht="12.75" hidden="false" customHeight="false" outlineLevel="0" collapsed="false">
      <c r="A36" s="2" t="n">
        <v>27.8</v>
      </c>
    </row>
    <row r="37" customFormat="false" ht="12.75" hidden="false" customHeight="false" outlineLevel="0" collapsed="false">
      <c r="A37" s="2" t="n">
        <v>0.04</v>
      </c>
    </row>
    <row r="38" customFormat="false" ht="12.75" hidden="false" customHeight="false" outlineLevel="0" collapsed="false">
      <c r="A38" s="2" t="n">
        <v>2.65</v>
      </c>
    </row>
    <row r="39" customFormat="false" ht="12.75" hidden="false" customHeight="false" outlineLevel="0" collapsed="false">
      <c r="A39" s="2" t="n">
        <v>205</v>
      </c>
    </row>
    <row r="40" customFormat="false" ht="12.75" hidden="false" customHeight="false" outlineLevel="0" collapsed="false">
      <c r="A40" s="2" t="n">
        <v>12</v>
      </c>
    </row>
    <row r="41" customFormat="false" ht="12.75" hidden="false" customHeight="false" outlineLevel="0" collapsed="false">
      <c r="A41" s="2" t="n">
        <v>0.25</v>
      </c>
    </row>
    <row r="42" customFormat="false" ht="12.75" hidden="false" customHeight="false" outlineLevel="0" collapsed="false">
      <c r="A42" s="2" t="n">
        <v>0.009</v>
      </c>
    </row>
    <row r="43" customFormat="false" ht="12.75" hidden="false" customHeight="false" outlineLevel="0" collapsed="false">
      <c r="A43" s="2" t="n">
        <v>2.23</v>
      </c>
    </row>
    <row r="44" customFormat="false" ht="12.75" hidden="false" customHeight="false" outlineLevel="0" collapsed="false">
      <c r="A44" s="2" t="n">
        <v>43</v>
      </c>
    </row>
    <row r="45" customFormat="false" ht="12.75" hidden="false" customHeight="false" outlineLevel="0" collapsed="false">
      <c r="A45" s="2" t="n">
        <v>1.8</v>
      </c>
    </row>
    <row r="46" customFormat="false" ht="12.75" hidden="false" customHeight="false" outlineLevel="0" collapsed="false">
      <c r="A46" s="2" t="n">
        <v>13434</v>
      </c>
    </row>
    <row r="47" customFormat="false" ht="12.75" hidden="false" customHeight="false" outlineLevel="0" collapsed="false">
      <c r="A47" s="2" t="n">
        <v>13</v>
      </c>
    </row>
    <row r="48" customFormat="false" ht="12.75" hidden="false" customHeight="false" outlineLevel="0" collapsed="false">
      <c r="A48" s="2" t="n">
        <v>3</v>
      </c>
    </row>
    <row r="49" customFormat="false" ht="12.75" hidden="false" customHeight="false" outlineLevel="0" collapsed="false">
      <c r="A49" s="2" t="n">
        <v>2</v>
      </c>
    </row>
    <row r="50" customFormat="false" ht="12.75" hidden="false" customHeight="false" outlineLevel="0" collapsed="false">
      <c r="A50" s="2" t="n">
        <v>0.04</v>
      </c>
    </row>
    <row r="51" customFormat="false" ht="12.75" hidden="false" customHeight="false" outlineLevel="0" collapsed="false">
      <c r="A51" s="2" t="n">
        <v>10277</v>
      </c>
    </row>
    <row r="52" customFormat="false" ht="12.75" hidden="false" customHeight="false" outlineLevel="0" collapsed="false">
      <c r="A52" s="2" t="n">
        <v>1</v>
      </c>
    </row>
    <row r="53" customFormat="false" ht="12.75" hidden="false" customHeight="false" outlineLevel="0" collapsed="false">
      <c r="A53" s="2" t="n">
        <v>4.1</v>
      </c>
    </row>
    <row r="54" customFormat="false" ht="12.75" hidden="false" customHeight="false" outlineLevel="0" collapsed="false">
      <c r="A54" s="2" t="n">
        <v>0.65</v>
      </c>
    </row>
    <row r="55" customFormat="false" ht="12.75" hidden="false" customHeight="false" outlineLevel="0" collapsed="false">
      <c r="A55" s="2" t="n">
        <v>1.2</v>
      </c>
    </row>
    <row r="56" customFormat="false" ht="12.75" hidden="false" customHeight="false" outlineLevel="0" collapsed="false">
      <c r="A56" s="2" t="n">
        <v>0.009</v>
      </c>
    </row>
    <row r="57" customFormat="false" ht="12.75" hidden="false" customHeight="false" outlineLevel="0" collapsed="false">
      <c r="A57" s="2" t="n">
        <v>1</v>
      </c>
    </row>
    <row r="58" customFormat="false" ht="12.75" hidden="false" customHeight="false" outlineLevel="0" collapsed="false">
      <c r="A58" s="2" t="n">
        <v>250</v>
      </c>
    </row>
    <row r="59" customFormat="false" ht="12.75" hidden="false" customHeight="false" outlineLevel="0" collapsed="false">
      <c r="A59" s="2" t="n">
        <v>0.01</v>
      </c>
    </row>
    <row r="60" customFormat="false" ht="12.75" hidden="false" customHeight="false" outlineLevel="0" collapsed="false">
      <c r="A60" s="2" t="n">
        <v>8</v>
      </c>
    </row>
    <row r="61" customFormat="false" ht="12.75" hidden="false" customHeight="false" outlineLevel="0" collapsed="false">
      <c r="A61" s="2" t="n">
        <v>0.2</v>
      </c>
    </row>
    <row r="62" customFormat="false" ht="12.75" hidden="false" customHeight="false" outlineLevel="0" collapsed="false">
      <c r="A62" s="2" t="n">
        <v>0.68</v>
      </c>
    </row>
    <row r="63" customFormat="false" ht="12.75" hidden="false" customHeight="false" outlineLevel="0" collapsed="false">
      <c r="A63" s="2" t="n">
        <v>5</v>
      </c>
    </row>
    <row r="64" customFormat="false" ht="12.75" hidden="false" customHeight="false" outlineLevel="0" collapsed="false">
      <c r="A64" s="2" t="n">
        <v>115</v>
      </c>
    </row>
    <row r="65" customFormat="false" ht="12.75" hidden="false" customHeight="false" outlineLevel="0" collapsed="false">
      <c r="A65" s="2" t="n">
        <v>0.6</v>
      </c>
    </row>
    <row r="66" customFormat="false" ht="12.75" hidden="false" customHeight="false" outlineLevel="0" collapsed="false">
      <c r="A66" s="2" t="n">
        <v>0.25</v>
      </c>
    </row>
    <row r="67" customFormat="false" ht="12.75" hidden="false" customHeight="false" outlineLevel="0" collapsed="false">
      <c r="A67" s="2" t="n">
        <v>567</v>
      </c>
    </row>
    <row r="68" customFormat="false" ht="12.75" hidden="false" customHeight="false" outlineLevel="0" collapsed="false">
      <c r="A68" s="2" t="n">
        <v>25</v>
      </c>
    </row>
    <row r="69" customFormat="false" ht="12.75" hidden="false" customHeight="false" outlineLevel="0" collapsed="false">
      <c r="A69" s="2" t="n">
        <v>10</v>
      </c>
    </row>
    <row r="70" customFormat="false" ht="12.75" hidden="false" customHeight="false" outlineLevel="0" collapsed="false">
      <c r="A70" s="2" t="n">
        <v>3</v>
      </c>
    </row>
    <row r="71" customFormat="false" ht="12.75" hidden="false" customHeight="false" outlineLevel="0" collapsed="false">
      <c r="A71" s="2" t="n">
        <v>4.83</v>
      </c>
    </row>
    <row r="72" customFormat="false" ht="12.75" hidden="false" customHeight="false" outlineLevel="0" collapsed="false">
      <c r="A72" s="2" t="n">
        <v>70</v>
      </c>
    </row>
    <row r="73" customFormat="false" ht="12.75" hidden="false" customHeight="false" outlineLevel="0" collapsed="false">
      <c r="A73" s="2" t="n">
        <v>0.009</v>
      </c>
    </row>
    <row r="74" customFormat="false" ht="12.75" hidden="false" customHeight="false" outlineLevel="0" collapsed="false">
      <c r="A74" s="2" t="n">
        <v>0.009</v>
      </c>
    </row>
    <row r="75" customFormat="false" ht="12.75" hidden="false" customHeight="false" outlineLevel="0" collapsed="false">
      <c r="A75" s="2" t="n">
        <v>0.5</v>
      </c>
    </row>
    <row r="76" customFormat="false" ht="12.75" hidden="false" customHeight="false" outlineLevel="0" collapsed="false">
      <c r="A76" s="2" t="n">
        <v>30</v>
      </c>
    </row>
    <row r="77" customFormat="false" ht="12.75" hidden="false" customHeight="false" outlineLevel="0" collapsed="false">
      <c r="A77" s="2" t="n">
        <v>0.009</v>
      </c>
    </row>
    <row r="78" customFormat="false" ht="12.75" hidden="false" customHeight="false" outlineLevel="0" collapsed="false">
      <c r="A78" s="2" t="n">
        <v>150</v>
      </c>
    </row>
    <row r="79" customFormat="false" ht="12.75" hidden="false" customHeight="false" outlineLevel="0" collapsed="false">
      <c r="A79" s="2" t="n">
        <v>115</v>
      </c>
    </row>
    <row r="80" customFormat="false" ht="12.75" hidden="false" customHeight="false" outlineLevel="0" collapsed="false">
      <c r="A80" s="2" t="n">
        <v>0.009</v>
      </c>
    </row>
    <row r="81" customFormat="false" ht="12.75" hidden="false" customHeight="false" outlineLevel="0" collapsed="false">
      <c r="A81" s="2" t="n">
        <v>230</v>
      </c>
    </row>
    <row r="82" customFormat="false" ht="12.75" hidden="false" customHeight="false" outlineLevel="0" collapsed="false">
      <c r="A82" s="2" t="n">
        <v>0.009</v>
      </c>
    </row>
    <row r="83" customFormat="false" ht="12.75" hidden="false" customHeight="false" outlineLevel="0" collapsed="false">
      <c r="A83" s="2" t="n">
        <v>0.009</v>
      </c>
    </row>
    <row r="84" customFormat="false" ht="12.75" hidden="false" customHeight="false" outlineLevel="0" collapsed="false">
      <c r="A84" s="2" t="n">
        <v>0.1</v>
      </c>
    </row>
    <row r="85" customFormat="false" ht="12.75" hidden="false" customHeight="false" outlineLevel="0" collapsed="false">
      <c r="A85" s="2" t="n">
        <v>1</v>
      </c>
    </row>
    <row r="86" customFormat="false" ht="12.75" hidden="false" customHeight="false" outlineLevel="0" collapsed="false">
      <c r="A86" s="2" t="n">
        <v>0.001</v>
      </c>
    </row>
    <row r="87" customFormat="false" ht="12.75" hidden="false" customHeight="false" outlineLevel="0" collapsed="false">
      <c r="A87" s="2" t="n">
        <v>0.009</v>
      </c>
    </row>
    <row r="88" customFormat="false" ht="12.75" hidden="false" customHeight="false" outlineLevel="0" collapsed="false">
      <c r="A88" s="2" t="n">
        <v>0.009</v>
      </c>
    </row>
    <row r="89" customFormat="false" ht="12.75" hidden="false" customHeight="false" outlineLevel="0" collapsed="false">
      <c r="A89" s="2" t="n">
        <v>0.6</v>
      </c>
    </row>
    <row r="90" customFormat="false" ht="12.75" hidden="false" customHeight="false" outlineLevel="0" collapsed="false">
      <c r="A90" s="2" t="n">
        <v>8</v>
      </c>
    </row>
    <row r="91" customFormat="false" ht="12.75" hidden="false" customHeight="false" outlineLevel="0" collapsed="false">
      <c r="A91" s="2" t="n">
        <v>2.87</v>
      </c>
    </row>
    <row r="92" customFormat="false" ht="12.75" hidden="false" customHeight="false" outlineLevel="0" collapsed="false">
      <c r="A92" s="2" t="n">
        <v>5.7</v>
      </c>
    </row>
    <row r="93" customFormat="false" ht="12.75" hidden="false" customHeight="false" outlineLevel="0" collapsed="false">
      <c r="A93" s="2" t="n">
        <v>72</v>
      </c>
    </row>
    <row r="94" customFormat="false" ht="12.75" hidden="false" customHeight="false" outlineLevel="0" collapsed="false">
      <c r="A94" s="2" t="n">
        <v>35</v>
      </c>
    </row>
    <row r="95" customFormat="false" ht="12.75" hidden="false" customHeight="false" outlineLevel="0" collapsed="false">
      <c r="A95" s="2" t="n">
        <v>1.44</v>
      </c>
    </row>
    <row r="96" customFormat="false" ht="12.75" hidden="false" customHeight="false" outlineLevel="0" collapsed="false">
      <c r="A96" s="2" t="n">
        <v>0.2</v>
      </c>
    </row>
    <row r="97" customFormat="false" ht="12.75" hidden="false" customHeight="false" outlineLevel="0" collapsed="false">
      <c r="A97" s="2" t="n">
        <v>0.8</v>
      </c>
    </row>
    <row r="98" customFormat="false" ht="12.75" hidden="false" customHeight="false" outlineLevel="0" collapsed="false">
      <c r="A98" s="2" t="n">
        <v>663</v>
      </c>
    </row>
    <row r="99" customFormat="false" ht="12.75" hidden="false" customHeight="false" outlineLevel="0" collapsed="false">
      <c r="A99" s="2" t="n">
        <v>0.001</v>
      </c>
    </row>
    <row r="100" customFormat="false" ht="12.75" hidden="false" customHeight="false" outlineLevel="0" collapsed="false">
      <c r="A100" s="2" t="n">
        <v>1815</v>
      </c>
    </row>
    <row r="101" customFormat="false" ht="12.75" hidden="false" customHeight="false" outlineLevel="0" collapsed="false">
      <c r="A101" s="2" t="n">
        <v>64</v>
      </c>
    </row>
    <row r="102" customFormat="false" ht="12.75" hidden="false" customHeight="false" outlineLevel="0" collapsed="false">
      <c r="A102" s="2" t="n">
        <v>28</v>
      </c>
    </row>
    <row r="103" customFormat="false" ht="12.75" hidden="false" customHeight="false" outlineLevel="0" collapsed="false">
      <c r="A103" s="2" t="n">
        <v>0.1</v>
      </c>
    </row>
    <row r="104" customFormat="false" ht="12.75" hidden="false" customHeight="false" outlineLevel="0" collapsed="false">
      <c r="A104" s="2" t="n">
        <v>0.1</v>
      </c>
    </row>
    <row r="105" customFormat="false" ht="12.75" hidden="false" customHeight="false" outlineLevel="0" collapsed="false">
      <c r="A105" s="2" t="n">
        <v>0.1</v>
      </c>
    </row>
    <row r="106" customFormat="false" ht="12.75" hidden="false" customHeight="false" outlineLevel="0" collapsed="false">
      <c r="A106" s="2" t="n">
        <v>113.1</v>
      </c>
    </row>
    <row r="107" customFormat="false" ht="12.75" hidden="false" customHeight="false" outlineLevel="0" collapsed="false">
      <c r="A107" s="2" t="n">
        <v>1078</v>
      </c>
    </row>
    <row r="108" customFormat="false" ht="12.75" hidden="false" customHeight="false" outlineLevel="0" collapsed="false">
      <c r="A108" s="2" t="n">
        <v>34.1</v>
      </c>
    </row>
    <row r="109" customFormat="false" ht="12.75" hidden="false" customHeight="false" outlineLevel="0" collapsed="false">
      <c r="A109" s="2" t="n">
        <v>19562.4</v>
      </c>
    </row>
    <row r="110" customFormat="false" ht="12.75" hidden="false" customHeight="false" outlineLevel="0" collapsed="false">
      <c r="A110" s="2" t="n">
        <v>2</v>
      </c>
    </row>
    <row r="111" customFormat="false" ht="12.75" hidden="false" customHeight="false" outlineLevel="0" collapsed="false">
      <c r="A111" s="2" t="n">
        <v>18000</v>
      </c>
    </row>
    <row r="112" customFormat="false" ht="12.75" hidden="false" customHeight="false" outlineLevel="0" collapsed="false">
      <c r="A112" s="2" t="n">
        <v>1098.1</v>
      </c>
    </row>
    <row r="113" customFormat="false" ht="12.75" hidden="false" customHeight="false" outlineLevel="0" collapsed="false">
      <c r="A113" s="2" t="n">
        <v>20</v>
      </c>
    </row>
    <row r="114" customFormat="false" ht="12.75" hidden="false" customHeight="false" outlineLevel="0" collapsed="false">
      <c r="A114" s="2" t="n">
        <v>283</v>
      </c>
    </row>
    <row r="115" customFormat="false" ht="12.75" hidden="false" customHeight="false" outlineLevel="0" collapsed="false">
      <c r="A115" s="2" t="n">
        <v>320</v>
      </c>
    </row>
    <row r="116" customFormat="false" ht="12.75" hidden="false" customHeight="false" outlineLevel="0" collapsed="false">
      <c r="A116" s="2" t="n">
        <v>0.1</v>
      </c>
    </row>
    <row r="117" customFormat="false" ht="12.75" hidden="false" customHeight="false" outlineLevel="0" collapsed="false">
      <c r="A117" s="2" t="n">
        <v>1</v>
      </c>
    </row>
    <row r="118" customFormat="false" ht="12.75" hidden="false" customHeight="false" outlineLevel="0" collapsed="false">
      <c r="A118" s="2" t="n">
        <v>1</v>
      </c>
    </row>
    <row r="119" customFormat="false" ht="12.75" hidden="false" customHeight="false" outlineLevel="0" collapsed="false">
      <c r="A119" s="2" t="n">
        <v>1</v>
      </c>
    </row>
    <row r="120" customFormat="false" ht="12.75" hidden="false" customHeight="false" outlineLevel="0" collapsed="false">
      <c r="A120" s="2" t="n">
        <v>1</v>
      </c>
    </row>
    <row r="121" customFormat="false" ht="12.75" hidden="false" customHeight="false" outlineLevel="0" collapsed="false">
      <c r="A121" s="2" t="n">
        <v>1</v>
      </c>
    </row>
    <row r="122" customFormat="false" ht="12.75" hidden="false" customHeight="false" outlineLevel="0" collapsed="false">
      <c r="A122" s="2" t="n">
        <v>343</v>
      </c>
    </row>
    <row r="123" customFormat="false" ht="12.75" hidden="false" customHeight="false" outlineLevel="0" collapsed="false">
      <c r="A123" s="2" t="n">
        <v>13492</v>
      </c>
    </row>
    <row r="124" customFormat="false" ht="12.75" hidden="false" customHeight="false" outlineLevel="0" collapsed="false">
      <c r="A124" s="2" t="n">
        <v>132</v>
      </c>
    </row>
    <row r="125" customFormat="false" ht="12.75" hidden="false" customHeight="false" outlineLevel="0" collapsed="false">
      <c r="A125" s="2" t="n">
        <v>57.7</v>
      </c>
    </row>
    <row r="126" customFormat="false" ht="12.75" hidden="false" customHeight="false" outlineLevel="0" collapsed="false">
      <c r="A126" s="2" t="n">
        <v>17275.1</v>
      </c>
    </row>
    <row r="127" customFormat="false" ht="12.75" hidden="false" customHeight="false" outlineLevel="0" collapsed="false">
      <c r="A127" s="2" t="n">
        <v>9278.4</v>
      </c>
    </row>
    <row r="128" customFormat="false" ht="12.75" hidden="false" customHeight="false" outlineLevel="0" collapsed="false">
      <c r="A128" s="2" t="n">
        <v>170.6</v>
      </c>
    </row>
    <row r="129" customFormat="false" ht="12.75" hidden="false" customHeight="false" outlineLevel="0" collapsed="false">
      <c r="A129" s="2" t="n">
        <v>1057</v>
      </c>
    </row>
    <row r="130" customFormat="false" ht="12.75" hidden="false" customHeight="false" outlineLevel="0" collapsed="false">
      <c r="A130" s="2" t="n">
        <v>4733.6</v>
      </c>
    </row>
    <row r="131" customFormat="false" ht="12.75" hidden="false" customHeight="false" outlineLevel="0" collapsed="false">
      <c r="A131" s="2" t="n">
        <v>7830</v>
      </c>
    </row>
    <row r="132" customFormat="false" ht="12.75" hidden="false" customHeight="false" outlineLevel="0" collapsed="false">
      <c r="A132" s="2" t="n">
        <v>1</v>
      </c>
    </row>
    <row r="133" customFormat="false" ht="12.75" hidden="false" customHeight="false" outlineLevel="0" collapsed="false">
      <c r="A133" s="2" t="n">
        <v>4</v>
      </c>
    </row>
    <row r="134" customFormat="false" ht="12.75" hidden="false" customHeight="false" outlineLevel="0" collapsed="false">
      <c r="A134" s="2" t="n">
        <v>2</v>
      </c>
    </row>
    <row r="135" customFormat="false" ht="12.75" hidden="false" customHeight="false" outlineLevel="0" collapsed="false">
      <c r="A135" s="2" t="n">
        <v>0.5</v>
      </c>
    </row>
    <row r="136" customFormat="false" ht="12.75" hidden="false" customHeight="false" outlineLevel="0" collapsed="false">
      <c r="A136" s="2" t="n">
        <v>10</v>
      </c>
    </row>
    <row r="137" customFormat="false" ht="12.75" hidden="false" customHeight="false" outlineLevel="0" collapsed="false">
      <c r="A137" s="2" t="n">
        <v>1.5</v>
      </c>
    </row>
    <row r="138" customFormat="false" ht="12.75" hidden="false" customHeight="false" outlineLevel="0" collapsed="false">
      <c r="A138" s="2" t="n">
        <v>40</v>
      </c>
    </row>
    <row r="139" customFormat="false" ht="12.75" hidden="false" customHeight="false" outlineLevel="0" collapsed="false">
      <c r="A139" s="2" t="n">
        <v>15</v>
      </c>
    </row>
    <row r="140" customFormat="false" ht="12.75" hidden="false" customHeight="false" outlineLevel="0" collapsed="false">
      <c r="A140" s="2" t="n">
        <v>179.6</v>
      </c>
    </row>
    <row r="141" customFormat="false" ht="12.75" hidden="false" customHeight="false" outlineLevel="0" collapsed="false">
      <c r="A141" s="2" t="n">
        <v>59.4</v>
      </c>
    </row>
    <row r="142" customFormat="false" ht="12.75" hidden="false" customHeight="false" outlineLevel="0" collapsed="false">
      <c r="A142" s="2" t="n">
        <v>5848.1</v>
      </c>
    </row>
    <row r="143" customFormat="false" ht="12.75" hidden="false" customHeight="false" outlineLevel="0" collapsed="false">
      <c r="A143" s="2" t="n">
        <v>406.2</v>
      </c>
    </row>
    <row r="144" customFormat="false" ht="12.75" hidden="false" customHeight="false" outlineLevel="0" collapsed="false">
      <c r="A144" s="2" t="n">
        <v>527.1</v>
      </c>
    </row>
    <row r="145" customFormat="false" ht="12.75" hidden="false" customHeight="false" outlineLevel="0" collapsed="false">
      <c r="A145" s="2" t="n">
        <v>9411.2</v>
      </c>
    </row>
    <row r="146" customFormat="false" ht="12.75" hidden="false" customHeight="false" outlineLevel="0" collapsed="false">
      <c r="A146" s="2" t="n">
        <v>1818.6</v>
      </c>
    </row>
    <row r="147" customFormat="false" ht="12.75" hidden="false" customHeight="false" outlineLevel="0" collapsed="false">
      <c r="A147" s="2" t="n">
        <v>10</v>
      </c>
    </row>
    <row r="148" customFormat="false" ht="12.75" hidden="false" customHeight="false" outlineLevel="0" collapsed="false">
      <c r="A148" s="2" t="n">
        <v>3165.9</v>
      </c>
    </row>
    <row r="149" customFormat="false" ht="12.75" hidden="false" customHeight="false" outlineLevel="0" collapsed="false">
      <c r="A149" s="2" t="n">
        <v>818.1</v>
      </c>
    </row>
    <row r="150" customFormat="false" ht="12.75" hidden="false" customHeight="false" outlineLevel="0" collapsed="false">
      <c r="A150" s="2" t="n">
        <v>14413</v>
      </c>
    </row>
    <row r="151" customFormat="false" ht="12.75" hidden="false" customHeight="false" outlineLevel="0" collapsed="false">
      <c r="A151" s="2" t="n">
        <v>3535.3</v>
      </c>
    </row>
    <row r="152" customFormat="false" ht="12.75" hidden="false" customHeight="false" outlineLevel="0" collapsed="false">
      <c r="A152" s="2" t="n">
        <v>5393</v>
      </c>
    </row>
    <row r="153" customFormat="false" ht="12.75" hidden="false" customHeight="false" outlineLevel="0" collapsed="false">
      <c r="A153" s="2" t="n">
        <v>3165.9</v>
      </c>
    </row>
    <row r="154" customFormat="false" ht="12.75" hidden="false" customHeight="false" outlineLevel="0" collapsed="false">
      <c r="A154" s="2" t="n">
        <v>11</v>
      </c>
    </row>
    <row r="155" customFormat="false" ht="12.75" hidden="false" customHeight="false" outlineLevel="0" collapsed="false">
      <c r="A155" s="2" t="n">
        <v>1030</v>
      </c>
    </row>
    <row r="156" customFormat="false" ht="12.75" hidden="false" customHeight="false" outlineLevel="0" collapsed="false">
      <c r="A156" s="2" t="n">
        <v>803</v>
      </c>
    </row>
    <row r="157" customFormat="false" ht="12.75" hidden="false" customHeight="false" outlineLevel="0" collapsed="false">
      <c r="A157" s="2" t="n">
        <v>7044</v>
      </c>
    </row>
    <row r="158" customFormat="false" ht="12.75" hidden="false" customHeight="false" outlineLevel="0" collapsed="false">
      <c r="A158" s="2" t="n">
        <v>739</v>
      </c>
    </row>
    <row r="159" customFormat="false" ht="12.75" hidden="false" customHeight="false" outlineLevel="0" collapsed="false">
      <c r="A159" s="2" t="n">
        <v>2972</v>
      </c>
    </row>
    <row r="160" customFormat="false" ht="12.75" hidden="false" customHeight="false" outlineLevel="0" collapsed="false">
      <c r="A160" s="2" t="n">
        <v>2455</v>
      </c>
    </row>
    <row r="161" customFormat="false" ht="12.75" hidden="false" customHeight="false" outlineLevel="0" collapsed="false">
      <c r="A161" s="2" t="n">
        <v>100</v>
      </c>
    </row>
    <row r="162" customFormat="false" ht="12.75" hidden="false" customHeight="false" outlineLevel="0" collapsed="false">
      <c r="A162" s="2" t="n">
        <v>1</v>
      </c>
    </row>
    <row r="163" customFormat="false" ht="12.75" hidden="false" customHeight="false" outlineLevel="0" collapsed="false">
      <c r="A163" s="2" t="n">
        <v>378</v>
      </c>
    </row>
    <row r="164" customFormat="false" ht="12.75" hidden="false" customHeight="false" outlineLevel="0" collapsed="false">
      <c r="A164" s="2" t="n">
        <v>16</v>
      </c>
    </row>
    <row r="165" customFormat="false" ht="12.75" hidden="false" customHeight="false" outlineLevel="0" collapsed="false">
      <c r="A165" s="2" t="n">
        <v>229</v>
      </c>
    </row>
    <row r="166" customFormat="false" ht="12.75" hidden="false" customHeight="false" outlineLevel="0" collapsed="false">
      <c r="A166" s="2" t="n">
        <v>3</v>
      </c>
    </row>
    <row r="167" customFormat="false" ht="12.75" hidden="false" customHeight="false" outlineLevel="0" collapsed="false">
      <c r="A167" s="2" t="n">
        <v>768.8</v>
      </c>
    </row>
    <row r="168" customFormat="false" ht="12.75" hidden="false" customHeight="false" outlineLevel="0" collapsed="false">
      <c r="A168" s="2" t="n">
        <v>4310.3</v>
      </c>
    </row>
    <row r="169" customFormat="false" ht="12.75" hidden="false" customHeight="false" outlineLevel="0" collapsed="false">
      <c r="A169" s="2" t="n">
        <v>7300</v>
      </c>
    </row>
    <row r="170" customFormat="false" ht="12.75" hidden="false" customHeight="false" outlineLevel="0" collapsed="false">
      <c r="A170" s="2" t="n">
        <v>500</v>
      </c>
    </row>
    <row r="171" customFormat="false" ht="12.75" hidden="false" customHeight="false" outlineLevel="0" collapsed="false">
      <c r="A171" s="2" t="n">
        <v>710.3</v>
      </c>
    </row>
    <row r="172" customFormat="false" ht="12.75" hidden="false" customHeight="false" outlineLevel="0" collapsed="false">
      <c r="A172" s="2" t="n">
        <v>4732.2</v>
      </c>
    </row>
    <row r="173" customFormat="false" ht="12.75" hidden="false" customHeight="false" outlineLevel="0" collapsed="false">
      <c r="A173" s="2" t="n">
        <v>327.1</v>
      </c>
    </row>
    <row r="174" customFormat="false" ht="12.75" hidden="false" customHeight="false" outlineLevel="0" collapsed="false">
      <c r="A174" s="2" t="n">
        <v>3</v>
      </c>
    </row>
    <row r="175" customFormat="false" ht="12.75" hidden="false" customHeight="false" outlineLevel="0" collapsed="false">
      <c r="A175" s="2" t="n">
        <v>27.7</v>
      </c>
    </row>
    <row r="176" customFormat="false" ht="12.75" hidden="false" customHeight="false" outlineLevel="0" collapsed="false">
      <c r="A176" s="2" t="n">
        <v>57</v>
      </c>
    </row>
    <row r="177" customFormat="false" ht="12.75" hidden="false" customHeight="false" outlineLevel="0" collapsed="false">
      <c r="A177" s="2" t="n">
        <v>5035.4</v>
      </c>
    </row>
    <row r="178" customFormat="false" ht="12.75" hidden="false" customHeight="false" outlineLevel="0" collapsed="false">
      <c r="A178" s="2" t="n">
        <v>4</v>
      </c>
    </row>
    <row r="179" customFormat="false" ht="12.75" hidden="false" customHeight="false" outlineLevel="0" collapsed="false">
      <c r="A179" s="2" t="n">
        <v>200</v>
      </c>
    </row>
    <row r="180" customFormat="false" ht="12.75" hidden="false" customHeight="false" outlineLevel="0" collapsed="false">
      <c r="A180" s="2" t="n">
        <v>2000</v>
      </c>
    </row>
    <row r="181" customFormat="false" ht="12.75" hidden="false" customHeight="false" outlineLevel="0" collapsed="false">
      <c r="A181" s="2" t="n">
        <v>3500</v>
      </c>
    </row>
    <row r="182" customFormat="false" ht="12.75" hidden="false" customHeight="false" outlineLevel="0" collapsed="false">
      <c r="A182" s="2" t="n">
        <v>850</v>
      </c>
    </row>
    <row r="183" customFormat="false" ht="12.75" hidden="false" customHeight="false" outlineLevel="0" collapsed="false">
      <c r="A183" s="2" t="n">
        <v>360</v>
      </c>
    </row>
    <row r="184" customFormat="false" ht="12.75" hidden="false" customHeight="false" outlineLevel="0" collapsed="false">
      <c r="A184" s="2" t="n">
        <v>212.5</v>
      </c>
    </row>
    <row r="185" customFormat="false" ht="12.75" hidden="false" customHeight="false" outlineLevel="0" collapsed="false">
      <c r="A185" s="2" t="n">
        <v>1124</v>
      </c>
    </row>
    <row r="186" customFormat="false" ht="12.75" hidden="false" customHeight="false" outlineLevel="0" collapsed="false">
      <c r="A186" s="2" t="n">
        <v>22</v>
      </c>
    </row>
    <row r="187" customFormat="false" ht="12.75" hidden="false" customHeight="false" outlineLevel="0" collapsed="false">
      <c r="A187" s="2" t="n">
        <v>50</v>
      </c>
    </row>
    <row r="188" customFormat="false" ht="12.75" hidden="false" customHeight="false" outlineLevel="0" collapsed="false">
      <c r="A188" s="2" t="n">
        <v>57.7</v>
      </c>
    </row>
    <row r="189" customFormat="false" ht="12.75" hidden="false" customHeight="false" outlineLevel="0" collapsed="false">
      <c r="A189" s="2" t="n">
        <v>475</v>
      </c>
    </row>
    <row r="190" customFormat="false" ht="12.75" hidden="false" customHeight="false" outlineLevel="0" collapsed="false">
      <c r="A190" s="2" t="n">
        <v>18</v>
      </c>
    </row>
    <row r="191" customFormat="false" ht="12.75" hidden="false" customHeight="false" outlineLevel="0" collapsed="false">
      <c r="A191" s="2" t="n">
        <v>10</v>
      </c>
    </row>
    <row r="192" customFormat="false" ht="12.75" hidden="false" customHeight="false" outlineLevel="0" collapsed="false">
      <c r="A192" s="2" t="n">
        <v>26</v>
      </c>
    </row>
    <row r="193" customFormat="false" ht="12.75" hidden="false" customHeight="false" outlineLevel="0" collapsed="false">
      <c r="A193" s="2" t="n">
        <v>3461.4</v>
      </c>
    </row>
    <row r="194" customFormat="false" ht="12.75" hidden="false" customHeight="false" outlineLevel="0" collapsed="false">
      <c r="A194" s="2" t="n">
        <v>1907.8</v>
      </c>
    </row>
    <row r="195" customFormat="false" ht="12.75" hidden="false" customHeight="false" outlineLevel="0" collapsed="false">
      <c r="A195" s="2" t="n">
        <v>11207.9</v>
      </c>
    </row>
    <row r="196" customFormat="false" ht="12.75" hidden="false" customHeight="false" outlineLevel="0" collapsed="false">
      <c r="A196" s="2" t="n">
        <v>5</v>
      </c>
    </row>
    <row r="197" customFormat="false" ht="12.75" hidden="false" customHeight="false" outlineLevel="0" collapsed="false">
      <c r="A197" s="2" t="n">
        <v>25</v>
      </c>
    </row>
    <row r="198" customFormat="false" ht="12.75" hidden="false" customHeight="false" outlineLevel="0" collapsed="false">
      <c r="A198" s="2" t="n">
        <v>140</v>
      </c>
    </row>
    <row r="199" customFormat="false" ht="12.75" hidden="false" customHeight="false" outlineLevel="0" collapsed="false">
      <c r="A199" s="2" t="n">
        <v>88</v>
      </c>
    </row>
    <row r="200" customFormat="false" ht="12.75" hidden="false" customHeight="false" outlineLevel="0" collapsed="false">
      <c r="A200" s="2" t="n">
        <v>75</v>
      </c>
    </row>
    <row r="201" customFormat="false" ht="12.75" hidden="false" customHeight="false" outlineLevel="0" collapsed="false">
      <c r="A201" s="2" t="n">
        <v>1500</v>
      </c>
    </row>
    <row r="202" customFormat="false" ht="12.75" hidden="false" customHeight="false" outlineLevel="0" collapsed="false">
      <c r="A202" s="2" t="n">
        <v>938</v>
      </c>
    </row>
    <row r="203" customFormat="false" ht="12.75" hidden="false" customHeight="false" outlineLevel="0" collapsed="false">
      <c r="A203" s="2" t="n">
        <v>120</v>
      </c>
    </row>
    <row r="204" customFormat="false" ht="12.75" hidden="false" customHeight="false" outlineLevel="0" collapsed="false">
      <c r="A204" s="2" t="n">
        <v>1000</v>
      </c>
    </row>
    <row r="205" customFormat="false" ht="12.75" hidden="false" customHeight="false" outlineLevel="0" collapsed="false">
      <c r="A205" s="2" t="n">
        <v>1700</v>
      </c>
    </row>
    <row r="206" customFormat="false" ht="12.75" hidden="false" customHeight="false" outlineLevel="0" collapsed="false">
      <c r="A206" s="2" t="n">
        <v>180</v>
      </c>
    </row>
    <row r="207" customFormat="false" ht="12.75" hidden="false" customHeight="false" outlineLevel="0" collapsed="false">
      <c r="A207" s="2" t="n">
        <v>1738</v>
      </c>
    </row>
    <row r="208" customFormat="false" ht="12.75" hidden="false" customHeight="false" outlineLevel="0" collapsed="false">
      <c r="A208" s="2" t="n">
        <v>1075</v>
      </c>
    </row>
    <row r="209" customFormat="false" ht="12.75" hidden="false" customHeight="false" outlineLevel="0" collapsed="false">
      <c r="A209" s="2" t="n">
        <v>550</v>
      </c>
    </row>
    <row r="210" customFormat="false" ht="12.75" hidden="false" customHeight="false" outlineLevel="0" collapsed="false">
      <c r="A210" s="2" t="n">
        <v>500</v>
      </c>
    </row>
    <row r="211" customFormat="false" ht="12.75" hidden="false" customHeight="false" outlineLevel="0" collapsed="false">
      <c r="A211" s="2" t="n">
        <v>340</v>
      </c>
    </row>
    <row r="212" customFormat="false" ht="12.75" hidden="false" customHeight="false" outlineLevel="0" collapsed="false">
      <c r="A212" s="2" t="n">
        <v>310</v>
      </c>
    </row>
    <row r="213" customFormat="false" ht="12.75" hidden="false" customHeight="false" outlineLevel="0" collapsed="false">
      <c r="A213" s="2" t="n">
        <v>2195</v>
      </c>
    </row>
    <row r="214" customFormat="false" ht="12.75" hidden="false" customHeight="false" outlineLevel="0" collapsed="false">
      <c r="A214" s="2" t="n">
        <v>425</v>
      </c>
    </row>
    <row r="215" customFormat="false" ht="12.75" hidden="false" customHeight="false" outlineLevel="0" collapsed="false">
      <c r="A215" s="2" t="n">
        <v>930</v>
      </c>
    </row>
    <row r="216" customFormat="false" ht="12.75" hidden="false" customHeight="false" outlineLevel="0" collapsed="false">
      <c r="A216" s="2" t="n">
        <v>1200</v>
      </c>
    </row>
    <row r="217" customFormat="false" ht="12.75" hidden="false" customHeight="false" outlineLevel="0" collapsed="false">
      <c r="A217" s="2" t="n">
        <v>320</v>
      </c>
    </row>
    <row r="218" customFormat="false" ht="12.75" hidden="false" customHeight="false" outlineLevel="0" collapsed="false">
      <c r="A218" s="2" t="n">
        <v>250</v>
      </c>
    </row>
    <row r="219" customFormat="false" ht="12.75" hidden="false" customHeight="false" outlineLevel="0" collapsed="false">
      <c r="A219" s="2" t="n">
        <v>700</v>
      </c>
    </row>
    <row r="220" customFormat="false" ht="12.75" hidden="false" customHeight="false" outlineLevel="0" collapsed="false">
      <c r="A220" s="2" t="n">
        <v>908</v>
      </c>
    </row>
    <row r="221" customFormat="false" ht="12.75" hidden="false" customHeight="false" outlineLevel="0" collapsed="false">
      <c r="A221" s="2" t="n">
        <v>400</v>
      </c>
    </row>
    <row r="222" customFormat="false" ht="12.75" hidden="false" customHeight="false" outlineLevel="0" collapsed="false">
      <c r="A222" s="2" t="n">
        <v>2030</v>
      </c>
    </row>
    <row r="223" customFormat="false" ht="12.75" hidden="false" customHeight="false" outlineLevel="0" collapsed="false">
      <c r="A223" s="2" t="n">
        <v>1345</v>
      </c>
    </row>
    <row r="224" customFormat="false" ht="12.75" hidden="false" customHeight="false" outlineLevel="0" collapsed="false">
      <c r="A224" s="2" t="n">
        <v>10</v>
      </c>
    </row>
    <row r="225" customFormat="false" ht="12.75" hidden="false" customHeight="false" outlineLevel="0" collapsed="false">
      <c r="A225" s="2" t="n">
        <v>190</v>
      </c>
    </row>
    <row r="226" customFormat="false" ht="12.75" hidden="false" customHeight="false" outlineLevel="0" collapsed="false">
      <c r="A226" s="2" t="n">
        <v>100</v>
      </c>
    </row>
    <row r="227" customFormat="false" ht="12.75" hidden="false" customHeight="false" outlineLevel="0" collapsed="false">
      <c r="A227" s="2" t="n">
        <v>600</v>
      </c>
    </row>
    <row r="228" customFormat="false" ht="12.75" hidden="false" customHeight="false" outlineLevel="0" collapsed="false">
      <c r="A228" s="2" t="n">
        <v>360</v>
      </c>
    </row>
    <row r="229" customFormat="false" ht="12.75" hidden="false" customHeight="false" outlineLevel="0" collapsed="false">
      <c r="A229" s="2" t="n">
        <v>300</v>
      </c>
    </row>
    <row r="230" customFormat="false" ht="12.75" hidden="false" customHeight="false" outlineLevel="0" collapsed="false">
      <c r="A230" s="2" t="n">
        <v>40</v>
      </c>
    </row>
    <row r="231" customFormat="false" ht="12.75" hidden="false" customHeight="false" outlineLevel="0" collapsed="false">
      <c r="A231" s="2" t="n">
        <v>20</v>
      </c>
    </row>
    <row r="232" customFormat="false" ht="12.75" hidden="false" customHeight="false" outlineLevel="0" collapsed="false">
      <c r="A232" s="2" t="n">
        <v>75</v>
      </c>
    </row>
    <row r="233" customFormat="false" ht="12.75" hidden="false" customHeight="false" outlineLevel="0" collapsed="false">
      <c r="A233" s="2" t="n">
        <v>34</v>
      </c>
    </row>
    <row r="234" customFormat="false" ht="12.75" hidden="false" customHeight="false" outlineLevel="0" collapsed="false">
      <c r="A234" s="2" t="n">
        <v>45</v>
      </c>
    </row>
    <row r="235" customFormat="false" ht="12.75" hidden="false" customHeight="false" outlineLevel="0" collapsed="false">
      <c r="A235" s="2" t="n">
        <v>10</v>
      </c>
    </row>
    <row r="236" customFormat="false" ht="12.75" hidden="false" customHeight="false" outlineLevel="0" collapsed="false">
      <c r="A236" s="2" t="n">
        <v>90</v>
      </c>
    </row>
    <row r="237" customFormat="false" ht="12.75" hidden="false" customHeight="false" outlineLevel="0" collapsed="false">
      <c r="A237" s="2" t="n">
        <v>50</v>
      </c>
    </row>
    <row r="238" customFormat="false" ht="12.75" hidden="false" customHeight="false" outlineLevel="0" collapsed="false">
      <c r="A238" s="2" t="n">
        <v>5</v>
      </c>
    </row>
    <row r="239" customFormat="false" ht="12.75" hidden="false" customHeight="false" outlineLevel="0" collapsed="false">
      <c r="A239" s="2" t="n">
        <v>0.1</v>
      </c>
    </row>
    <row r="240" customFormat="false" ht="12.75" hidden="false" customHeight="false" outlineLevel="0" collapsed="false">
      <c r="A240" s="2" t="n">
        <v>0.1</v>
      </c>
    </row>
    <row r="241" customFormat="false" ht="12.75" hidden="false" customHeight="false" outlineLevel="0" collapsed="false">
      <c r="A241" s="2" t="n">
        <v>15</v>
      </c>
    </row>
    <row r="242" customFormat="false" ht="12.75" hidden="false" customHeight="false" outlineLevel="0" collapsed="false">
      <c r="A242" s="2" t="n">
        <v>20</v>
      </c>
    </row>
    <row r="243" customFormat="false" ht="12.75" hidden="false" customHeight="false" outlineLevel="0" collapsed="false">
      <c r="A243" s="2" t="n">
        <v>300</v>
      </c>
    </row>
    <row r="244" customFormat="false" ht="12.75" hidden="false" customHeight="false" outlineLevel="0" collapsed="false">
      <c r="A244" s="2" t="n">
        <v>100</v>
      </c>
    </row>
    <row r="245" customFormat="false" ht="12.75" hidden="false" customHeight="false" outlineLevel="0" collapsed="false">
      <c r="A245" s="2" t="n">
        <v>65</v>
      </c>
    </row>
    <row r="246" customFormat="false" ht="12.75" hidden="false" customHeight="false" outlineLevel="0" collapsed="false">
      <c r="A246" s="2" t="n">
        <v>200</v>
      </c>
    </row>
    <row r="247" customFormat="false" ht="12.75" hidden="false" customHeight="false" outlineLevel="0" collapsed="false">
      <c r="A247" s="2" t="n">
        <v>900</v>
      </c>
    </row>
    <row r="248" customFormat="false" ht="12.75" hidden="false" customHeight="false" outlineLevel="0" collapsed="false">
      <c r="A248" s="2" t="n">
        <v>500</v>
      </c>
    </row>
    <row r="249" customFormat="false" ht="12.75" hidden="false" customHeight="false" outlineLevel="0" collapsed="false">
      <c r="A249" s="2" t="n">
        <v>100</v>
      </c>
    </row>
    <row r="250" customFormat="false" ht="12.75" hidden="false" customHeight="false" outlineLevel="0" collapsed="false">
      <c r="A250" s="2" t="n">
        <v>500</v>
      </c>
    </row>
    <row r="251" customFormat="false" ht="12.75" hidden="false" customHeight="false" outlineLevel="0" collapsed="false">
      <c r="A251" s="2" t="n">
        <v>17.5</v>
      </c>
    </row>
    <row r="252" customFormat="false" ht="12.75" hidden="false" customHeight="false" outlineLevel="0" collapsed="false">
      <c r="A252" s="2" t="n">
        <v>12100</v>
      </c>
    </row>
    <row r="253" customFormat="false" ht="12.75" hidden="false" customHeight="false" outlineLevel="0" collapsed="false">
      <c r="A253" s="2" t="n">
        <v>850</v>
      </c>
    </row>
    <row r="254" customFormat="false" ht="12.75" hidden="false" customHeight="false" outlineLevel="0" collapsed="false">
      <c r="A254" s="2" t="n">
        <v>3146.6</v>
      </c>
    </row>
    <row r="255" customFormat="false" ht="12.75" hidden="false" customHeight="false" outlineLevel="0" collapsed="false">
      <c r="A255" s="2" t="n">
        <v>6855.4</v>
      </c>
    </row>
    <row r="256" customFormat="false" ht="12.75" hidden="false" customHeight="false" outlineLevel="0" collapsed="false">
      <c r="A256" s="2" t="n">
        <v>300</v>
      </c>
    </row>
    <row r="257" customFormat="false" ht="12.75" hidden="false" customHeight="false" outlineLevel="0" collapsed="false">
      <c r="A257" s="2" t="n">
        <v>1447</v>
      </c>
    </row>
    <row r="258" customFormat="false" ht="12.75" hidden="false" customHeight="false" outlineLevel="0" collapsed="false">
      <c r="A258" s="2" t="n">
        <v>5</v>
      </c>
    </row>
    <row r="259" customFormat="false" ht="12.75" hidden="false" customHeight="false" outlineLevel="0" collapsed="false">
      <c r="A259" s="2" t="n">
        <v>16093</v>
      </c>
    </row>
    <row r="260" customFormat="false" ht="12.75" hidden="false" customHeight="false" outlineLevel="0" collapsed="false">
      <c r="A260" s="2" t="n">
        <v>10</v>
      </c>
    </row>
    <row r="261" customFormat="false" ht="12.75" hidden="false" customHeight="false" outlineLevel="0" collapsed="false">
      <c r="A261" s="2" t="n">
        <v>23</v>
      </c>
    </row>
    <row r="262" customFormat="false" ht="12.75" hidden="false" customHeight="false" outlineLevel="0" collapsed="false">
      <c r="A262" s="2" t="n">
        <v>0.1</v>
      </c>
    </row>
    <row r="263" customFormat="false" ht="12.75" hidden="false" customHeight="false" outlineLevel="0" collapsed="false">
      <c r="A263" s="2" t="n">
        <v>15</v>
      </c>
    </row>
    <row r="264" customFormat="false" ht="12.75" hidden="false" customHeight="false" outlineLevel="0" collapsed="false">
      <c r="A264" s="2" t="n">
        <v>0.1</v>
      </c>
    </row>
    <row r="265" customFormat="false" ht="12.75" hidden="false" customHeight="false" outlineLevel="0" collapsed="false">
      <c r="A265" s="2" t="n">
        <v>1</v>
      </c>
    </row>
    <row r="266" customFormat="false" ht="12.75" hidden="false" customHeight="false" outlineLevel="0" collapsed="false">
      <c r="A266" s="2" t="n">
        <v>0.1</v>
      </c>
    </row>
    <row r="267" customFormat="false" ht="12.75" hidden="false" customHeight="false" outlineLevel="0" collapsed="false">
      <c r="A267" s="2" t="n">
        <v>15702</v>
      </c>
    </row>
    <row r="268" customFormat="false" ht="12.75" hidden="false" customHeight="false" outlineLevel="0" collapsed="false">
      <c r="A268" s="2" t="n">
        <v>12950</v>
      </c>
    </row>
    <row r="269" customFormat="false" ht="12.75" hidden="false" customHeight="false" outlineLevel="0" collapsed="false">
      <c r="A269" s="2" t="n">
        <v>35</v>
      </c>
    </row>
    <row r="270" customFormat="false" ht="12.75" hidden="false" customHeight="false" outlineLevel="0" collapsed="false">
      <c r="A270" s="2" t="n">
        <v>10</v>
      </c>
    </row>
    <row r="271" customFormat="false" ht="12.75" hidden="false" customHeight="false" outlineLevel="0" collapsed="false">
      <c r="A271" s="2" t="n">
        <v>60</v>
      </c>
    </row>
    <row r="272" customFormat="false" ht="12.75" hidden="false" customHeight="false" outlineLevel="0" collapsed="false">
      <c r="A272" s="2" t="n">
        <v>1400</v>
      </c>
    </row>
    <row r="273" customFormat="false" ht="12.75" hidden="false" customHeight="false" outlineLevel="0" collapsed="false">
      <c r="A273" s="2" t="n">
        <v>300</v>
      </c>
    </row>
    <row r="274" customFormat="false" ht="12.75" hidden="false" customHeight="false" outlineLevel="0" collapsed="false">
      <c r="A274" s="2" t="n">
        <v>3960</v>
      </c>
    </row>
    <row r="275" customFormat="false" ht="12.75" hidden="false" customHeight="false" outlineLevel="0" collapsed="false">
      <c r="A275" s="2" t="n">
        <v>9072</v>
      </c>
    </row>
    <row r="276" customFormat="false" ht="12.75" hidden="false" customHeight="false" outlineLevel="0" collapsed="false">
      <c r="A276" s="2" t="n">
        <v>14000</v>
      </c>
    </row>
    <row r="277" customFormat="false" ht="12.75" hidden="false" customHeight="false" outlineLevel="0" collapsed="false">
      <c r="A277" s="2" t="n">
        <v>8160</v>
      </c>
    </row>
    <row r="278" customFormat="false" ht="12.75" hidden="false" customHeight="false" outlineLevel="0" collapsed="false">
      <c r="A278" s="2" t="n">
        <v>2500</v>
      </c>
    </row>
    <row r="279" customFormat="false" ht="12.75" hidden="false" customHeight="false" outlineLevel="0" collapsed="false">
      <c r="A279" s="2" t="n">
        <v>2500</v>
      </c>
    </row>
    <row r="280" customFormat="false" ht="12.75" hidden="false" customHeight="false" outlineLevel="0" collapsed="false">
      <c r="A280" s="2" t="n">
        <v>5089</v>
      </c>
    </row>
    <row r="281" customFormat="false" ht="12.75" hidden="false" customHeight="false" outlineLevel="0" collapsed="false">
      <c r="A281" s="2" t="n">
        <v>15</v>
      </c>
    </row>
    <row r="282" customFormat="false" ht="12.75" hidden="false" customHeight="false" outlineLevel="0" collapsed="false">
      <c r="A282" s="2" t="n">
        <v>1415</v>
      </c>
    </row>
    <row r="283" customFormat="false" ht="12.75" hidden="false" customHeight="false" outlineLevel="0" collapsed="false">
      <c r="A283" s="2" t="n">
        <v>8</v>
      </c>
    </row>
    <row r="284" customFormat="false" ht="12.75" hidden="false" customHeight="false" outlineLevel="0" collapsed="false">
      <c r="A284" s="2" t="n">
        <v>610</v>
      </c>
    </row>
    <row r="285" customFormat="false" ht="12.75" hidden="false" customHeight="false" outlineLevel="0" collapsed="false">
      <c r="A285" s="2" t="n">
        <v>150</v>
      </c>
    </row>
    <row r="286" customFormat="false" ht="12.75" hidden="false" customHeight="false" outlineLevel="0" collapsed="false">
      <c r="A286" s="2" t="n">
        <v>211</v>
      </c>
    </row>
    <row r="287" customFormat="false" ht="12.75" hidden="false" customHeight="false" outlineLevel="0" collapsed="false">
      <c r="A287" s="2" t="n">
        <v>275</v>
      </c>
    </row>
    <row r="288" customFormat="false" ht="12.75" hidden="false" customHeight="false" outlineLevel="0" collapsed="false">
      <c r="A288" s="2" t="n">
        <v>9</v>
      </c>
    </row>
    <row r="289" customFormat="false" ht="12.75" hidden="false" customHeight="false" outlineLevel="0" collapsed="false">
      <c r="A289" s="2" t="n">
        <v>16</v>
      </c>
    </row>
    <row r="290" customFormat="false" ht="12.75" hidden="false" customHeight="false" outlineLevel="0" collapsed="false">
      <c r="A290" s="2" t="n">
        <v>150</v>
      </c>
    </row>
    <row r="291" customFormat="false" ht="12.75" hidden="false" customHeight="false" outlineLevel="0" collapsed="false">
      <c r="A291" s="2" t="n">
        <v>2</v>
      </c>
    </row>
    <row r="292" customFormat="false" ht="12.75" hidden="false" customHeight="false" outlineLevel="0" collapsed="false">
      <c r="A292" s="2" t="n">
        <v>55403</v>
      </c>
    </row>
    <row r="293" customFormat="false" ht="12.75" hidden="false" customHeight="false" outlineLevel="0" collapsed="false">
      <c r="A293" s="2" t="n">
        <v>10</v>
      </c>
    </row>
    <row r="294" customFormat="false" ht="12.75" hidden="false" customHeight="false" outlineLevel="0" collapsed="false">
      <c r="A294" s="2" t="n">
        <v>33</v>
      </c>
    </row>
    <row r="295" customFormat="false" ht="12.75" hidden="false" customHeight="false" outlineLevel="0" collapsed="false">
      <c r="A295" s="2" t="n">
        <v>57</v>
      </c>
    </row>
    <row r="296" customFormat="false" ht="12.75" hidden="false" customHeight="false" outlineLevel="0" collapsed="false">
      <c r="A296" s="2" t="n">
        <v>3163</v>
      </c>
    </row>
    <row r="297" customFormat="false" ht="12.75" hidden="false" customHeight="false" outlineLevel="0" collapsed="false">
      <c r="A297" s="2" t="n">
        <v>19717</v>
      </c>
    </row>
    <row r="298" customFormat="false" ht="12.75" hidden="false" customHeight="false" outlineLevel="0" collapsed="false">
      <c r="A298" s="2" t="n">
        <v>3926</v>
      </c>
    </row>
    <row r="299" customFormat="false" ht="12.75" hidden="false" customHeight="false" outlineLevel="0" collapsed="false">
      <c r="A299" s="2" t="n">
        <v>31</v>
      </c>
    </row>
    <row r="300" customFormat="false" ht="12.75" hidden="false" customHeight="false" outlineLevel="0" collapsed="false">
      <c r="A300" s="2" t="n">
        <v>29</v>
      </c>
    </row>
    <row r="301" customFormat="false" ht="12.75" hidden="false" customHeight="false" outlineLevel="0" collapsed="false">
      <c r="A301" s="2" t="n">
        <v>2</v>
      </c>
    </row>
    <row r="302" customFormat="false" ht="12.75" hidden="false" customHeight="false" outlineLevel="0" collapsed="false">
      <c r="A302" s="2" t="n">
        <v>5</v>
      </c>
    </row>
    <row r="303" customFormat="false" ht="12.75" hidden="false" customHeight="false" outlineLevel="0" collapsed="false">
      <c r="A303" s="2" t="n">
        <v>4</v>
      </c>
    </row>
    <row r="304" customFormat="false" ht="12.75" hidden="false" customHeight="false" outlineLevel="0" collapsed="false">
      <c r="A304" s="2" t="n">
        <v>144546</v>
      </c>
    </row>
    <row r="305" customFormat="false" ht="12.75" hidden="false" customHeight="false" outlineLevel="0" collapsed="false">
      <c r="A305" s="2" t="n">
        <v>1900</v>
      </c>
    </row>
    <row r="306" customFormat="false" ht="12.75" hidden="false" customHeight="false" outlineLevel="0" collapsed="false">
      <c r="A306" s="2" t="n">
        <v>8106</v>
      </c>
    </row>
    <row r="307" customFormat="false" ht="12.75" hidden="false" customHeight="false" outlineLevel="0" collapsed="false">
      <c r="A307" s="2" t="n">
        <v>16839</v>
      </c>
    </row>
    <row r="308" customFormat="false" ht="12.75" hidden="false" customHeight="false" outlineLevel="0" collapsed="false">
      <c r="A308" s="2" t="n">
        <v>76717</v>
      </c>
    </row>
    <row r="309" customFormat="false" ht="12.75" hidden="false" customHeight="false" outlineLevel="0" collapsed="false">
      <c r="A309" s="2" t="n">
        <v>100007</v>
      </c>
    </row>
    <row r="310" customFormat="false" ht="12.75" hidden="false" customHeight="false" outlineLevel="0" collapsed="false">
      <c r="A310" s="2" t="n">
        <v>66</v>
      </c>
    </row>
    <row r="311" customFormat="false" ht="12.75" hidden="false" customHeight="false" outlineLevel="0" collapsed="false">
      <c r="A311" s="2" t="n">
        <v>128</v>
      </c>
    </row>
    <row r="312" customFormat="false" ht="12.75" hidden="false" customHeight="false" outlineLevel="0" collapsed="false">
      <c r="A312" s="2" t="n">
        <v>36</v>
      </c>
    </row>
    <row r="313" customFormat="false" ht="12.75" hidden="false" customHeight="false" outlineLevel="0" collapsed="false">
      <c r="A313" s="2" t="n">
        <v>1700</v>
      </c>
    </row>
    <row r="314" customFormat="false" ht="12.75" hidden="false" customHeight="false" outlineLevel="0" collapsed="false">
      <c r="A314" s="2" t="n">
        <v>37</v>
      </c>
    </row>
    <row r="315" customFormat="false" ht="12.75" hidden="false" customHeight="false" outlineLevel="0" collapsed="false">
      <c r="A315" s="2" t="n">
        <v>750</v>
      </c>
    </row>
    <row r="316" customFormat="false" ht="12.75" hidden="false" customHeight="false" outlineLevel="0" collapsed="false">
      <c r="A316" s="2" t="n">
        <v>449.83</v>
      </c>
    </row>
    <row r="317" customFormat="false" ht="12.75" hidden="false" customHeight="false" outlineLevel="0" collapsed="false">
      <c r="A317" s="2" t="n">
        <v>1400</v>
      </c>
    </row>
    <row r="318" customFormat="false" ht="12.75" hidden="false" customHeight="false" outlineLevel="0" collapsed="false">
      <c r="A318" s="2" t="n">
        <v>37000</v>
      </c>
    </row>
    <row r="319" customFormat="false" ht="12.75" hidden="false" customHeight="false" outlineLevel="0" collapsed="false">
      <c r="A319" s="2" t="n">
        <v>10</v>
      </c>
    </row>
    <row r="320" customFormat="false" ht="12.75" hidden="false" customHeight="false" outlineLevel="0" collapsed="false">
      <c r="A320" s="2" t="n">
        <v>340</v>
      </c>
    </row>
    <row r="321" customFormat="false" ht="12.75" hidden="false" customHeight="false" outlineLevel="0" collapsed="false">
      <c r="A321" s="2" t="n">
        <v>320</v>
      </c>
    </row>
    <row r="322" customFormat="false" ht="12.75" hidden="false" customHeight="false" outlineLevel="0" collapsed="false">
      <c r="A322" s="2" t="n">
        <v>31100</v>
      </c>
    </row>
    <row r="323" customFormat="false" ht="12.75" hidden="false" customHeight="false" outlineLevel="0" collapsed="false">
      <c r="A323" s="2" t="n">
        <v>4791</v>
      </c>
    </row>
    <row r="324" customFormat="false" ht="12.75" hidden="false" customHeight="false" outlineLevel="0" collapsed="false">
      <c r="A324" s="2" t="n">
        <v>15</v>
      </c>
    </row>
    <row r="325" customFormat="false" ht="12.75" hidden="false" customHeight="false" outlineLevel="0" collapsed="false">
      <c r="A325" s="2" t="n">
        <v>2478</v>
      </c>
    </row>
    <row r="326" customFormat="false" ht="12.75" hidden="false" customHeight="false" outlineLevel="0" collapsed="false">
      <c r="A326" s="2" t="n">
        <v>1280</v>
      </c>
    </row>
    <row r="327" customFormat="false" ht="12.75" hidden="false" customHeight="false" outlineLevel="0" collapsed="false">
      <c r="A327" s="2" t="n">
        <v>450</v>
      </c>
    </row>
    <row r="328" customFormat="false" ht="12.75" hidden="false" customHeight="false" outlineLevel="0" collapsed="false">
      <c r="A328" s="2" t="n">
        <v>450</v>
      </c>
    </row>
    <row r="329" customFormat="false" ht="12.75" hidden="false" customHeight="false" outlineLevel="0" collapsed="false">
      <c r="A329" s="2" t="n">
        <v>25</v>
      </c>
    </row>
    <row r="330" customFormat="false" ht="12.75" hidden="false" customHeight="false" outlineLevel="0" collapsed="false">
      <c r="A330" s="2" t="n">
        <v>15</v>
      </c>
    </row>
    <row r="331" customFormat="false" ht="12.75" hidden="false" customHeight="false" outlineLevel="0" collapsed="false">
      <c r="A331" s="2" t="n">
        <v>215</v>
      </c>
    </row>
    <row r="332" customFormat="false" ht="12.75" hidden="false" customHeight="false" outlineLevel="0" collapsed="false">
      <c r="A332" s="2" t="n">
        <v>2</v>
      </c>
    </row>
    <row r="333" customFormat="false" ht="12.75" hidden="false" customHeight="false" outlineLevel="0" collapsed="false">
      <c r="A333" s="2" t="n">
        <v>5</v>
      </c>
    </row>
    <row r="334" customFormat="false" ht="12.75" hidden="false" customHeight="false" outlineLevel="0" collapsed="false">
      <c r="A334" s="2" t="n">
        <v>28.48</v>
      </c>
    </row>
    <row r="335" customFormat="false" ht="12.75" hidden="false" customHeight="false" outlineLevel="0" collapsed="false">
      <c r="A335" s="2" t="n">
        <v>5</v>
      </c>
    </row>
    <row r="336" customFormat="false" ht="12.75" hidden="false" customHeight="false" outlineLevel="0" collapsed="false">
      <c r="A336" s="2" t="n">
        <v>10</v>
      </c>
    </row>
    <row r="337" customFormat="false" ht="12.75" hidden="false" customHeight="false" outlineLevel="0" collapsed="false">
      <c r="A337" s="2" t="n">
        <v>125.85</v>
      </c>
    </row>
    <row r="338" customFormat="false" ht="12.75" hidden="false" customHeight="false" outlineLevel="0" collapsed="false">
      <c r="A338" s="2" t="n">
        <v>4</v>
      </c>
    </row>
    <row r="339" customFormat="false" ht="12.75" hidden="false" customHeight="false" outlineLevel="0" collapsed="false">
      <c r="A339" s="2" t="n">
        <v>100</v>
      </c>
    </row>
    <row r="340" customFormat="false" ht="12.75" hidden="false" customHeight="false" outlineLevel="0" collapsed="false">
      <c r="A340" s="2" t="n">
        <v>20</v>
      </c>
    </row>
    <row r="341" customFormat="false" ht="12.75" hidden="false" customHeight="false" outlineLevel="0" collapsed="false">
      <c r="A341" s="2" t="n">
        <v>20</v>
      </c>
    </row>
    <row r="342" customFormat="false" ht="12.75" hidden="false" customHeight="false" outlineLevel="0" collapsed="false">
      <c r="A342" s="2" t="n">
        <v>150</v>
      </c>
    </row>
    <row r="343" customFormat="false" ht="12.75" hidden="false" customHeight="false" outlineLevel="0" collapsed="false">
      <c r="A343" s="2" t="n">
        <v>20</v>
      </c>
    </row>
    <row r="344" customFormat="false" ht="12.75" hidden="false" customHeight="false" outlineLevel="0" collapsed="false">
      <c r="A344" s="2" t="n">
        <v>5</v>
      </c>
    </row>
    <row r="345" customFormat="false" ht="12.75" hidden="false" customHeight="false" outlineLevel="0" collapsed="false">
      <c r="A345" s="2" t="n">
        <v>225</v>
      </c>
    </row>
    <row r="346" customFormat="false" ht="12.75" hidden="false" customHeight="false" outlineLevel="0" collapsed="false">
      <c r="A346" s="2" t="n">
        <v>0.5</v>
      </c>
    </row>
    <row r="347" customFormat="false" ht="12.75" hidden="false" customHeight="false" outlineLevel="0" collapsed="false">
      <c r="A347" s="2" t="n">
        <v>24</v>
      </c>
    </row>
    <row r="348" customFormat="false" ht="12.75" hidden="false" customHeight="false" outlineLevel="0" collapsed="false">
      <c r="A348" s="2" t="n">
        <v>200</v>
      </c>
    </row>
    <row r="349" customFormat="false" ht="12.75" hidden="false" customHeight="false" outlineLevel="0" collapsed="false">
      <c r="A349" s="2" t="n">
        <v>134</v>
      </c>
    </row>
    <row r="350" customFormat="false" ht="12.75" hidden="false" customHeight="false" outlineLevel="0" collapsed="false">
      <c r="A350" s="2" t="n">
        <v>175</v>
      </c>
    </row>
    <row r="351" customFormat="false" ht="12.75" hidden="false" customHeight="false" outlineLevel="0" collapsed="false">
      <c r="A351" s="2" t="n">
        <v>3009</v>
      </c>
    </row>
    <row r="352" customFormat="false" ht="12.75" hidden="false" customHeight="false" outlineLevel="0" collapsed="false">
      <c r="A352" s="2" t="n">
        <v>1344</v>
      </c>
    </row>
    <row r="353" customFormat="false" ht="12.75" hidden="false" customHeight="false" outlineLevel="0" collapsed="false">
      <c r="A353" s="2" t="n">
        <v>586</v>
      </c>
    </row>
    <row r="354" customFormat="false" ht="12.75" hidden="false" customHeight="false" outlineLevel="0" collapsed="false">
      <c r="A354" s="2" t="n">
        <v>90</v>
      </c>
    </row>
    <row r="355" customFormat="false" ht="12.75" hidden="false" customHeight="false" outlineLevel="0" collapsed="false">
      <c r="A355" s="2" t="n">
        <v>900</v>
      </c>
    </row>
    <row r="356" customFormat="false" ht="12.75" hidden="false" customHeight="false" outlineLevel="0" collapsed="false">
      <c r="A356" s="2" t="n">
        <v>200</v>
      </c>
    </row>
    <row r="357" customFormat="false" ht="12.75" hidden="false" customHeight="false" outlineLevel="0" collapsed="false">
      <c r="A357" s="2" t="n">
        <v>1997</v>
      </c>
    </row>
    <row r="358" customFormat="false" ht="12.75" hidden="false" customHeight="false" outlineLevel="0" collapsed="false">
      <c r="A358" s="2" t="n">
        <v>5210</v>
      </c>
    </row>
    <row r="359" customFormat="false" ht="12.75" hidden="false" customHeight="false" outlineLevel="0" collapsed="false">
      <c r="A359" s="2" t="n">
        <v>652</v>
      </c>
    </row>
    <row r="360" customFormat="false" ht="12.75" hidden="false" customHeight="false" outlineLevel="0" collapsed="false">
      <c r="A360" s="2" t="n">
        <v>33501</v>
      </c>
    </row>
    <row r="361" customFormat="false" ht="12.75" hidden="false" customHeight="false" outlineLevel="0" collapsed="false">
      <c r="A361" s="2" t="n">
        <v>15555</v>
      </c>
    </row>
    <row r="362" customFormat="false" ht="12.75" hidden="false" customHeight="false" outlineLevel="0" collapsed="false">
      <c r="A362" s="2" t="n">
        <v>4572</v>
      </c>
    </row>
    <row r="363" customFormat="false" ht="12.75" hidden="false" customHeight="false" outlineLevel="0" collapsed="false">
      <c r="A363" s="2" t="n">
        <v>8157</v>
      </c>
    </row>
    <row r="364" customFormat="false" ht="12.75" hidden="false" customHeight="false" outlineLevel="0" collapsed="false">
      <c r="A364" s="2" t="n">
        <v>40</v>
      </c>
    </row>
    <row r="365" customFormat="false" ht="12.75" hidden="false" customHeight="false" outlineLevel="0" collapsed="false">
      <c r="A365" s="2" t="n">
        <v>45</v>
      </c>
    </row>
    <row r="366" customFormat="false" ht="12.75" hidden="false" customHeight="false" outlineLevel="0" collapsed="false">
      <c r="A366" s="2" t="n">
        <v>13500</v>
      </c>
    </row>
    <row r="367" customFormat="false" ht="12.75" hidden="false" customHeight="false" outlineLevel="0" collapsed="false">
      <c r="A367" s="2" t="n">
        <v>225</v>
      </c>
    </row>
    <row r="368" customFormat="false" ht="12.75" hidden="false" customHeight="false" outlineLevel="0" collapsed="false">
      <c r="A368" s="2" t="n">
        <v>375</v>
      </c>
    </row>
    <row r="369" customFormat="false" ht="12.75" hidden="false" customHeight="false" outlineLevel="0" collapsed="false">
      <c r="A369" s="2" t="n">
        <v>3405</v>
      </c>
    </row>
    <row r="370" customFormat="false" ht="12.75" hidden="false" customHeight="false" outlineLevel="0" collapsed="false">
      <c r="A370" s="2" t="n">
        <v>6000</v>
      </c>
    </row>
    <row r="371" customFormat="false" ht="12.75" hidden="false" customHeight="false" outlineLevel="0" collapsed="false">
      <c r="A371" s="2" t="n">
        <v>11002</v>
      </c>
    </row>
    <row r="372" customFormat="false" ht="12.75" hidden="false" customHeight="false" outlineLevel="0" collapsed="false">
      <c r="A372" s="2" t="n">
        <v>100</v>
      </c>
    </row>
    <row r="373" customFormat="false" ht="12.75" hidden="false" customHeight="false" outlineLevel="0" collapsed="false">
      <c r="A373" s="2" t="n">
        <v>250</v>
      </c>
    </row>
    <row r="374" customFormat="false" ht="12.75" hidden="false" customHeight="false" outlineLevel="0" collapsed="false">
      <c r="A374" s="2" t="n">
        <v>3850</v>
      </c>
    </row>
    <row r="375" customFormat="false" ht="12.75" hidden="false" customHeight="false" outlineLevel="0" collapsed="false">
      <c r="A375" s="2" t="n">
        <v>200</v>
      </c>
    </row>
    <row r="376" customFormat="false" ht="12.75" hidden="false" customHeight="false" outlineLevel="0" collapsed="false">
      <c r="A376" s="2" t="n">
        <v>234</v>
      </c>
    </row>
    <row r="377" customFormat="false" ht="12.75" hidden="false" customHeight="false" outlineLevel="0" collapsed="false">
      <c r="A377" s="2" t="n">
        <v>1103</v>
      </c>
    </row>
    <row r="378" customFormat="false" ht="12.75" hidden="false" customHeight="false" outlineLevel="0" collapsed="false">
      <c r="A378" s="2" t="n">
        <v>101</v>
      </c>
    </row>
    <row r="379" customFormat="false" ht="12.75" hidden="false" customHeight="false" outlineLevel="0" collapsed="false">
      <c r="A379" s="2" t="n">
        <v>5</v>
      </c>
    </row>
    <row r="380" customFormat="false" ht="12.75" hidden="false" customHeight="false" outlineLevel="0" collapsed="false">
      <c r="A380" s="2" t="n">
        <v>280</v>
      </c>
    </row>
    <row r="381" customFormat="false" ht="12.75" hidden="false" customHeight="false" outlineLevel="0" collapsed="false">
      <c r="A381" s="2" t="n">
        <v>5</v>
      </c>
    </row>
    <row r="382" customFormat="false" ht="12.75" hidden="false" customHeight="false" outlineLevel="0" collapsed="false">
      <c r="A382" s="2" t="n">
        <v>160</v>
      </c>
    </row>
    <row r="383" customFormat="false" ht="12.75" hidden="false" customHeight="false" outlineLevel="0" collapsed="false">
      <c r="A383" s="2" t="n">
        <v>3250</v>
      </c>
    </row>
    <row r="384" customFormat="false" ht="12.75" hidden="false" customHeight="false" outlineLevel="0" collapsed="false">
      <c r="A384" s="2" t="n">
        <v>5</v>
      </c>
    </row>
    <row r="385" customFormat="false" ht="12.75" hidden="false" customHeight="false" outlineLevel="0" collapsed="false">
      <c r="A385" s="2" t="n">
        <v>3</v>
      </c>
    </row>
    <row r="386" customFormat="false" ht="12.75" hidden="false" customHeight="false" outlineLevel="0" collapsed="false">
      <c r="A386" s="2" t="n">
        <v>1.5</v>
      </c>
    </row>
    <row r="387" customFormat="false" ht="12.75" hidden="false" customHeight="false" outlineLevel="0" collapsed="false">
      <c r="A387" s="2" t="n">
        <v>73</v>
      </c>
    </row>
    <row r="388" customFormat="false" ht="12.75" hidden="false" customHeight="false" outlineLevel="0" collapsed="false">
      <c r="A388" s="2" t="n">
        <v>2</v>
      </c>
    </row>
    <row r="389" customFormat="false" ht="12.75" hidden="false" customHeight="false" outlineLevel="0" collapsed="false">
      <c r="A389" s="2" t="n">
        <v>8</v>
      </c>
    </row>
    <row r="390" customFormat="false" ht="12.75" hidden="false" customHeight="false" outlineLevel="0" collapsed="false">
      <c r="A390" s="2" t="n">
        <v>77</v>
      </c>
    </row>
    <row r="391" customFormat="false" ht="12.75" hidden="false" customHeight="false" outlineLevel="0" collapsed="false">
      <c r="A391" s="2" t="n">
        <v>10</v>
      </c>
    </row>
    <row r="392" customFormat="false" ht="12.75" hidden="false" customHeight="false" outlineLevel="0" collapsed="false">
      <c r="A392" s="2" t="n">
        <v>1</v>
      </c>
    </row>
    <row r="393" customFormat="false" ht="12.75" hidden="false" customHeight="false" outlineLevel="0" collapsed="false">
      <c r="A393" s="2" t="n">
        <v>10</v>
      </c>
    </row>
    <row r="394" customFormat="false" ht="12.75" hidden="false" customHeight="false" outlineLevel="0" collapsed="false">
      <c r="A394" s="2" t="n">
        <v>180</v>
      </c>
    </row>
    <row r="395" customFormat="false" ht="12.75" hidden="false" customHeight="false" outlineLevel="0" collapsed="false">
      <c r="A395" s="2" t="n">
        <v>50</v>
      </c>
    </row>
    <row r="396" customFormat="false" ht="12.75" hidden="false" customHeight="false" outlineLevel="0" collapsed="false">
      <c r="A396" s="2" t="n">
        <v>15</v>
      </c>
    </row>
    <row r="397" customFormat="false" ht="12.75" hidden="false" customHeight="false" outlineLevel="0" collapsed="false">
      <c r="A397" s="2" t="n">
        <v>1</v>
      </c>
    </row>
    <row r="398" customFormat="false" ht="12.75" hidden="false" customHeight="false" outlineLevel="0" collapsed="false">
      <c r="A398" s="2" t="n">
        <v>50</v>
      </c>
    </row>
    <row r="399" customFormat="false" ht="12.75" hidden="false" customHeight="false" outlineLevel="0" collapsed="false">
      <c r="A399" s="2" t="n">
        <v>0.75</v>
      </c>
    </row>
    <row r="400" customFormat="false" ht="12.75" hidden="false" customHeight="false" outlineLevel="0" collapsed="false">
      <c r="A400" s="2" t="n">
        <v>2</v>
      </c>
    </row>
    <row r="401" customFormat="false" ht="12.75" hidden="false" customHeight="false" outlineLevel="0" collapsed="false">
      <c r="A401" s="2" t="n">
        <v>1</v>
      </c>
    </row>
    <row r="402" customFormat="false" ht="12.75" hidden="false" customHeight="false" outlineLevel="0" collapsed="false">
      <c r="A402" s="2" t="n">
        <v>576</v>
      </c>
    </row>
    <row r="403" customFormat="false" ht="12.75" hidden="false" customHeight="false" outlineLevel="0" collapsed="false">
      <c r="A403" s="2" t="n">
        <v>156</v>
      </c>
    </row>
    <row r="404" customFormat="false" ht="12.75" hidden="false" customHeight="false" outlineLevel="0" collapsed="false">
      <c r="A404" s="2" t="n">
        <v>60</v>
      </c>
    </row>
    <row r="405" customFormat="false" ht="12.75" hidden="false" customHeight="false" outlineLevel="0" collapsed="false">
      <c r="A405" s="2" t="n">
        <v>57</v>
      </c>
    </row>
    <row r="406" customFormat="false" ht="12.75" hidden="false" customHeight="false" outlineLevel="0" collapsed="false">
      <c r="A406" s="2" t="n">
        <v>1</v>
      </c>
    </row>
    <row r="407" customFormat="false" ht="12.75" hidden="false" customHeight="false" outlineLevel="0" collapsed="false">
      <c r="A407" s="2" t="n">
        <v>200</v>
      </c>
    </row>
    <row r="408" customFormat="false" ht="12.75" hidden="false" customHeight="false" outlineLevel="0" collapsed="false">
      <c r="A408" s="2" t="n">
        <v>1640</v>
      </c>
    </row>
    <row r="409" customFormat="false" ht="12.75" hidden="false" customHeight="false" outlineLevel="0" collapsed="false">
      <c r="A409" s="2" t="n">
        <v>830</v>
      </c>
    </row>
    <row r="410" customFormat="false" ht="12.75" hidden="false" customHeight="false" outlineLevel="0" collapsed="false">
      <c r="A410" s="2" t="n">
        <v>60</v>
      </c>
    </row>
    <row r="411" customFormat="false" ht="12.75" hidden="false" customHeight="false" outlineLevel="0" collapsed="false">
      <c r="A411" s="2" t="n">
        <v>9000</v>
      </c>
    </row>
    <row r="412" customFormat="false" ht="12.75" hidden="false" customHeight="false" outlineLevel="0" collapsed="false">
      <c r="A412" s="2" t="n">
        <v>155</v>
      </c>
    </row>
    <row r="413" customFormat="false" ht="12.75" hidden="false" customHeight="false" outlineLevel="0" collapsed="false">
      <c r="A413" s="2" t="n">
        <v>275</v>
      </c>
    </row>
    <row r="414" customFormat="false" ht="12.75" hidden="false" customHeight="false" outlineLevel="0" collapsed="false">
      <c r="A414" s="2" t="n">
        <v>2000</v>
      </c>
    </row>
    <row r="415" customFormat="false" ht="12.75" hidden="false" customHeight="false" outlineLevel="0" collapsed="false">
      <c r="A415" s="2" t="n">
        <v>500</v>
      </c>
    </row>
    <row r="416" customFormat="false" ht="12.75" hidden="false" customHeight="false" outlineLevel="0" collapsed="false">
      <c r="A416" s="2" t="n">
        <v>55</v>
      </c>
    </row>
    <row r="417" customFormat="false" ht="12.75" hidden="false" customHeight="false" outlineLevel="0" collapsed="false">
      <c r="A417" s="2" t="n">
        <v>45</v>
      </c>
    </row>
    <row r="418" customFormat="false" ht="12.75" hidden="false" customHeight="false" outlineLevel="0" collapsed="false">
      <c r="A418" s="2" t="n">
        <v>3</v>
      </c>
    </row>
    <row r="419" customFormat="false" ht="12.75" hidden="false" customHeight="false" outlineLevel="0" collapsed="false">
      <c r="A419" s="2" t="n">
        <v>35</v>
      </c>
    </row>
    <row r="420" customFormat="false" ht="12.75" hidden="false" customHeight="false" outlineLevel="0" collapsed="false">
      <c r="A420" s="2" t="n">
        <v>400</v>
      </c>
    </row>
    <row r="421" customFormat="false" ht="12.75" hidden="false" customHeight="false" outlineLevel="0" collapsed="false">
      <c r="A421" s="2" t="n">
        <v>1200</v>
      </c>
    </row>
    <row r="422" customFormat="false" ht="12.75" hidden="false" customHeight="false" outlineLevel="0" collapsed="false">
      <c r="A422" s="2" t="n">
        <v>50</v>
      </c>
    </row>
    <row r="423" customFormat="false" ht="12.75" hidden="false" customHeight="false" outlineLevel="0" collapsed="false">
      <c r="A423" s="2" t="n">
        <v>5000</v>
      </c>
    </row>
    <row r="424" customFormat="false" ht="12.75" hidden="false" customHeight="false" outlineLevel="0" collapsed="false">
      <c r="A424" s="2" t="n">
        <v>226</v>
      </c>
    </row>
    <row r="425" customFormat="false" ht="12.75" hidden="false" customHeight="false" outlineLevel="0" collapsed="false">
      <c r="A425" s="2" t="n">
        <v>800</v>
      </c>
    </row>
    <row r="426" customFormat="false" ht="12.75" hidden="false" customHeight="false" outlineLevel="0" collapsed="false">
      <c r="A426" s="2" t="n">
        <v>2</v>
      </c>
    </row>
    <row r="427" customFormat="false" ht="12.75" hidden="false" customHeight="false" outlineLevel="0" collapsed="false">
      <c r="A427" s="2" t="n">
        <v>2</v>
      </c>
    </row>
    <row r="428" customFormat="false" ht="12.75" hidden="false" customHeight="false" outlineLevel="0" collapsed="false">
      <c r="A428" s="2" t="n">
        <v>57</v>
      </c>
    </row>
    <row r="429" customFormat="false" ht="12.75" hidden="false" customHeight="false" outlineLevel="0" collapsed="false">
      <c r="A429" s="2" t="n">
        <v>1</v>
      </c>
    </row>
    <row r="430" customFormat="false" ht="12.75" hidden="false" customHeight="false" outlineLevel="0" collapsed="false">
      <c r="A430" s="2" t="n">
        <v>17878</v>
      </c>
    </row>
    <row r="431" customFormat="false" ht="12.75" hidden="false" customHeight="false" outlineLevel="0" collapsed="false">
      <c r="A431" s="2" t="n">
        <v>16006</v>
      </c>
    </row>
    <row r="432" customFormat="false" ht="12.75" hidden="false" customHeight="false" outlineLevel="0" collapsed="false">
      <c r="A432" s="2" t="n">
        <v>30</v>
      </c>
    </row>
    <row r="433" customFormat="false" ht="12.75" hidden="false" customHeight="false" outlineLevel="0" collapsed="false">
      <c r="A433" s="2" t="n">
        <v>100</v>
      </c>
    </row>
    <row r="434" customFormat="false" ht="12.75" hidden="false" customHeight="false" outlineLevel="0" collapsed="false">
      <c r="A434" s="2" t="n">
        <v>25</v>
      </c>
    </row>
    <row r="435" customFormat="false" ht="12.75" hidden="false" customHeight="false" outlineLevel="0" collapsed="false">
      <c r="A435" s="2" t="n">
        <v>50</v>
      </c>
    </row>
    <row r="436" customFormat="false" ht="12.75" hidden="false" customHeight="false" outlineLevel="0" collapsed="false">
      <c r="A436" s="2" t="n">
        <v>1.5</v>
      </c>
    </row>
    <row r="437" customFormat="false" ht="12.75" hidden="false" customHeight="false" outlineLevel="0" collapsed="false">
      <c r="A437" s="2" t="n">
        <v>100</v>
      </c>
    </row>
    <row r="438" customFormat="false" ht="12.75" hidden="false" customHeight="false" outlineLevel="0" collapsed="false">
      <c r="A438" s="2" t="n">
        <v>200</v>
      </c>
    </row>
    <row r="439" customFormat="false" ht="12.75" hidden="false" customHeight="false" outlineLevel="0" collapsed="false">
      <c r="A439" s="2" t="n">
        <v>0.5</v>
      </c>
    </row>
    <row r="440" customFormat="false" ht="12.75" hidden="false" customHeight="false" outlineLevel="0" collapsed="false">
      <c r="A440" s="2" t="n">
        <v>42</v>
      </c>
    </row>
    <row r="441" customFormat="false" ht="12.75" hidden="false" customHeight="false" outlineLevel="0" collapsed="false">
      <c r="A441" s="2" t="n">
        <v>0.5</v>
      </c>
    </row>
    <row r="442" customFormat="false" ht="12.75" hidden="false" customHeight="false" outlineLevel="0" collapsed="false">
      <c r="A442" s="2" t="n">
        <v>4</v>
      </c>
    </row>
    <row r="443" customFormat="false" ht="12.75" hidden="false" customHeight="false" outlineLevel="0" collapsed="false">
      <c r="A443" s="2" t="n">
        <v>5</v>
      </c>
    </row>
    <row r="444" customFormat="false" ht="12.75" hidden="false" customHeight="false" outlineLevel="0" collapsed="false">
      <c r="A444" s="2" t="n">
        <v>86</v>
      </c>
    </row>
    <row r="445" customFormat="false" ht="12.75" hidden="false" customHeight="false" outlineLevel="0" collapsed="false">
      <c r="A445" s="2" t="n">
        <v>18</v>
      </c>
    </row>
    <row r="446" customFormat="false" ht="12.75" hidden="false" customHeight="false" outlineLevel="0" collapsed="false">
      <c r="A446" s="2" t="n">
        <v>50</v>
      </c>
    </row>
    <row r="447" customFormat="false" ht="12.75" hidden="false" customHeight="false" outlineLevel="0" collapsed="false">
      <c r="A447" s="2" t="n">
        <v>50</v>
      </c>
    </row>
    <row r="448" customFormat="false" ht="12.75" hidden="false" customHeight="false" outlineLevel="0" collapsed="false">
      <c r="A448" s="2" t="n">
        <v>10</v>
      </c>
    </row>
    <row r="449" customFormat="false" ht="12.75" hidden="false" customHeight="false" outlineLevel="0" collapsed="false">
      <c r="A449" s="2" t="n">
        <v>0.1</v>
      </c>
    </row>
    <row r="450" customFormat="false" ht="12.75" hidden="false" customHeight="false" outlineLevel="0" collapsed="false">
      <c r="A450" s="2" t="n">
        <v>5</v>
      </c>
    </row>
    <row r="451" customFormat="false" ht="12.75" hidden="false" customHeight="false" outlineLevel="0" collapsed="false">
      <c r="A451" s="2" t="n">
        <v>16.8</v>
      </c>
    </row>
    <row r="452" customFormat="false" ht="12.75" hidden="false" customHeight="false" outlineLevel="0" collapsed="false">
      <c r="A452" s="2" t="n">
        <v>0.1</v>
      </c>
    </row>
    <row r="453" customFormat="false" ht="12.75" hidden="false" customHeight="false" outlineLevel="0" collapsed="false">
      <c r="A453" s="2" t="n">
        <v>40</v>
      </c>
    </row>
    <row r="454" customFormat="false" ht="12.75" hidden="false" customHeight="false" outlineLevel="0" collapsed="false">
      <c r="A454" s="2" t="n">
        <v>150</v>
      </c>
    </row>
    <row r="455" customFormat="false" ht="12.75" hidden="false" customHeight="false" outlineLevel="0" collapsed="false">
      <c r="A455" s="2" t="n">
        <v>197.91</v>
      </c>
    </row>
    <row r="456" customFormat="false" ht="12.75" hidden="false" customHeight="false" outlineLevel="0" collapsed="false">
      <c r="A456" s="2" t="n">
        <v>0.25</v>
      </c>
    </row>
    <row r="457" customFormat="false" ht="12.75" hidden="false" customHeight="false" outlineLevel="0" collapsed="false">
      <c r="A457" s="2" t="n">
        <v>102.26</v>
      </c>
    </row>
    <row r="458" customFormat="false" ht="12.75" hidden="false" customHeight="false" outlineLevel="0" collapsed="false">
      <c r="A458" s="2" t="n">
        <v>97.52</v>
      </c>
    </row>
    <row r="459" customFormat="false" ht="12.75" hidden="false" customHeight="false" outlineLevel="0" collapsed="false">
      <c r="A459" s="2" t="n">
        <v>47</v>
      </c>
    </row>
    <row r="460" customFormat="false" ht="12.75" hidden="false" customHeight="false" outlineLevel="0" collapsed="false">
      <c r="A460" s="2" t="n">
        <v>10.766</v>
      </c>
    </row>
    <row r="461" customFormat="false" ht="12.75" hidden="false" customHeight="false" outlineLevel="0" collapsed="false">
      <c r="A461" s="2" t="n">
        <v>16</v>
      </c>
    </row>
    <row r="462" customFormat="false" ht="12.75" hidden="false" customHeight="false" outlineLevel="0" collapsed="false">
      <c r="A462" s="2" t="n">
        <v>79.809</v>
      </c>
    </row>
    <row r="463" customFormat="false" ht="12.75" hidden="false" customHeight="false" outlineLevel="0" collapsed="false">
      <c r="A463" s="2" t="n">
        <v>2980</v>
      </c>
    </row>
    <row r="464" customFormat="false" ht="12.75" hidden="false" customHeight="false" outlineLevel="0" collapsed="false">
      <c r="A464" s="2" t="n">
        <v>10</v>
      </c>
    </row>
    <row r="465" customFormat="false" ht="12.75" hidden="false" customHeight="false" outlineLevel="0" collapsed="false">
      <c r="A465" s="2" t="n">
        <v>737</v>
      </c>
    </row>
    <row r="466" customFormat="false" ht="12.75" hidden="false" customHeight="false" outlineLevel="0" collapsed="false">
      <c r="A466" s="2" t="n">
        <v>0.5</v>
      </c>
    </row>
    <row r="467" customFormat="false" ht="12.75" hidden="false" customHeight="false" outlineLevel="0" collapsed="false">
      <c r="A467" s="2" t="n">
        <v>0.1</v>
      </c>
    </row>
    <row r="468" customFormat="false" ht="12.75" hidden="false" customHeight="false" outlineLevel="0" collapsed="false">
      <c r="A468" s="2" t="n">
        <v>3.5</v>
      </c>
    </row>
    <row r="469" customFormat="false" ht="12.75" hidden="false" customHeight="false" outlineLevel="0" collapsed="false">
      <c r="A469" s="2" t="n">
        <v>0.1</v>
      </c>
    </row>
    <row r="470" customFormat="false" ht="12.75" hidden="false" customHeight="false" outlineLevel="0" collapsed="false">
      <c r="A470" s="2" t="n">
        <v>4</v>
      </c>
    </row>
    <row r="471" customFormat="false" ht="12.75" hidden="false" customHeight="false" outlineLevel="0" collapsed="false">
      <c r="A471" s="2" t="n">
        <v>1803</v>
      </c>
    </row>
    <row r="472" customFormat="false" ht="12.75" hidden="false" customHeight="false" outlineLevel="0" collapsed="false">
      <c r="A472" s="2" t="n">
        <v>23597</v>
      </c>
    </row>
    <row r="473" customFormat="false" ht="12.75" hidden="false" customHeight="false" outlineLevel="0" collapsed="false">
      <c r="A473" s="2" t="n">
        <v>638</v>
      </c>
    </row>
    <row r="474" customFormat="false" ht="12.75" hidden="false" customHeight="false" outlineLevel="0" collapsed="false">
      <c r="A474" s="2" t="n">
        <v>0.5</v>
      </c>
    </row>
    <row r="475" customFormat="false" ht="12.75" hidden="false" customHeight="false" outlineLevel="0" collapsed="false">
      <c r="A475" s="2" t="n">
        <v>2.5</v>
      </c>
    </row>
    <row r="476" customFormat="false" ht="12.75" hidden="false" customHeight="false" outlineLevel="0" collapsed="false">
      <c r="A476" s="2" t="n">
        <v>25</v>
      </c>
    </row>
    <row r="477" customFormat="false" ht="12.75" hidden="false" customHeight="false" outlineLevel="0" collapsed="false">
      <c r="A477" s="2" t="n">
        <v>9</v>
      </c>
    </row>
    <row r="478" customFormat="false" ht="12.75" hidden="false" customHeight="false" outlineLevel="0" collapsed="false">
      <c r="A478" s="2" t="n">
        <v>1</v>
      </c>
    </row>
    <row r="479" customFormat="false" ht="12.75" hidden="false" customHeight="false" outlineLevel="0" collapsed="false">
      <c r="A479" s="2" t="n">
        <v>200</v>
      </c>
    </row>
    <row r="480" customFormat="false" ht="12.75" hidden="false" customHeight="false" outlineLevel="0" collapsed="false">
      <c r="A480" s="2" t="n">
        <v>40</v>
      </c>
    </row>
    <row r="481" customFormat="false" ht="12.75" hidden="false" customHeight="false" outlineLevel="0" collapsed="false">
      <c r="A481" s="2" t="n">
        <v>0.6</v>
      </c>
    </row>
    <row r="482" customFormat="false" ht="12.75" hidden="false" customHeight="false" outlineLevel="0" collapsed="false">
      <c r="A482" s="2" t="n">
        <v>1200</v>
      </c>
    </row>
    <row r="483" customFormat="false" ht="12.75" hidden="false" customHeight="false" outlineLevel="0" collapsed="false">
      <c r="A483" s="2" t="n">
        <v>1811</v>
      </c>
    </row>
    <row r="484" customFormat="false" ht="12.75" hidden="false" customHeight="false" outlineLevel="0" collapsed="false">
      <c r="A484" s="2" t="n">
        <v>36</v>
      </c>
    </row>
    <row r="485" customFormat="false" ht="12.75" hidden="false" customHeight="false" outlineLevel="0" collapsed="false">
      <c r="A485" s="2" t="n">
        <v>3448</v>
      </c>
    </row>
    <row r="486" customFormat="false" ht="12.75" hidden="false" customHeight="false" outlineLevel="0" collapsed="false">
      <c r="A486" s="2" t="n">
        <v>15</v>
      </c>
    </row>
    <row r="487" customFormat="false" ht="12.75" hidden="false" customHeight="false" outlineLevel="0" collapsed="false">
      <c r="A487" s="2" t="n">
        <v>9922</v>
      </c>
    </row>
    <row r="488" customFormat="false" ht="12.75" hidden="false" customHeight="false" outlineLevel="0" collapsed="false">
      <c r="A488" s="2" t="n">
        <v>108</v>
      </c>
    </row>
    <row r="489" customFormat="false" ht="12.75" hidden="false" customHeight="false" outlineLevel="0" collapsed="false">
      <c r="A489" s="2" t="n">
        <v>102</v>
      </c>
    </row>
    <row r="490" customFormat="false" ht="12.75" hidden="false" customHeight="false" outlineLevel="0" collapsed="false">
      <c r="A490" s="2" t="n">
        <v>52</v>
      </c>
    </row>
    <row r="491" customFormat="false" ht="12.75" hidden="false" customHeight="false" outlineLevel="0" collapsed="false">
      <c r="A491" s="2" t="n">
        <v>11674</v>
      </c>
    </row>
    <row r="492" customFormat="false" ht="12.75" hidden="false" customHeight="false" outlineLevel="0" collapsed="false">
      <c r="A492" s="2" t="n">
        <v>6</v>
      </c>
    </row>
    <row r="493" customFormat="false" ht="12.75" hidden="false" customHeight="false" outlineLevel="0" collapsed="false">
      <c r="A493" s="2" t="n">
        <v>29</v>
      </c>
    </row>
    <row r="494" customFormat="false" ht="12.75" hidden="false" customHeight="false" outlineLevel="0" collapsed="false">
      <c r="A494" s="2" t="n">
        <v>8</v>
      </c>
    </row>
    <row r="495" customFormat="false" ht="12.75" hidden="false" customHeight="false" outlineLevel="0" collapsed="false">
      <c r="A495" s="2" t="n">
        <v>2</v>
      </c>
    </row>
    <row r="496" customFormat="false" ht="12.75" hidden="false" customHeight="false" outlineLevel="0" collapsed="false">
      <c r="A496" s="2" t="n">
        <v>0.3</v>
      </c>
    </row>
    <row r="497" customFormat="false" ht="12.75" hidden="false" customHeight="false" outlineLevel="0" collapsed="false">
      <c r="A497" s="2" t="n">
        <v>1</v>
      </c>
    </row>
    <row r="498" customFormat="false" ht="12.75" hidden="false" customHeight="false" outlineLevel="0" collapsed="false">
      <c r="A498" s="2" t="n">
        <v>2</v>
      </c>
    </row>
    <row r="499" customFormat="false" ht="12.75" hidden="false" customHeight="false" outlineLevel="0" collapsed="false">
      <c r="A499" s="2" t="n">
        <v>10</v>
      </c>
    </row>
    <row r="500" customFormat="false" ht="12.75" hidden="false" customHeight="false" outlineLevel="0" collapsed="false">
      <c r="A500" s="2" t="n">
        <v>15</v>
      </c>
    </row>
    <row r="501" customFormat="false" ht="12.75" hidden="false" customHeight="false" outlineLevel="0" collapsed="false">
      <c r="A501" s="2" t="n">
        <v>44.2</v>
      </c>
    </row>
    <row r="502" customFormat="false" ht="12.75" hidden="false" customHeight="false" outlineLevel="0" collapsed="false">
      <c r="A502" s="2" t="n">
        <v>0.1</v>
      </c>
    </row>
    <row r="503" customFormat="false" ht="12.75" hidden="false" customHeight="false" outlineLevel="0" collapsed="false">
      <c r="A503" s="2" t="n">
        <v>41830.2</v>
      </c>
    </row>
    <row r="504" customFormat="false" ht="12.75" hidden="false" customHeight="false" outlineLevel="0" collapsed="false">
      <c r="A504" s="2" t="n">
        <v>25279</v>
      </c>
    </row>
    <row r="505" customFormat="false" ht="12.75" hidden="false" customHeight="false" outlineLevel="0" collapsed="false">
      <c r="A505" s="2" t="n">
        <v>0.5</v>
      </c>
    </row>
    <row r="506" customFormat="false" ht="12.75" hidden="false" customHeight="false" outlineLevel="0" collapsed="false">
      <c r="A506" s="2" t="n">
        <v>13.8</v>
      </c>
    </row>
    <row r="507" customFormat="false" ht="12.75" hidden="false" customHeight="false" outlineLevel="0" collapsed="false">
      <c r="A507" s="2" t="n">
        <v>3334</v>
      </c>
    </row>
    <row r="508" customFormat="false" ht="12.75" hidden="false" customHeight="false" outlineLevel="0" collapsed="false">
      <c r="A508" s="2" t="n">
        <v>0.2</v>
      </c>
    </row>
    <row r="509" customFormat="false" ht="12.75" hidden="false" customHeight="false" outlineLevel="0" collapsed="false">
      <c r="A509" s="2" t="n">
        <v>0.1</v>
      </c>
    </row>
    <row r="510" customFormat="false" ht="12.75" hidden="false" customHeight="false" outlineLevel="0" collapsed="false">
      <c r="A510" s="2" t="n">
        <v>0.2</v>
      </c>
    </row>
    <row r="511" customFormat="false" ht="12.75" hidden="false" customHeight="false" outlineLevel="0" collapsed="false">
      <c r="A511" s="2" t="n">
        <v>2657.8</v>
      </c>
    </row>
    <row r="512" customFormat="false" ht="12.75" hidden="false" customHeight="false" outlineLevel="0" collapsed="false">
      <c r="A512" s="2" t="n">
        <v>22461</v>
      </c>
    </row>
    <row r="513" customFormat="false" ht="12.75" hidden="false" customHeight="false" outlineLevel="0" collapsed="false">
      <c r="A513" s="2" t="n">
        <v>44954</v>
      </c>
    </row>
    <row r="514" customFormat="false" ht="12.75" hidden="false" customHeight="false" outlineLevel="0" collapsed="false">
      <c r="A514" s="2" t="n">
        <v>0.3</v>
      </c>
    </row>
    <row r="515" customFormat="false" ht="12.75" hidden="false" customHeight="false" outlineLevel="0" collapsed="false">
      <c r="A515" s="2" t="n">
        <v>7190.1</v>
      </c>
    </row>
    <row r="516" customFormat="false" ht="12.75" hidden="false" customHeight="false" outlineLevel="0" collapsed="false">
      <c r="A516" s="2" t="n">
        <v>7</v>
      </c>
    </row>
    <row r="517" customFormat="false" ht="12.75" hidden="false" customHeight="false" outlineLevel="0" collapsed="false">
      <c r="A517" s="2" t="n">
        <v>0.5</v>
      </c>
    </row>
    <row r="518" customFormat="false" ht="12.75" hidden="false" customHeight="false" outlineLevel="0" collapsed="false">
      <c r="A518" s="2" t="n">
        <v>136.6</v>
      </c>
    </row>
    <row r="519" customFormat="false" ht="12.75" hidden="false" customHeight="false" outlineLevel="0" collapsed="false">
      <c r="A519" s="2" t="n">
        <v>110</v>
      </c>
    </row>
    <row r="520" customFormat="false" ht="12.75" hidden="false" customHeight="false" outlineLevel="0" collapsed="false">
      <c r="A520" s="2" t="n">
        <v>0.1</v>
      </c>
    </row>
    <row r="521" customFormat="false" ht="12.75" hidden="false" customHeight="false" outlineLevel="0" collapsed="false">
      <c r="A521" s="2" t="n">
        <v>6</v>
      </c>
    </row>
    <row r="522" customFormat="false" ht="12.75" hidden="false" customHeight="false" outlineLevel="0" collapsed="false">
      <c r="A522" s="2" t="n">
        <v>5305.8</v>
      </c>
    </row>
    <row r="523" customFormat="false" ht="12.75" hidden="false" customHeight="false" outlineLevel="0" collapsed="false">
      <c r="A523" s="2" t="n">
        <v>243</v>
      </c>
    </row>
    <row r="524" customFormat="false" ht="12.75" hidden="false" customHeight="false" outlineLevel="0" collapsed="false">
      <c r="A524" s="2" t="n">
        <v>7947</v>
      </c>
    </row>
    <row r="525" customFormat="false" ht="12.75" hidden="false" customHeight="false" outlineLevel="0" collapsed="false">
      <c r="A525" s="2" t="n">
        <v>388</v>
      </c>
    </row>
    <row r="526" customFormat="false" ht="12.75" hidden="false" customHeight="false" outlineLevel="0" collapsed="false">
      <c r="A526" s="2" t="n">
        <v>125</v>
      </c>
    </row>
    <row r="527" customFormat="false" ht="12.75" hidden="false" customHeight="false" outlineLevel="0" collapsed="false">
      <c r="A527" s="2" t="n">
        <v>2.3</v>
      </c>
    </row>
    <row r="528" customFormat="false" ht="12.75" hidden="false" customHeight="false" outlineLevel="0" collapsed="false">
      <c r="A528" s="2" t="n">
        <v>51806</v>
      </c>
    </row>
    <row r="529" customFormat="false" ht="12.75" hidden="false" customHeight="false" outlineLevel="0" collapsed="false">
      <c r="A529" s="2" t="n">
        <v>45</v>
      </c>
    </row>
    <row r="530" customFormat="false" ht="12.75" hidden="false" customHeight="false" outlineLevel="0" collapsed="false">
      <c r="A530" s="2" t="n">
        <v>7859.1</v>
      </c>
    </row>
    <row r="531" customFormat="false" ht="12.75" hidden="false" customHeight="false" outlineLevel="0" collapsed="false">
      <c r="A531" s="2" t="n">
        <v>1200</v>
      </c>
    </row>
    <row r="532" customFormat="false" ht="12.75" hidden="false" customHeight="false" outlineLevel="0" collapsed="false">
      <c r="A532" s="2" t="n">
        <v>4</v>
      </c>
    </row>
    <row r="533" customFormat="false" ht="12.75" hidden="false" customHeight="false" outlineLevel="0" collapsed="false">
      <c r="A533" s="2" t="n">
        <v>2142</v>
      </c>
    </row>
    <row r="534" customFormat="false" ht="12.75" hidden="false" customHeight="false" outlineLevel="0" collapsed="false">
      <c r="A534" s="2" t="n">
        <v>35</v>
      </c>
    </row>
    <row r="535" customFormat="false" ht="12.75" hidden="false" customHeight="false" outlineLevel="0" collapsed="false">
      <c r="A535" s="2" t="n">
        <v>3.1</v>
      </c>
    </row>
    <row r="536" customFormat="false" ht="12.75" hidden="false" customHeight="false" outlineLevel="0" collapsed="false">
      <c r="A536" s="2" t="n">
        <v>38305.7</v>
      </c>
    </row>
    <row r="537" customFormat="false" ht="12.75" hidden="false" customHeight="false" outlineLevel="0" collapsed="false">
      <c r="A537" s="2" t="n">
        <v>0.1</v>
      </c>
    </row>
    <row r="538" customFormat="false" ht="12.75" hidden="false" customHeight="false" outlineLevel="0" collapsed="false">
      <c r="A538" s="2" t="n">
        <v>13744</v>
      </c>
    </row>
    <row r="539" customFormat="false" ht="12.75" hidden="false" customHeight="false" outlineLevel="0" collapsed="false">
      <c r="A539" s="2" t="n">
        <v>37.2</v>
      </c>
    </row>
    <row r="540" customFormat="false" ht="12.75" hidden="false" customHeight="false" outlineLevel="0" collapsed="false">
      <c r="A540" s="2" t="n">
        <v>24.5</v>
      </c>
    </row>
    <row r="541" customFormat="false" ht="12.75" hidden="false" customHeight="false" outlineLevel="0" collapsed="false">
      <c r="A541" s="2" t="n">
        <v>488.8</v>
      </c>
    </row>
    <row r="542" customFormat="false" ht="12.75" hidden="false" customHeight="false" outlineLevel="0" collapsed="false">
      <c r="A542" s="2" t="n">
        <v>911.9</v>
      </c>
    </row>
    <row r="543" customFormat="false" ht="12.75" hidden="false" customHeight="false" outlineLevel="0" collapsed="false">
      <c r="A543" s="2" t="n">
        <v>0.7</v>
      </c>
    </row>
    <row r="544" customFormat="false" ht="12.75" hidden="false" customHeight="false" outlineLevel="0" collapsed="false">
      <c r="A544" s="2" t="n">
        <v>2.9</v>
      </c>
    </row>
    <row r="545" customFormat="false" ht="12.75" hidden="false" customHeight="false" outlineLevel="0" collapsed="false">
      <c r="A545" s="2" t="n">
        <v>318812.7</v>
      </c>
    </row>
    <row r="546" customFormat="false" ht="12.75" hidden="false" customHeight="false" outlineLevel="0" collapsed="false">
      <c r="A546" s="2" t="n">
        <v>0.1</v>
      </c>
    </row>
    <row r="547" customFormat="false" ht="12.75" hidden="false" customHeight="false" outlineLevel="0" collapsed="false">
      <c r="A547" s="2" t="n">
        <v>4</v>
      </c>
    </row>
    <row r="548" customFormat="false" ht="12.75" hidden="false" customHeight="false" outlineLevel="0" collapsed="false">
      <c r="A548" s="2" t="n">
        <v>4</v>
      </c>
    </row>
    <row r="549" customFormat="false" ht="12.75" hidden="false" customHeight="false" outlineLevel="0" collapsed="false">
      <c r="A549" s="2" t="n">
        <v>0.1</v>
      </c>
    </row>
    <row r="550" customFormat="false" ht="12.75" hidden="false" customHeight="false" outlineLevel="0" collapsed="false">
      <c r="A550" s="2" t="n">
        <v>8683</v>
      </c>
    </row>
    <row r="551" customFormat="false" ht="12.75" hidden="false" customHeight="false" outlineLevel="0" collapsed="false">
      <c r="A551" s="2" t="n">
        <v>6195</v>
      </c>
    </row>
    <row r="552" customFormat="false" ht="12.75" hidden="false" customHeight="false" outlineLevel="0" collapsed="false">
      <c r="A552" s="2" t="n">
        <v>5683</v>
      </c>
    </row>
    <row r="553" customFormat="false" ht="12.75" hidden="false" customHeight="false" outlineLevel="0" collapsed="false">
      <c r="A553" s="2" t="n">
        <v>117</v>
      </c>
    </row>
    <row r="554" customFormat="false" ht="12.75" hidden="false" customHeight="false" outlineLevel="0" collapsed="false">
      <c r="A554" s="2" t="n">
        <v>21</v>
      </c>
    </row>
    <row r="555" customFormat="false" ht="12.75" hidden="false" customHeight="false" outlineLevel="0" collapsed="false">
      <c r="A555" s="2" t="n">
        <v>1</v>
      </c>
    </row>
    <row r="556" customFormat="false" ht="12.75" hidden="false" customHeight="false" outlineLevel="0" collapsed="false">
      <c r="A556" s="2" t="n">
        <v>2575.5</v>
      </c>
    </row>
    <row r="557" customFormat="false" ht="12.75" hidden="false" customHeight="false" outlineLevel="0" collapsed="false">
      <c r="A557" s="2" t="n">
        <v>817.3</v>
      </c>
    </row>
    <row r="558" customFormat="false" ht="12.75" hidden="false" customHeight="false" outlineLevel="0" collapsed="false">
      <c r="A558" s="2" t="n">
        <v>3056.3</v>
      </c>
    </row>
    <row r="559" customFormat="false" ht="12.75" hidden="false" customHeight="false" outlineLevel="0" collapsed="false">
      <c r="A559" s="2" t="n">
        <v>0.1</v>
      </c>
    </row>
    <row r="560" customFormat="false" ht="12.75" hidden="false" customHeight="false" outlineLevel="0" collapsed="false">
      <c r="A560" s="2" t="n">
        <v>12.5</v>
      </c>
    </row>
    <row r="561" customFormat="false" ht="12.75" hidden="false" customHeight="false" outlineLevel="0" collapsed="false">
      <c r="A561" s="2" t="n">
        <v>100</v>
      </c>
    </row>
    <row r="562" customFormat="false" ht="12.75" hidden="false" customHeight="false" outlineLevel="0" collapsed="false">
      <c r="A562" s="2" t="n">
        <v>4796.6</v>
      </c>
    </row>
    <row r="563" customFormat="false" ht="12.75" hidden="false" customHeight="false" outlineLevel="0" collapsed="false">
      <c r="A563" s="2" t="n">
        <v>1</v>
      </c>
    </row>
    <row r="564" customFormat="false" ht="12.75" hidden="false" customHeight="false" outlineLevel="0" collapsed="false">
      <c r="A564" s="2" t="n">
        <v>3</v>
      </c>
    </row>
    <row r="565" customFormat="false" ht="12.75" hidden="false" customHeight="false" outlineLevel="0" collapsed="false">
      <c r="A565" s="2" t="n">
        <v>400</v>
      </c>
    </row>
    <row r="566" customFormat="false" ht="12.75" hidden="false" customHeight="false" outlineLevel="0" collapsed="false">
      <c r="A566" s="2" t="n">
        <v>280</v>
      </c>
    </row>
    <row r="567" customFormat="false" ht="12.75" hidden="false" customHeight="false" outlineLevel="0" collapsed="false">
      <c r="A567" s="2" t="n">
        <v>0.2</v>
      </c>
    </row>
    <row r="568" customFormat="false" ht="12.75" hidden="false" customHeight="false" outlineLevel="0" collapsed="false">
      <c r="A568" s="2" t="n">
        <v>150</v>
      </c>
    </row>
    <row r="569" customFormat="false" ht="12.75" hidden="false" customHeight="false" outlineLevel="0" collapsed="false">
      <c r="A569" s="2" t="n">
        <v>0.2</v>
      </c>
    </row>
    <row r="570" customFormat="false" ht="12.75" hidden="false" customHeight="false" outlineLevel="0" collapsed="false">
      <c r="A570" s="2" t="n">
        <v>3.5</v>
      </c>
    </row>
    <row r="571" customFormat="false" ht="12.75" hidden="false" customHeight="false" outlineLevel="0" collapsed="false">
      <c r="A571" s="2" t="n">
        <v>82</v>
      </c>
    </row>
    <row r="572" customFormat="false" ht="12.75" hidden="false" customHeight="false" outlineLevel="0" collapsed="false">
      <c r="A572" s="2" t="n">
        <v>15</v>
      </c>
    </row>
    <row r="573" customFormat="false" ht="12.75" hidden="false" customHeight="false" outlineLevel="0" collapsed="false">
      <c r="A573" s="2" t="n">
        <v>3</v>
      </c>
    </row>
    <row r="574" customFormat="false" ht="12.75" hidden="false" customHeight="false" outlineLevel="0" collapsed="false">
      <c r="A574" s="2" t="n">
        <v>891</v>
      </c>
    </row>
    <row r="575" customFormat="false" ht="12.75" hidden="false" customHeight="false" outlineLevel="0" collapsed="false">
      <c r="A575" s="2" t="n">
        <v>2</v>
      </c>
    </row>
    <row r="576" customFormat="false" ht="12.75" hidden="false" customHeight="false" outlineLevel="0" collapsed="false">
      <c r="A576" s="2" t="n">
        <v>67</v>
      </c>
    </row>
    <row r="577" customFormat="false" ht="12.75" hidden="false" customHeight="false" outlineLevel="0" collapsed="false">
      <c r="A577" s="2" t="n">
        <v>500.4</v>
      </c>
    </row>
    <row r="578" customFormat="false" ht="12.75" hidden="false" customHeight="false" outlineLevel="0" collapsed="false">
      <c r="A578" s="2" t="n">
        <v>507.7</v>
      </c>
    </row>
    <row r="579" customFormat="false" ht="12.75" hidden="false" customHeight="false" outlineLevel="0" collapsed="false">
      <c r="A579" s="2" t="n">
        <v>127</v>
      </c>
    </row>
    <row r="580" customFormat="false" ht="12.75" hidden="false" customHeight="false" outlineLevel="0" collapsed="false">
      <c r="A580" s="2" t="n">
        <v>1356</v>
      </c>
    </row>
    <row r="581" customFormat="false" ht="12.75" hidden="false" customHeight="false" outlineLevel="0" collapsed="false">
      <c r="A581" s="2" t="n">
        <v>2119</v>
      </c>
    </row>
    <row r="582" customFormat="false" ht="12.75" hidden="false" customHeight="false" outlineLevel="0" collapsed="false">
      <c r="A582" s="2" t="n">
        <v>4</v>
      </c>
    </row>
    <row r="583" customFormat="false" ht="12.75" hidden="false" customHeight="false" outlineLevel="0" collapsed="false">
      <c r="A583" s="2" t="n">
        <v>5</v>
      </c>
    </row>
    <row r="584" customFormat="false" ht="12.75" hidden="false" customHeight="false" outlineLevel="0" collapsed="false">
      <c r="A584" s="2" t="n">
        <v>1474.2</v>
      </c>
    </row>
    <row r="585" customFormat="false" ht="12.75" hidden="false" customHeight="false" outlineLevel="0" collapsed="false">
      <c r="A585" s="2" t="n">
        <v>444</v>
      </c>
    </row>
    <row r="586" customFormat="false" ht="12.75" hidden="false" customHeight="false" outlineLevel="0" collapsed="false">
      <c r="A586" s="2" t="n">
        <v>39</v>
      </c>
    </row>
    <row r="587" customFormat="false" ht="12.75" hidden="false" customHeight="false" outlineLevel="0" collapsed="false">
      <c r="A587" s="2" t="n">
        <v>153</v>
      </c>
    </row>
    <row r="588" customFormat="false" ht="12.75" hidden="false" customHeight="false" outlineLevel="0" collapsed="false">
      <c r="A588" s="2" t="n">
        <v>17.5</v>
      </c>
    </row>
    <row r="589" customFormat="false" ht="12.75" hidden="false" customHeight="false" outlineLevel="0" collapsed="false">
      <c r="A589" s="2" t="n">
        <v>82</v>
      </c>
    </row>
    <row r="590" customFormat="false" ht="12.75" hidden="false" customHeight="false" outlineLevel="0" collapsed="false">
      <c r="A590" s="2" t="n">
        <v>125</v>
      </c>
    </row>
    <row r="591" customFormat="false" ht="12.75" hidden="false" customHeight="false" outlineLevel="0" collapsed="false">
      <c r="A591" s="2" t="n">
        <v>10</v>
      </c>
    </row>
    <row r="592" customFormat="false" ht="12.75" hidden="false" customHeight="false" outlineLevel="0" collapsed="false">
      <c r="A592" s="2" t="n">
        <v>42.4</v>
      </c>
    </row>
    <row r="593" customFormat="false" ht="12.75" hidden="false" customHeight="false" outlineLevel="0" collapsed="false">
      <c r="A593" s="2" t="n">
        <v>5.1</v>
      </c>
    </row>
    <row r="594" customFormat="false" ht="12.75" hidden="false" customHeight="false" outlineLevel="0" collapsed="false">
      <c r="A594" s="2" t="n">
        <v>342</v>
      </c>
    </row>
    <row r="595" customFormat="false" ht="12.75" hidden="false" customHeight="false" outlineLevel="0" collapsed="false">
      <c r="A595" s="2" t="n">
        <v>1584.2</v>
      </c>
    </row>
    <row r="596" customFormat="false" ht="12.75" hidden="false" customHeight="false" outlineLevel="0" collapsed="false">
      <c r="A596" s="2" t="n">
        <v>763</v>
      </c>
    </row>
    <row r="597" customFormat="false" ht="12.75" hidden="false" customHeight="false" outlineLevel="0" collapsed="false">
      <c r="A597" s="2" t="n">
        <v>134.5</v>
      </c>
    </row>
    <row r="598" customFormat="false" ht="12.75" hidden="false" customHeight="false" outlineLevel="0" collapsed="false">
      <c r="A598" s="2" t="n">
        <v>591</v>
      </c>
    </row>
    <row r="599" customFormat="false" ht="12.75" hidden="false" customHeight="false" outlineLevel="0" collapsed="false">
      <c r="A599" s="2" t="n">
        <v>0.6</v>
      </c>
    </row>
    <row r="600" customFormat="false" ht="12.75" hidden="false" customHeight="false" outlineLevel="0" collapsed="false">
      <c r="A600" s="2" t="n">
        <v>5.3</v>
      </c>
    </row>
    <row r="601" customFormat="false" ht="12.75" hidden="false" customHeight="false" outlineLevel="0" collapsed="false">
      <c r="A601" s="2" t="n">
        <v>5</v>
      </c>
    </row>
    <row r="602" customFormat="false" ht="12.75" hidden="false" customHeight="false" outlineLevel="0" collapsed="false">
      <c r="A602" s="2" t="n">
        <v>43</v>
      </c>
    </row>
    <row r="603" customFormat="false" ht="12.75" hidden="false" customHeight="false" outlineLevel="0" collapsed="false">
      <c r="A603" s="2" t="n">
        <v>15</v>
      </c>
    </row>
    <row r="604" customFormat="false" ht="12.75" hidden="false" customHeight="false" outlineLevel="0" collapsed="false">
      <c r="A604" s="2" t="n">
        <v>813</v>
      </c>
    </row>
    <row r="605" customFormat="false" ht="12.75" hidden="false" customHeight="false" outlineLevel="0" collapsed="false">
      <c r="A605" s="2" t="n">
        <v>40</v>
      </c>
    </row>
    <row r="606" customFormat="false" ht="12.75" hidden="false" customHeight="false" outlineLevel="0" collapsed="false">
      <c r="A606" s="2" t="n">
        <v>15</v>
      </c>
    </row>
    <row r="607" customFormat="false" ht="12.75" hidden="false" customHeight="false" outlineLevel="0" collapsed="false">
      <c r="A607" s="2" t="n">
        <v>10</v>
      </c>
    </row>
    <row r="608" customFormat="false" ht="12.75" hidden="false" customHeight="false" outlineLevel="0" collapsed="false">
      <c r="A608" s="2" t="n">
        <v>38</v>
      </c>
    </row>
    <row r="609" customFormat="false" ht="12.75" hidden="false" customHeight="false" outlineLevel="0" collapsed="false">
      <c r="A609" s="2" t="n">
        <v>27</v>
      </c>
    </row>
    <row r="610" customFormat="false" ht="12.75" hidden="false" customHeight="false" outlineLevel="0" collapsed="false">
      <c r="A610" s="2" t="n">
        <v>442</v>
      </c>
    </row>
    <row r="611" customFormat="false" ht="12.75" hidden="false" customHeight="false" outlineLevel="0" collapsed="false">
      <c r="A611" s="2" t="n">
        <v>240</v>
      </c>
    </row>
    <row r="612" customFormat="false" ht="12.75" hidden="false" customHeight="false" outlineLevel="0" collapsed="false">
      <c r="A612" s="2" t="n">
        <v>323</v>
      </c>
    </row>
    <row r="613" customFormat="false" ht="12.75" hidden="false" customHeight="false" outlineLevel="0" collapsed="false">
      <c r="A613" s="2" t="n">
        <v>49</v>
      </c>
    </row>
    <row r="614" customFormat="false" ht="12.75" hidden="false" customHeight="false" outlineLevel="0" collapsed="false">
      <c r="A614" s="2" t="n">
        <v>95</v>
      </c>
    </row>
    <row r="615" customFormat="false" ht="12.75" hidden="false" customHeight="false" outlineLevel="0" collapsed="false">
      <c r="A615" s="2" t="n">
        <v>55</v>
      </c>
    </row>
    <row r="616" customFormat="false" ht="12.75" hidden="false" customHeight="false" outlineLevel="0" collapsed="false">
      <c r="A616" s="2" t="n">
        <v>9</v>
      </c>
    </row>
    <row r="617" customFormat="false" ht="12.75" hidden="false" customHeight="false" outlineLevel="0" collapsed="false">
      <c r="A617" s="2" t="n">
        <v>181</v>
      </c>
    </row>
    <row r="618" customFormat="false" ht="12.75" hidden="false" customHeight="false" outlineLevel="0" collapsed="false">
      <c r="A618" s="2" t="n">
        <v>48</v>
      </c>
    </row>
    <row r="619" customFormat="false" ht="12.75" hidden="false" customHeight="false" outlineLevel="0" collapsed="false">
      <c r="A619" s="2" t="n">
        <v>79</v>
      </c>
    </row>
    <row r="620" customFormat="false" ht="12.75" hidden="false" customHeight="false" outlineLevel="0" collapsed="false">
      <c r="A620" s="2" t="n">
        <v>15</v>
      </c>
    </row>
    <row r="621" customFormat="false" ht="12.75" hidden="false" customHeight="false" outlineLevel="0" collapsed="false">
      <c r="A621" s="2" t="n">
        <v>10</v>
      </c>
    </row>
    <row r="622" customFormat="false" ht="12.75" hidden="false" customHeight="false" outlineLevel="0" collapsed="false">
      <c r="A622" s="2" t="n">
        <v>650</v>
      </c>
    </row>
    <row r="623" customFormat="false" ht="12.75" hidden="false" customHeight="false" outlineLevel="0" collapsed="false">
      <c r="A623" s="2" t="n">
        <v>350</v>
      </c>
    </row>
    <row r="624" customFormat="false" ht="12.75" hidden="false" customHeight="false" outlineLevel="0" collapsed="false">
      <c r="A624" s="2" t="n">
        <v>17</v>
      </c>
    </row>
    <row r="625" customFormat="false" ht="12.75" hidden="false" customHeight="false" outlineLevel="0" collapsed="false">
      <c r="A625" s="2" t="n">
        <v>3</v>
      </c>
    </row>
    <row r="626" customFormat="false" ht="12.75" hidden="false" customHeight="false" outlineLevel="0" collapsed="false">
      <c r="A626" s="2" t="n">
        <v>5</v>
      </c>
    </row>
    <row r="627" customFormat="false" ht="12.75" hidden="false" customHeight="false" outlineLevel="0" collapsed="false">
      <c r="A627" s="2" t="n">
        <v>15</v>
      </c>
    </row>
    <row r="628" customFormat="false" ht="12.75" hidden="false" customHeight="false" outlineLevel="0" collapsed="false">
      <c r="A628" s="2" t="n">
        <v>450</v>
      </c>
    </row>
    <row r="629" customFormat="false" ht="12.75" hidden="false" customHeight="false" outlineLevel="0" collapsed="false">
      <c r="A629" s="2" t="n">
        <v>30</v>
      </c>
    </row>
    <row r="630" customFormat="false" ht="12.75" hidden="false" customHeight="false" outlineLevel="0" collapsed="false">
      <c r="A630" s="2" t="n">
        <v>0.5</v>
      </c>
    </row>
    <row r="631" customFormat="false" ht="12.75" hidden="false" customHeight="false" outlineLevel="0" collapsed="false">
      <c r="A631" s="2" t="n">
        <v>0.5</v>
      </c>
    </row>
    <row r="632" customFormat="false" ht="12.75" hidden="false" customHeight="false" outlineLevel="0" collapsed="false">
      <c r="A632" s="2" t="n">
        <v>19</v>
      </c>
    </row>
    <row r="633" customFormat="false" ht="12.75" hidden="false" customHeight="false" outlineLevel="0" collapsed="false">
      <c r="A633" s="2" t="n">
        <v>1</v>
      </c>
    </row>
    <row r="634" customFormat="false" ht="12.75" hidden="false" customHeight="false" outlineLevel="0" collapsed="false">
      <c r="A634" s="2" t="n">
        <v>1.5</v>
      </c>
    </row>
    <row r="635" customFormat="false" ht="12.75" hidden="false" customHeight="false" outlineLevel="0" collapsed="false">
      <c r="A635" s="2" t="n">
        <v>153</v>
      </c>
    </row>
    <row r="636" customFormat="false" ht="12.75" hidden="false" customHeight="false" outlineLevel="0" collapsed="false">
      <c r="A636" s="2" t="n">
        <v>93</v>
      </c>
    </row>
    <row r="637" customFormat="false" ht="12.75" hidden="false" customHeight="false" outlineLevel="0" collapsed="false">
      <c r="A637" s="2" t="n">
        <v>8</v>
      </c>
    </row>
    <row r="638" customFormat="false" ht="12.75" hidden="false" customHeight="false" outlineLevel="0" collapsed="false">
      <c r="A638" s="2" t="n">
        <v>9</v>
      </c>
    </row>
    <row r="639" customFormat="false" ht="12.75" hidden="false" customHeight="false" outlineLevel="0" collapsed="false">
      <c r="A639" s="2" t="n">
        <v>20</v>
      </c>
    </row>
    <row r="640" customFormat="false" ht="12.75" hidden="false" customHeight="false" outlineLevel="0" collapsed="false">
      <c r="A640" s="2" t="n">
        <v>0.3</v>
      </c>
    </row>
    <row r="641" customFormat="false" ht="12.75" hidden="false" customHeight="false" outlineLevel="0" collapsed="false">
      <c r="A641" s="2" t="n">
        <v>5</v>
      </c>
    </row>
    <row r="642" customFormat="false" ht="12.75" hidden="false" customHeight="false" outlineLevel="0" collapsed="false">
      <c r="A642" s="2" t="n">
        <v>12</v>
      </c>
    </row>
    <row r="643" customFormat="false" ht="12.75" hidden="false" customHeight="false" outlineLevel="0" collapsed="false">
      <c r="A643" s="2" t="n">
        <v>1</v>
      </c>
    </row>
    <row r="644" customFormat="false" ht="12.75" hidden="false" customHeight="false" outlineLevel="0" collapsed="false">
      <c r="A644" s="2" t="n">
        <v>17248.1</v>
      </c>
    </row>
    <row r="645" customFormat="false" ht="12.75" hidden="false" customHeight="false" outlineLevel="0" collapsed="false">
      <c r="A645" s="2" t="n">
        <v>3151</v>
      </c>
    </row>
    <row r="646" customFormat="false" ht="12.75" hidden="false" customHeight="false" outlineLevel="0" collapsed="false">
      <c r="A646" s="2" t="n">
        <v>30</v>
      </c>
    </row>
    <row r="647" customFormat="false" ht="12.75" hidden="false" customHeight="false" outlineLevel="0" collapsed="false">
      <c r="A647" s="2" t="n">
        <v>46</v>
      </c>
    </row>
    <row r="648" customFormat="false" ht="12.75" hidden="false" customHeight="false" outlineLevel="0" collapsed="false">
      <c r="A648" s="2" t="n">
        <v>0.1</v>
      </c>
    </row>
    <row r="649" customFormat="false" ht="12.75" hidden="false" customHeight="false" outlineLevel="0" collapsed="false">
      <c r="A649" s="2" t="n">
        <v>0.2</v>
      </c>
    </row>
    <row r="650" customFormat="false" ht="12.75" hidden="false" customHeight="false" outlineLevel="0" collapsed="false">
      <c r="A650" s="2" t="n">
        <v>0.1</v>
      </c>
    </row>
    <row r="651" customFormat="false" ht="12.75" hidden="false" customHeight="false" outlineLevel="0" collapsed="false">
      <c r="A651" s="2" t="n">
        <v>0.2</v>
      </c>
    </row>
    <row r="652" customFormat="false" ht="12.75" hidden="false" customHeight="false" outlineLevel="0" collapsed="false">
      <c r="A652" s="2" t="n">
        <v>55</v>
      </c>
    </row>
    <row r="653" customFormat="false" ht="12.75" hidden="false" customHeight="false" outlineLevel="0" collapsed="false">
      <c r="A653" s="2" t="n">
        <v>45</v>
      </c>
    </row>
    <row r="654" customFormat="false" ht="12.75" hidden="false" customHeight="false" outlineLevel="0" collapsed="false">
      <c r="A654" s="2" t="n">
        <v>230</v>
      </c>
    </row>
    <row r="655" customFormat="false" ht="12.75" hidden="false" customHeight="false" outlineLevel="0" collapsed="false">
      <c r="A655" s="2" t="n">
        <v>2400</v>
      </c>
    </row>
    <row r="656" customFormat="false" ht="12.75" hidden="false" customHeight="false" outlineLevel="0" collapsed="false">
      <c r="A656" s="2" t="n">
        <v>34</v>
      </c>
    </row>
    <row r="657" customFormat="false" ht="12.75" hidden="false" customHeight="false" outlineLevel="0" collapsed="false">
      <c r="A657" s="2" t="n">
        <v>51780</v>
      </c>
    </row>
    <row r="658" customFormat="false" ht="12.75" hidden="false" customHeight="false" outlineLevel="0" collapsed="false">
      <c r="A658" s="2" t="n">
        <v>2707</v>
      </c>
    </row>
    <row r="659" customFormat="false" ht="12.75" hidden="false" customHeight="false" outlineLevel="0" collapsed="false">
      <c r="A659" s="2" t="n">
        <v>2.2</v>
      </c>
    </row>
    <row r="660" customFormat="false" ht="12.75" hidden="false" customHeight="false" outlineLevel="0" collapsed="false">
      <c r="A660" s="2" t="n">
        <v>760</v>
      </c>
    </row>
    <row r="661" customFormat="false" ht="12.75" hidden="false" customHeight="false" outlineLevel="0" collapsed="false">
      <c r="A661" s="2" t="n">
        <v>1.5</v>
      </c>
    </row>
    <row r="662" customFormat="false" ht="12.75" hidden="false" customHeight="false" outlineLevel="0" collapsed="false">
      <c r="A662" s="2" t="n">
        <v>65</v>
      </c>
    </row>
    <row r="663" customFormat="false" ht="12.75" hidden="false" customHeight="false" outlineLevel="0" collapsed="false">
      <c r="A663" s="2" t="n">
        <v>15065</v>
      </c>
    </row>
    <row r="664" customFormat="false" ht="12.75" hidden="false" customHeight="false" outlineLevel="0" collapsed="false">
      <c r="A664" s="2" t="n">
        <v>20134</v>
      </c>
    </row>
    <row r="665" customFormat="false" ht="12.75" hidden="false" customHeight="false" outlineLevel="0" collapsed="false">
      <c r="A665" s="2" t="n">
        <v>11984</v>
      </c>
    </row>
    <row r="666" customFormat="false" ht="12.75" hidden="false" customHeight="false" outlineLevel="0" collapsed="false">
      <c r="A666" s="2" t="n">
        <v>260</v>
      </c>
    </row>
    <row r="667" customFormat="false" ht="12.75" hidden="false" customHeight="false" outlineLevel="0" collapsed="false">
      <c r="A667" s="2" t="n">
        <v>3000</v>
      </c>
    </row>
    <row r="668" customFormat="false" ht="12.75" hidden="false" customHeight="false" outlineLevel="0" collapsed="false">
      <c r="A668" s="2" t="n">
        <v>1089</v>
      </c>
    </row>
    <row r="669" customFormat="false" ht="12.75" hidden="false" customHeight="false" outlineLevel="0" collapsed="false">
      <c r="A669" s="2" t="n">
        <v>2405</v>
      </c>
    </row>
    <row r="670" customFormat="false" ht="12.75" hidden="false" customHeight="false" outlineLevel="0" collapsed="false">
      <c r="A670" s="2" t="n">
        <v>42</v>
      </c>
    </row>
    <row r="671" customFormat="false" ht="12.75" hidden="false" customHeight="false" outlineLevel="0" collapsed="false">
      <c r="A671" s="2" t="n">
        <v>897</v>
      </c>
    </row>
    <row r="672" customFormat="false" ht="12.75" hidden="false" customHeight="false" outlineLevel="0" collapsed="false">
      <c r="A672" s="2" t="n">
        <v>0</v>
      </c>
    </row>
    <row r="673" customFormat="false" ht="12.75" hidden="false" customHeight="false" outlineLevel="0" collapsed="false">
      <c r="A673" s="2" t="n">
        <v>30</v>
      </c>
    </row>
    <row r="674" customFormat="false" ht="12.75" hidden="false" customHeight="false" outlineLevel="0" collapsed="false">
      <c r="A674" s="2" t="n">
        <v>0.2</v>
      </c>
    </row>
    <row r="675" customFormat="false" ht="12.75" hidden="false" customHeight="false" outlineLevel="0" collapsed="false">
      <c r="A675" s="2" t="n">
        <v>1357</v>
      </c>
    </row>
    <row r="676" customFormat="false" ht="12.75" hidden="false" customHeight="false" outlineLevel="0" collapsed="false">
      <c r="A676" s="2" t="n">
        <v>659</v>
      </c>
    </row>
    <row r="677" customFormat="false" ht="12.75" hidden="false" customHeight="false" outlineLevel="0" collapsed="false">
      <c r="A677" s="2" t="n">
        <v>3471.3</v>
      </c>
    </row>
    <row r="678" customFormat="false" ht="12.75" hidden="false" customHeight="false" outlineLevel="0" collapsed="false">
      <c r="A678" s="2" t="n">
        <v>139.1</v>
      </c>
    </row>
    <row r="679" customFormat="false" ht="12.75" hidden="false" customHeight="false" outlineLevel="0" collapsed="false">
      <c r="A679" s="2" t="n">
        <v>2310.8</v>
      </c>
    </row>
    <row r="680" customFormat="false" ht="12.75" hidden="false" customHeight="false" outlineLevel="0" collapsed="false">
      <c r="A680" s="2" t="n">
        <v>3380.3</v>
      </c>
    </row>
    <row r="681" customFormat="false" ht="12.75" hidden="false" customHeight="false" outlineLevel="0" collapsed="false">
      <c r="A681" s="2" t="n">
        <v>2986.1</v>
      </c>
    </row>
    <row r="682" customFormat="false" ht="12.75" hidden="false" customHeight="false" outlineLevel="0" collapsed="false">
      <c r="A682" s="2" t="n">
        <v>10416.6</v>
      </c>
    </row>
    <row r="683" customFormat="false" ht="12.75" hidden="false" customHeight="false" outlineLevel="0" collapsed="false">
      <c r="A683" s="2" t="n">
        <v>211.8</v>
      </c>
    </row>
    <row r="684" customFormat="false" ht="12.75" hidden="false" customHeight="false" outlineLevel="0" collapsed="false">
      <c r="A684" s="2" t="n">
        <v>29976.5</v>
      </c>
    </row>
    <row r="685" customFormat="false" ht="12.75" hidden="false" customHeight="false" outlineLevel="0" collapsed="false">
      <c r="A685" s="2" t="n">
        <v>8698.2</v>
      </c>
    </row>
    <row r="686" customFormat="false" ht="12.75" hidden="false" customHeight="false" outlineLevel="0" collapsed="false">
      <c r="A686" s="2" t="n">
        <v>163.8</v>
      </c>
    </row>
    <row r="687" customFormat="false" ht="12.75" hidden="false" customHeight="false" outlineLevel="0" collapsed="false">
      <c r="A687" s="2" t="n">
        <v>1832.8</v>
      </c>
    </row>
    <row r="688" customFormat="false" ht="12.75" hidden="false" customHeight="false" outlineLevel="0" collapsed="false">
      <c r="A688" s="2" t="n">
        <v>1434.2</v>
      </c>
    </row>
    <row r="689" customFormat="false" ht="12.75" hidden="false" customHeight="false" outlineLevel="0" collapsed="false">
      <c r="A689" s="2" t="n">
        <v>1517.8</v>
      </c>
    </row>
    <row r="690" customFormat="false" ht="12.75" hidden="false" customHeight="false" outlineLevel="0" collapsed="false">
      <c r="A690" s="2" t="n">
        <v>459.6</v>
      </c>
    </row>
    <row r="691" customFormat="false" ht="12.75" hidden="false" customHeight="false" outlineLevel="0" collapsed="false">
      <c r="A691" s="2" t="n">
        <v>3249.9</v>
      </c>
    </row>
    <row r="692" customFormat="false" ht="12.75" hidden="false" customHeight="false" outlineLevel="0" collapsed="false">
      <c r="A692" s="2" t="n">
        <v>39797.4</v>
      </c>
    </row>
    <row r="693" customFormat="false" ht="12.75" hidden="false" customHeight="false" outlineLevel="0" collapsed="false">
      <c r="A693" s="2" t="n">
        <v>9296.6</v>
      </c>
    </row>
    <row r="694" customFormat="false" ht="12.75" hidden="false" customHeight="false" outlineLevel="0" collapsed="false">
      <c r="A694" s="2" t="n">
        <v>107721.3</v>
      </c>
    </row>
    <row r="695" customFormat="false" ht="12.75" hidden="false" customHeight="false" outlineLevel="0" collapsed="false">
      <c r="A695" s="2" t="n">
        <v>3305.3</v>
      </c>
    </row>
    <row r="696" customFormat="false" ht="12.75" hidden="false" customHeight="false" outlineLevel="0" collapsed="false">
      <c r="A696" s="2" t="n">
        <v>103.9</v>
      </c>
    </row>
    <row r="697" customFormat="false" ht="12.75" hidden="false" customHeight="false" outlineLevel="0" collapsed="false">
      <c r="A697" s="2" t="n">
        <v>2283.3</v>
      </c>
    </row>
    <row r="698" customFormat="false" ht="12.75" hidden="false" customHeight="false" outlineLevel="0" collapsed="false">
      <c r="A698" s="2" t="n">
        <v>-1</v>
      </c>
    </row>
    <row r="699" customFormat="false" ht="12.75" hidden="false" customHeight="false" outlineLevel="0" collapsed="false">
      <c r="A699" s="2" t="n">
        <v>134.5</v>
      </c>
    </row>
    <row r="700" customFormat="false" ht="12.75" hidden="false" customHeight="false" outlineLevel="0" collapsed="false">
      <c r="A700" s="2" t="n">
        <v>12.8</v>
      </c>
    </row>
    <row r="701" customFormat="false" ht="12.75" hidden="false" customHeight="false" outlineLevel="0" collapsed="false">
      <c r="A701" s="2" t="n">
        <v>302.2</v>
      </c>
    </row>
    <row r="702" customFormat="false" ht="12.75" hidden="false" customHeight="false" outlineLevel="0" collapsed="false">
      <c r="A702" s="2" t="n">
        <v>8417.9</v>
      </c>
    </row>
    <row r="703" customFormat="false" ht="12.75" hidden="false" customHeight="false" outlineLevel="0" collapsed="false">
      <c r="A703" s="2" t="n">
        <v>4314.4</v>
      </c>
    </row>
    <row r="704" customFormat="false" ht="12.75" hidden="false" customHeight="false" outlineLevel="0" collapsed="false">
      <c r="A704" s="2" t="n">
        <v>16.6</v>
      </c>
    </row>
    <row r="705" customFormat="false" ht="12.75" hidden="false" customHeight="false" outlineLevel="0" collapsed="false">
      <c r="A705" s="2" t="n">
        <v>3.3</v>
      </c>
    </row>
    <row r="706" customFormat="false" ht="12.75" hidden="false" customHeight="false" outlineLevel="0" collapsed="false">
      <c r="A706" s="2" t="n">
        <v>45.5</v>
      </c>
    </row>
    <row r="707" customFormat="false" ht="12.75" hidden="false" customHeight="false" outlineLevel="0" collapsed="false">
      <c r="A707" s="2" t="n">
        <v>3.3</v>
      </c>
    </row>
    <row r="708" customFormat="false" ht="12.75" hidden="false" customHeight="false" outlineLevel="0" collapsed="false">
      <c r="A708" s="2" t="n">
        <v>2.4</v>
      </c>
    </row>
    <row r="709" customFormat="false" ht="12.75" hidden="false" customHeight="false" outlineLevel="0" collapsed="false">
      <c r="A709" s="2" t="n">
        <v>37.5</v>
      </c>
    </row>
    <row r="710" customFormat="false" ht="12.75" hidden="false" customHeight="false" outlineLevel="0" collapsed="false">
      <c r="A710" s="2" t="n">
        <v>42.2</v>
      </c>
    </row>
    <row r="711" customFormat="false" ht="12.75" hidden="false" customHeight="false" outlineLevel="0" collapsed="false">
      <c r="A711" s="2" t="n">
        <v>1233.4</v>
      </c>
    </row>
    <row r="712" customFormat="false" ht="12.75" hidden="false" customHeight="false" outlineLevel="0" collapsed="false">
      <c r="A712" s="2" t="n">
        <v>137.5</v>
      </c>
    </row>
    <row r="713" customFormat="false" ht="12.75" hidden="false" customHeight="false" outlineLevel="0" collapsed="false">
      <c r="A713" s="2" t="n">
        <v>492.9</v>
      </c>
    </row>
    <row r="714" customFormat="false" ht="12.75" hidden="false" customHeight="false" outlineLevel="0" collapsed="false">
      <c r="A714" s="2" t="n">
        <v>14.2</v>
      </c>
    </row>
    <row r="715" customFormat="false" ht="12.75" hidden="false" customHeight="false" outlineLevel="0" collapsed="false">
      <c r="A715" s="2" t="n">
        <v>0.1</v>
      </c>
    </row>
    <row r="716" customFormat="false" ht="12.75" hidden="false" customHeight="false" outlineLevel="0" collapsed="false">
      <c r="A716" s="2" t="n">
        <v>22.3</v>
      </c>
    </row>
    <row r="717" customFormat="false" ht="12.75" hidden="false" customHeight="false" outlineLevel="0" collapsed="false">
      <c r="A717" s="2" t="n">
        <v>70.3</v>
      </c>
    </row>
    <row r="718" customFormat="false" ht="12.75" hidden="false" customHeight="false" outlineLevel="0" collapsed="false">
      <c r="A718" s="2" t="n">
        <v>1</v>
      </c>
    </row>
    <row r="719" customFormat="false" ht="12.75" hidden="false" customHeight="false" outlineLevel="0" collapsed="false">
      <c r="A719" s="2" t="n">
        <v>3000.3</v>
      </c>
    </row>
    <row r="720" customFormat="false" ht="12.75" hidden="false" customHeight="false" outlineLevel="0" collapsed="false">
      <c r="A720" s="2" t="n">
        <v>11.8</v>
      </c>
    </row>
    <row r="721" customFormat="false" ht="12.75" hidden="false" customHeight="false" outlineLevel="0" collapsed="false">
      <c r="A721" s="2" t="n">
        <v>337.4</v>
      </c>
    </row>
    <row r="722" customFormat="false" ht="12.75" hidden="false" customHeight="false" outlineLevel="0" collapsed="false">
      <c r="A722" s="2" t="n">
        <v>12587.4</v>
      </c>
    </row>
    <row r="723" customFormat="false" ht="12.75" hidden="false" customHeight="false" outlineLevel="0" collapsed="false">
      <c r="A723" s="2" t="n">
        <v>968.2</v>
      </c>
    </row>
    <row r="724" customFormat="false" ht="12.75" hidden="false" customHeight="false" outlineLevel="0" collapsed="false">
      <c r="A724" s="2" t="n">
        <v>122.9</v>
      </c>
    </row>
    <row r="725" customFormat="false" ht="12.75" hidden="false" customHeight="false" outlineLevel="0" collapsed="false">
      <c r="A725" s="2" t="n">
        <v>55.7</v>
      </c>
    </row>
    <row r="726" customFormat="false" ht="12.75" hidden="false" customHeight="false" outlineLevel="0" collapsed="false">
      <c r="A726" s="2" t="n">
        <v>106.1</v>
      </c>
    </row>
    <row r="727" customFormat="false" ht="12.75" hidden="false" customHeight="false" outlineLevel="0" collapsed="false">
      <c r="A727" s="2" t="n">
        <v>8.1</v>
      </c>
    </row>
    <row r="728" customFormat="false" ht="12.75" hidden="false" customHeight="false" outlineLevel="0" collapsed="false">
      <c r="A728" s="2" t="n">
        <v>3.1</v>
      </c>
    </row>
    <row r="729" customFormat="false" ht="12.75" hidden="false" customHeight="false" outlineLevel="0" collapsed="false">
      <c r="A729" s="2" t="n">
        <v>11.8</v>
      </c>
    </row>
    <row r="730" customFormat="false" ht="12.75" hidden="false" customHeight="false" outlineLevel="0" collapsed="false">
      <c r="A730" s="2" t="n">
        <v>17716.2</v>
      </c>
    </row>
    <row r="731" customFormat="false" ht="12.75" hidden="false" customHeight="false" outlineLevel="0" collapsed="false">
      <c r="A731" s="2" t="n">
        <v>1082.6</v>
      </c>
    </row>
    <row r="732" customFormat="false" ht="12.75" hidden="false" customHeight="false" outlineLevel="0" collapsed="false">
      <c r="A732" s="2" t="n">
        <v>22.4</v>
      </c>
    </row>
    <row r="733" customFormat="false" ht="12.75" hidden="false" customHeight="false" outlineLevel="0" collapsed="false">
      <c r="A733" s="2" t="n">
        <v>0.1</v>
      </c>
    </row>
    <row r="734" customFormat="false" ht="12.75" hidden="false" customHeight="false" outlineLevel="0" collapsed="false">
      <c r="A734" s="2" t="n">
        <v>6</v>
      </c>
    </row>
    <row r="735" customFormat="false" ht="12.75" hidden="false" customHeight="false" outlineLevel="0" collapsed="false">
      <c r="A735" s="2" t="n">
        <v>16271.9</v>
      </c>
    </row>
    <row r="736" customFormat="false" ht="12.75" hidden="false" customHeight="false" outlineLevel="0" collapsed="false">
      <c r="A736" s="2" t="n">
        <v>10832.5</v>
      </c>
    </row>
    <row r="737" customFormat="false" ht="12.75" hidden="false" customHeight="false" outlineLevel="0" collapsed="false">
      <c r="A737" s="2" t="n">
        <v>12919.3</v>
      </c>
    </row>
    <row r="738" customFormat="false" ht="12.75" hidden="false" customHeight="false" outlineLevel="0" collapsed="false">
      <c r="A738" s="2" t="n">
        <v>119.2</v>
      </c>
    </row>
    <row r="739" customFormat="false" ht="12.75" hidden="false" customHeight="false" outlineLevel="0" collapsed="false">
      <c r="A739" s="2" t="n">
        <v>1372.8</v>
      </c>
    </row>
    <row r="740" customFormat="false" ht="12.75" hidden="false" customHeight="false" outlineLevel="0" collapsed="false">
      <c r="A740" s="2" t="n">
        <v>197.1</v>
      </c>
    </row>
    <row r="741" customFormat="false" ht="12.75" hidden="false" customHeight="false" outlineLevel="0" collapsed="false">
      <c r="A741" s="2" t="n">
        <v>610.8</v>
      </c>
    </row>
    <row r="742" customFormat="false" ht="12.75" hidden="false" customHeight="false" outlineLevel="0" collapsed="false">
      <c r="A742" s="2" t="n">
        <v>1372.3</v>
      </c>
    </row>
    <row r="743" customFormat="false" ht="12.75" hidden="false" customHeight="false" outlineLevel="0" collapsed="false">
      <c r="A743" s="2" t="n">
        <v>1286.8</v>
      </c>
    </row>
    <row r="744" customFormat="false" ht="12.75" hidden="false" customHeight="false" outlineLevel="0" collapsed="false">
      <c r="A744" s="2" t="n">
        <v>1385.5</v>
      </c>
    </row>
    <row r="745" customFormat="false" ht="12.75" hidden="false" customHeight="false" outlineLevel="0" collapsed="false">
      <c r="A745" s="2" t="n">
        <v>2807.7</v>
      </c>
    </row>
    <row r="746" customFormat="false" ht="12.75" hidden="false" customHeight="false" outlineLevel="0" collapsed="false">
      <c r="A746" s="2" t="n">
        <v>685.8</v>
      </c>
    </row>
    <row r="747" customFormat="false" ht="12.75" hidden="false" customHeight="false" outlineLevel="0" collapsed="false">
      <c r="A747" s="2" t="n">
        <v>6711</v>
      </c>
    </row>
    <row r="748" customFormat="false" ht="12.75" hidden="false" customHeight="false" outlineLevel="0" collapsed="false">
      <c r="A748" s="2" t="n">
        <v>22780.6</v>
      </c>
    </row>
    <row r="749" customFormat="false" ht="12.75" hidden="false" customHeight="false" outlineLevel="0" collapsed="false">
      <c r="A749" s="2" t="n">
        <v>1085.7</v>
      </c>
    </row>
    <row r="750" customFormat="false" ht="12.75" hidden="false" customHeight="false" outlineLevel="0" collapsed="false">
      <c r="A750" s="2" t="n">
        <v>2703.7</v>
      </c>
    </row>
    <row r="751" customFormat="false" ht="12.75" hidden="false" customHeight="false" outlineLevel="0" collapsed="false">
      <c r="A751" s="2" t="n">
        <v>1396.5</v>
      </c>
    </row>
    <row r="752" customFormat="false" ht="12.75" hidden="false" customHeight="false" outlineLevel="0" collapsed="false">
      <c r="A752" s="2" t="n">
        <v>5970.9</v>
      </c>
    </row>
    <row r="753" customFormat="false" ht="12.75" hidden="false" customHeight="false" outlineLevel="0" collapsed="false">
      <c r="A753" s="2" t="n">
        <v>716.2</v>
      </c>
    </row>
    <row r="754" customFormat="false" ht="12.75" hidden="false" customHeight="false" outlineLevel="0" collapsed="false">
      <c r="A754" s="2" t="n">
        <v>122.3</v>
      </c>
    </row>
    <row r="755" customFormat="false" ht="12.75" hidden="false" customHeight="false" outlineLevel="0" collapsed="false">
      <c r="A755" s="2" t="n">
        <v>49662.4</v>
      </c>
    </row>
    <row r="756" customFormat="false" ht="12.75" hidden="false" customHeight="false" outlineLevel="0" collapsed="false">
      <c r="A756" s="2" t="n">
        <v>545.7</v>
      </c>
    </row>
    <row r="757" customFormat="false" ht="12.75" hidden="false" customHeight="false" outlineLevel="0" collapsed="false">
      <c r="A757" s="2" t="n">
        <v>1200.6</v>
      </c>
    </row>
    <row r="758" customFormat="false" ht="12.75" hidden="false" customHeight="false" outlineLevel="0" collapsed="false">
      <c r="A758" s="2" t="n">
        <v>46.6</v>
      </c>
    </row>
    <row r="759" customFormat="false" ht="12.75" hidden="false" customHeight="false" outlineLevel="0" collapsed="false">
      <c r="A759" s="2" t="n">
        <v>558.8</v>
      </c>
    </row>
    <row r="760" customFormat="false" ht="12.75" hidden="false" customHeight="false" outlineLevel="0" collapsed="false">
      <c r="A760" s="2" t="n">
        <v>51.8</v>
      </c>
    </row>
    <row r="761" customFormat="false" ht="12.75" hidden="false" customHeight="false" outlineLevel="0" collapsed="false">
      <c r="A761" s="2" t="n">
        <v>6167.4</v>
      </c>
    </row>
    <row r="762" customFormat="false" ht="12.75" hidden="false" customHeight="false" outlineLevel="0" collapsed="false">
      <c r="A762" s="2" t="n">
        <v>483.8</v>
      </c>
    </row>
    <row r="763" customFormat="false" ht="12.75" hidden="false" customHeight="false" outlineLevel="0" collapsed="false">
      <c r="A763" s="2" t="n">
        <v>606.3</v>
      </c>
    </row>
    <row r="764" customFormat="false" ht="12.75" hidden="false" customHeight="false" outlineLevel="0" collapsed="false">
      <c r="A764" s="2" t="n">
        <v>6113.5</v>
      </c>
    </row>
    <row r="765" customFormat="false" ht="12.75" hidden="false" customHeight="false" outlineLevel="0" collapsed="false">
      <c r="A765" s="2" t="n">
        <v>11655.4</v>
      </c>
    </row>
    <row r="766" customFormat="false" ht="12.75" hidden="false" customHeight="false" outlineLevel="0" collapsed="false">
      <c r="A766" s="2" t="n">
        <v>3100.6</v>
      </c>
    </row>
    <row r="767" customFormat="false" ht="12.75" hidden="false" customHeight="false" outlineLevel="0" collapsed="false">
      <c r="A767" s="2" t="n">
        <v>125</v>
      </c>
    </row>
    <row r="768" customFormat="false" ht="12.75" hidden="false" customHeight="false" outlineLevel="0" collapsed="false">
      <c r="A768" s="2" t="n">
        <v>43325.8</v>
      </c>
    </row>
    <row r="769" customFormat="false" ht="12.75" hidden="false" customHeight="false" outlineLevel="0" collapsed="false">
      <c r="A769" s="2" t="n">
        <v>890.9</v>
      </c>
    </row>
    <row r="770" customFormat="false" ht="12.75" hidden="false" customHeight="false" outlineLevel="0" collapsed="false">
      <c r="A770" s="2" t="n">
        <v>1088.2</v>
      </c>
    </row>
    <row r="771" customFormat="false" ht="12.75" hidden="false" customHeight="false" outlineLevel="0" collapsed="false">
      <c r="A771" s="2" t="n">
        <v>11.1</v>
      </c>
    </row>
    <row r="772" customFormat="false" ht="12.75" hidden="false" customHeight="false" outlineLevel="0" collapsed="false">
      <c r="A772" s="2" t="n">
        <v>173</v>
      </c>
    </row>
    <row r="773" customFormat="false" ht="12.75" hidden="false" customHeight="false" outlineLevel="0" collapsed="false">
      <c r="A773" s="2" t="n">
        <v>1220.5</v>
      </c>
    </row>
    <row r="774" customFormat="false" ht="12.75" hidden="false" customHeight="false" outlineLevel="0" collapsed="false">
      <c r="A774" s="2" t="n">
        <v>94.7</v>
      </c>
    </row>
    <row r="775" customFormat="false" ht="12.75" hidden="false" customHeight="false" outlineLevel="0" collapsed="false">
      <c r="A775" s="2" t="n">
        <v>340.7</v>
      </c>
    </row>
    <row r="776" customFormat="false" ht="12.75" hidden="false" customHeight="false" outlineLevel="0" collapsed="false">
      <c r="A776" s="2" t="n">
        <v>27942.9</v>
      </c>
    </row>
    <row r="777" customFormat="false" ht="12.75" hidden="false" customHeight="false" outlineLevel="0" collapsed="false">
      <c r="A777" s="2" t="n">
        <v>418.1</v>
      </c>
    </row>
    <row r="778" customFormat="false" ht="12.75" hidden="false" customHeight="false" outlineLevel="0" collapsed="false">
      <c r="A778" s="2" t="n">
        <v>26573.5</v>
      </c>
    </row>
    <row r="779" customFormat="false" ht="12.75" hidden="false" customHeight="false" outlineLevel="0" collapsed="false">
      <c r="A779" s="2" t="n">
        <v>6167.4</v>
      </c>
    </row>
    <row r="780" customFormat="false" ht="12.75" hidden="false" customHeight="false" outlineLevel="0" collapsed="false">
      <c r="A780" s="2" t="n">
        <v>441.1</v>
      </c>
    </row>
    <row r="781" customFormat="false" ht="12.75" hidden="false" customHeight="false" outlineLevel="0" collapsed="false">
      <c r="A781" s="2" t="n">
        <v>354.1</v>
      </c>
    </row>
    <row r="782" customFormat="false" ht="12.75" hidden="false" customHeight="false" outlineLevel="0" collapsed="false">
      <c r="A782" s="2" t="n">
        <v>11801.6</v>
      </c>
    </row>
    <row r="783" customFormat="false" ht="12.75" hidden="false" customHeight="false" outlineLevel="0" collapsed="false">
      <c r="A783" s="2" t="n">
        <v>6909.9</v>
      </c>
    </row>
    <row r="784" customFormat="false" ht="12.75" hidden="false" customHeight="false" outlineLevel="0" collapsed="false">
      <c r="A784" s="2" t="n">
        <v>7554.9</v>
      </c>
    </row>
    <row r="785" customFormat="false" ht="12.75" hidden="false" customHeight="false" outlineLevel="0" collapsed="false">
      <c r="A785" s="2" t="n">
        <v>1482</v>
      </c>
    </row>
    <row r="786" customFormat="false" ht="12.75" hidden="false" customHeight="false" outlineLevel="0" collapsed="false">
      <c r="A786" s="2" t="n">
        <v>14344.3</v>
      </c>
    </row>
    <row r="787" customFormat="false" ht="12.75" hidden="false" customHeight="false" outlineLevel="0" collapsed="false">
      <c r="A787" s="2" t="n">
        <v>200.8</v>
      </c>
    </row>
    <row r="788" customFormat="false" ht="12.75" hidden="false" customHeight="false" outlineLevel="0" collapsed="false">
      <c r="A788" s="2" t="n">
        <v>57.5</v>
      </c>
    </row>
    <row r="789" customFormat="false" ht="12.75" hidden="false" customHeight="false" outlineLevel="0" collapsed="false">
      <c r="A789" s="2" t="n">
        <v>2111.7</v>
      </c>
    </row>
    <row r="790" customFormat="false" ht="12.75" hidden="false" customHeight="false" outlineLevel="0" collapsed="false">
      <c r="A790" s="2" t="n">
        <v>11096.2</v>
      </c>
    </row>
    <row r="791" customFormat="false" ht="12.75" hidden="false" customHeight="false" outlineLevel="0" collapsed="false">
      <c r="A791" s="2" t="n">
        <v>111.2</v>
      </c>
    </row>
    <row r="792" customFormat="false" ht="12.75" hidden="false" customHeight="false" outlineLevel="0" collapsed="false">
      <c r="A792" s="2" t="n">
        <v>810.3</v>
      </c>
    </row>
    <row r="793" customFormat="false" ht="12.75" hidden="false" customHeight="false" outlineLevel="0" collapsed="false">
      <c r="A793" s="2" t="n">
        <v>382.7</v>
      </c>
    </row>
    <row r="794" customFormat="false" ht="12.75" hidden="false" customHeight="false" outlineLevel="0" collapsed="false">
      <c r="A794" s="2" t="n">
        <v>182.9</v>
      </c>
    </row>
    <row r="795" customFormat="false" ht="12.75" hidden="false" customHeight="false" outlineLevel="0" collapsed="false">
      <c r="A795" s="2" t="n">
        <v>370.7</v>
      </c>
    </row>
    <row r="796" customFormat="false" ht="12.75" hidden="false" customHeight="false" outlineLevel="0" collapsed="false">
      <c r="A796" s="2" t="n">
        <v>2912.4</v>
      </c>
    </row>
    <row r="797" customFormat="false" ht="12.75" hidden="false" customHeight="false" outlineLevel="0" collapsed="false">
      <c r="A797" s="2" t="n">
        <v>0.1</v>
      </c>
    </row>
    <row r="798" customFormat="false" ht="12.75" hidden="false" customHeight="false" outlineLevel="0" collapsed="false">
      <c r="A798" s="2" t="n">
        <v>9347</v>
      </c>
    </row>
    <row r="799" customFormat="false" ht="12.75" hidden="false" customHeight="false" outlineLevel="0" collapsed="false">
      <c r="A799" s="2" t="n">
        <v>7.2</v>
      </c>
    </row>
    <row r="800" customFormat="false" ht="12.75" hidden="false" customHeight="false" outlineLevel="0" collapsed="false">
      <c r="A800" s="2" t="n">
        <v>237.5</v>
      </c>
    </row>
    <row r="801" customFormat="false" ht="12.75" hidden="false" customHeight="false" outlineLevel="0" collapsed="false">
      <c r="A801" s="2" t="n">
        <v>1181.2</v>
      </c>
    </row>
    <row r="802" customFormat="false" ht="12.75" hidden="false" customHeight="false" outlineLevel="0" collapsed="false">
      <c r="A802" s="2" t="n">
        <v>348.2</v>
      </c>
    </row>
    <row r="803" customFormat="false" ht="12.75" hidden="false" customHeight="false" outlineLevel="0" collapsed="false">
      <c r="A803" s="2" t="n">
        <v>-1</v>
      </c>
    </row>
    <row r="804" customFormat="false" ht="12.75" hidden="false" customHeight="false" outlineLevel="0" collapsed="false">
      <c r="A804" s="2" t="n">
        <v>59.4</v>
      </c>
    </row>
    <row r="805" customFormat="false" ht="12.75" hidden="false" customHeight="false" outlineLevel="0" collapsed="false">
      <c r="A805" s="2" t="n">
        <v>5.9</v>
      </c>
    </row>
    <row r="806" customFormat="false" ht="12.75" hidden="false" customHeight="false" outlineLevel="0" collapsed="false">
      <c r="A806" s="2" t="n">
        <v>2723.6</v>
      </c>
    </row>
    <row r="807" customFormat="false" ht="12.75" hidden="false" customHeight="false" outlineLevel="0" collapsed="false">
      <c r="A807" s="2" t="n">
        <v>23123.7</v>
      </c>
    </row>
    <row r="808" customFormat="false" ht="12.75" hidden="false" customHeight="false" outlineLevel="0" collapsed="false">
      <c r="A808" s="2" t="n">
        <v>1493.6</v>
      </c>
    </row>
    <row r="809" customFormat="false" ht="12.75" hidden="false" customHeight="false" outlineLevel="0" collapsed="false">
      <c r="A809" s="2" t="n">
        <v>103.3</v>
      </c>
    </row>
    <row r="810" customFormat="false" ht="12.75" hidden="false" customHeight="false" outlineLevel="0" collapsed="false">
      <c r="A810" s="2" t="n">
        <v>1220.4</v>
      </c>
    </row>
    <row r="811" customFormat="false" ht="12.75" hidden="false" customHeight="false" outlineLevel="0" collapsed="false">
      <c r="A811" s="2" t="n">
        <v>4.7</v>
      </c>
    </row>
    <row r="812" customFormat="false" ht="12.75" hidden="false" customHeight="false" outlineLevel="0" collapsed="false">
      <c r="A812" s="2" t="n">
        <v>0.8</v>
      </c>
    </row>
    <row r="813" customFormat="false" ht="12.75" hidden="false" customHeight="false" outlineLevel="0" collapsed="false">
      <c r="A813" s="2" t="n">
        <v>19513</v>
      </c>
    </row>
    <row r="814" customFormat="false" ht="12.75" hidden="false" customHeight="false" outlineLevel="0" collapsed="false">
      <c r="A814" s="2" t="n">
        <v>2615</v>
      </c>
    </row>
    <row r="815" customFormat="false" ht="12.75" hidden="false" customHeight="false" outlineLevel="0" collapsed="false">
      <c r="A815" s="2" t="n">
        <v>1</v>
      </c>
    </row>
    <row r="816" customFormat="false" ht="12.75" hidden="false" customHeight="false" outlineLevel="0" collapsed="false">
      <c r="A816" s="2" t="n">
        <v>37</v>
      </c>
    </row>
    <row r="817" customFormat="false" ht="12.75" hidden="false" customHeight="false" outlineLevel="0" collapsed="false">
      <c r="A817" s="2" t="n">
        <v>1</v>
      </c>
    </row>
    <row r="818" customFormat="false" ht="12.75" hidden="false" customHeight="false" outlineLevel="0" collapsed="false">
      <c r="A818" s="2" t="n">
        <v>0.5</v>
      </c>
    </row>
    <row r="819" customFormat="false" ht="12.75" hidden="false" customHeight="false" outlineLevel="0" collapsed="false">
      <c r="A819" s="2" t="n">
        <v>12</v>
      </c>
    </row>
    <row r="820" customFormat="false" ht="12.75" hidden="false" customHeight="false" outlineLevel="0" collapsed="false">
      <c r="A820" s="2" t="n">
        <v>6</v>
      </c>
    </row>
    <row r="821" customFormat="false" ht="12.75" hidden="false" customHeight="false" outlineLevel="0" collapsed="false">
      <c r="A821" s="2" t="n">
        <v>50</v>
      </c>
    </row>
    <row r="822" customFormat="false" ht="12.75" hidden="false" customHeight="false" outlineLevel="0" collapsed="false">
      <c r="A822" s="2" t="n">
        <v>13</v>
      </c>
    </row>
    <row r="823" customFormat="false" ht="12.75" hidden="false" customHeight="false" outlineLevel="0" collapsed="false">
      <c r="A823" s="2" t="n">
        <v>0.8</v>
      </c>
    </row>
    <row r="824" customFormat="false" ht="12.75" hidden="false" customHeight="false" outlineLevel="0" collapsed="false">
      <c r="A824" s="2" t="n">
        <v>0.1</v>
      </c>
    </row>
    <row r="825" customFormat="false" ht="12.75" hidden="false" customHeight="false" outlineLevel="0" collapsed="false">
      <c r="A825" s="2" t="n">
        <v>2.5</v>
      </c>
    </row>
    <row r="826" customFormat="false" ht="12.75" hidden="false" customHeight="false" outlineLevel="0" collapsed="false">
      <c r="A826" s="2" t="n">
        <v>114.5</v>
      </c>
    </row>
    <row r="827" customFormat="false" ht="12.75" hidden="false" customHeight="false" outlineLevel="0" collapsed="false">
      <c r="A827" s="2" t="n">
        <v>2.5</v>
      </c>
    </row>
    <row r="828" customFormat="false" ht="12.75" hidden="false" customHeight="false" outlineLevel="0" collapsed="false">
      <c r="A828" s="2" t="n">
        <v>6397</v>
      </c>
    </row>
    <row r="829" customFormat="false" ht="12.75" hidden="false" customHeight="false" outlineLevel="0" collapsed="false">
      <c r="A829" s="2" t="n">
        <v>265</v>
      </c>
    </row>
    <row r="830" customFormat="false" ht="12.75" hidden="false" customHeight="false" outlineLevel="0" collapsed="false">
      <c r="A830" s="2" t="n">
        <v>25049.5</v>
      </c>
    </row>
    <row r="831" customFormat="false" ht="12.75" hidden="false" customHeight="false" outlineLevel="0" collapsed="false">
      <c r="A831" s="2" t="n">
        <v>407</v>
      </c>
    </row>
    <row r="832" customFormat="false" ht="12.75" hidden="false" customHeight="false" outlineLevel="0" collapsed="false">
      <c r="A832" s="2" t="n">
        <v>375</v>
      </c>
    </row>
    <row r="833" customFormat="false" ht="12.75" hidden="false" customHeight="false" outlineLevel="0" collapsed="false">
      <c r="A833" s="2" t="n">
        <v>100</v>
      </c>
    </row>
    <row r="834" customFormat="false" ht="12.75" hidden="false" customHeight="false" outlineLevel="0" collapsed="false">
      <c r="A834" s="2" t="n">
        <v>232.9</v>
      </c>
    </row>
    <row r="835" customFormat="false" ht="12.75" hidden="false" customHeight="false" outlineLevel="0" collapsed="false">
      <c r="A835" s="2" t="n">
        <v>9972</v>
      </c>
    </row>
    <row r="836" customFormat="false" ht="12.75" hidden="false" customHeight="false" outlineLevel="0" collapsed="false">
      <c r="A836" s="2" t="n">
        <v>32</v>
      </c>
    </row>
    <row r="837" customFormat="false" ht="12.75" hidden="false" customHeight="false" outlineLevel="0" collapsed="false">
      <c r="A837" s="2" t="n">
        <v>2</v>
      </c>
    </row>
    <row r="838" customFormat="false" ht="12.75" hidden="false" customHeight="false" outlineLevel="0" collapsed="false">
      <c r="A838" s="2" t="n">
        <v>37</v>
      </c>
    </row>
    <row r="839" customFormat="false" ht="12.75" hidden="false" customHeight="false" outlineLevel="0" collapsed="false">
      <c r="A839" s="2" t="n">
        <v>309</v>
      </c>
    </row>
    <row r="840" customFormat="false" ht="12.75" hidden="false" customHeight="false" outlineLevel="0" collapsed="false">
      <c r="A840" s="2" t="n">
        <v>1</v>
      </c>
    </row>
    <row r="841" customFormat="false" ht="12.75" hidden="false" customHeight="false" outlineLevel="0" collapsed="false">
      <c r="A841" s="2" t="n">
        <v>10461</v>
      </c>
    </row>
    <row r="842" customFormat="false" ht="12.75" hidden="false" customHeight="false" outlineLevel="0" collapsed="false">
      <c r="A842" s="2" t="n">
        <v>95.7</v>
      </c>
    </row>
    <row r="843" customFormat="false" ht="12.75" hidden="false" customHeight="false" outlineLevel="0" collapsed="false">
      <c r="A843" s="2" t="n">
        <v>2970</v>
      </c>
    </row>
    <row r="844" customFormat="false" ht="12.75" hidden="false" customHeight="false" outlineLevel="0" collapsed="false">
      <c r="A844" s="2" t="n">
        <v>9630</v>
      </c>
    </row>
    <row r="845" customFormat="false" ht="12.75" hidden="false" customHeight="false" outlineLevel="0" collapsed="false">
      <c r="A845" s="2" t="n">
        <v>319</v>
      </c>
    </row>
    <row r="846" customFormat="false" ht="12.75" hidden="false" customHeight="false" outlineLevel="0" collapsed="false">
      <c r="A846" s="2" t="n">
        <v>23.7</v>
      </c>
    </row>
    <row r="847" customFormat="false" ht="12.75" hidden="false" customHeight="false" outlineLevel="0" collapsed="false">
      <c r="A847" s="2" t="n">
        <v>11300</v>
      </c>
    </row>
    <row r="848" customFormat="false" ht="12.75" hidden="false" customHeight="false" outlineLevel="0" collapsed="false">
      <c r="A848" s="2" t="n">
        <v>2677</v>
      </c>
    </row>
    <row r="849" customFormat="false" ht="12.75" hidden="false" customHeight="false" outlineLevel="0" collapsed="false">
      <c r="A849" s="2" t="n">
        <v>12315</v>
      </c>
    </row>
    <row r="850" customFormat="false" ht="12.75" hidden="false" customHeight="false" outlineLevel="0" collapsed="false">
      <c r="A850" s="2" t="n">
        <v>0.1</v>
      </c>
    </row>
    <row r="851" customFormat="false" ht="12.75" hidden="false" customHeight="false" outlineLevel="0" collapsed="false">
      <c r="A851" s="2" t="n">
        <v>0.1</v>
      </c>
    </row>
    <row r="852" customFormat="false" ht="12.75" hidden="false" customHeight="false" outlineLevel="0" collapsed="false">
      <c r="A852" s="2" t="n">
        <v>15727</v>
      </c>
    </row>
    <row r="853" customFormat="false" ht="12.75" hidden="false" customHeight="false" outlineLevel="0" collapsed="false">
      <c r="A853" s="2" t="n">
        <v>26.8</v>
      </c>
    </row>
    <row r="854" customFormat="false" ht="12.75" hidden="false" customHeight="false" outlineLevel="0" collapsed="false">
      <c r="A854" s="2" t="n">
        <v>4587</v>
      </c>
    </row>
    <row r="855" customFormat="false" ht="12.75" hidden="false" customHeight="false" outlineLevel="0" collapsed="false">
      <c r="A855" s="2" t="n">
        <v>1500</v>
      </c>
    </row>
    <row r="856" customFormat="false" ht="12.75" hidden="false" customHeight="false" outlineLevel="0" collapsed="false">
      <c r="A856" s="2" t="n">
        <v>0.1</v>
      </c>
    </row>
    <row r="857" customFormat="false" ht="12.75" hidden="false" customHeight="false" outlineLevel="0" collapsed="false">
      <c r="A857" s="2" t="n">
        <v>9.8</v>
      </c>
    </row>
    <row r="858" customFormat="false" ht="12.75" hidden="false" customHeight="false" outlineLevel="0" collapsed="false">
      <c r="A858" s="2" t="n">
        <v>1083</v>
      </c>
    </row>
    <row r="859" customFormat="false" ht="12.75" hidden="false" customHeight="false" outlineLevel="0" collapsed="false">
      <c r="A859" s="2" t="n">
        <v>4</v>
      </c>
    </row>
    <row r="860" customFormat="false" ht="12.75" hidden="false" customHeight="false" outlineLevel="0" collapsed="false">
      <c r="A860" s="2" t="n">
        <v>174</v>
      </c>
    </row>
    <row r="861" customFormat="false" ht="12.75" hidden="false" customHeight="false" outlineLevel="0" collapsed="false">
      <c r="A861" s="2" t="n">
        <v>7878</v>
      </c>
    </row>
    <row r="862" customFormat="false" ht="12.75" hidden="false" customHeight="false" outlineLevel="0" collapsed="false">
      <c r="A862" s="2" t="n">
        <v>1</v>
      </c>
    </row>
    <row r="863" customFormat="false" ht="12.75" hidden="false" customHeight="false" outlineLevel="0" collapsed="false">
      <c r="A863" s="2" t="n">
        <v>403</v>
      </c>
    </row>
    <row r="864" customFormat="false" ht="12.75" hidden="false" customHeight="false" outlineLevel="0" collapsed="false">
      <c r="A864" s="2" t="n">
        <v>13089</v>
      </c>
    </row>
    <row r="865" customFormat="false" ht="12.75" hidden="false" customHeight="false" outlineLevel="0" collapsed="false">
      <c r="A865" s="2" t="n">
        <v>0.2</v>
      </c>
    </row>
    <row r="866" customFormat="false" ht="12.75" hidden="false" customHeight="false" outlineLevel="0" collapsed="false">
      <c r="A866" s="2" t="n">
        <v>3779</v>
      </c>
    </row>
    <row r="867" customFormat="false" ht="12.75" hidden="false" customHeight="false" outlineLevel="0" collapsed="false">
      <c r="A867" s="2" t="n">
        <v>137</v>
      </c>
    </row>
    <row r="868" customFormat="false" ht="12.75" hidden="false" customHeight="false" outlineLevel="0" collapsed="false">
      <c r="A868" s="2" t="n">
        <v>0</v>
      </c>
    </row>
    <row r="869" customFormat="false" ht="12.75" hidden="false" customHeight="false" outlineLevel="0" collapsed="false">
      <c r="A869" s="2" t="n">
        <v>47</v>
      </c>
    </row>
    <row r="870" customFormat="false" ht="12.75" hidden="false" customHeight="false" outlineLevel="0" collapsed="false">
      <c r="A870" s="2" t="n">
        <v>25</v>
      </c>
    </row>
    <row r="871" customFormat="false" ht="12.75" hidden="false" customHeight="false" outlineLevel="0" collapsed="false">
      <c r="A871" s="2" t="n">
        <v>10</v>
      </c>
    </row>
    <row r="872" customFormat="false" ht="12.75" hidden="false" customHeight="false" outlineLevel="0" collapsed="false">
      <c r="A872" s="2" t="n">
        <v>4</v>
      </c>
    </row>
    <row r="873" customFormat="false" ht="12.75" hidden="false" customHeight="false" outlineLevel="0" collapsed="false">
      <c r="A873" s="2" t="n">
        <v>50</v>
      </c>
    </row>
    <row r="874" customFormat="false" ht="12.75" hidden="false" customHeight="false" outlineLevel="0" collapsed="false">
      <c r="A874" s="2" t="n">
        <v>80</v>
      </c>
    </row>
    <row r="875" customFormat="false" ht="12.75" hidden="false" customHeight="false" outlineLevel="0" collapsed="false">
      <c r="A875" s="2" t="n">
        <v>14</v>
      </c>
    </row>
    <row r="876" customFormat="false" ht="12.75" hidden="false" customHeight="false" outlineLevel="0" collapsed="false">
      <c r="A876" s="2" t="n">
        <v>4</v>
      </c>
    </row>
    <row r="877" customFormat="false" ht="12.75" hidden="false" customHeight="false" outlineLevel="0" collapsed="false">
      <c r="A877" s="2" t="n">
        <v>35</v>
      </c>
    </row>
    <row r="878" customFormat="false" ht="12.75" hidden="false" customHeight="false" outlineLevel="0" collapsed="false">
      <c r="A878" s="2" t="n">
        <v>5</v>
      </c>
    </row>
    <row r="879" customFormat="false" ht="12.75" hidden="false" customHeight="false" outlineLevel="0" collapsed="false">
      <c r="A879" s="2" t="n">
        <v>1.5</v>
      </c>
    </row>
    <row r="880" customFormat="false" ht="12.75" hidden="false" customHeight="false" outlineLevel="0" collapsed="false">
      <c r="A880" s="2" t="n">
        <v>13</v>
      </c>
    </row>
    <row r="881" customFormat="false" ht="12.75" hidden="false" customHeight="false" outlineLevel="0" collapsed="false">
      <c r="A881" s="2" t="n">
        <v>2</v>
      </c>
    </row>
    <row r="882" customFormat="false" ht="12.75" hidden="false" customHeight="false" outlineLevel="0" collapsed="false">
      <c r="A882" s="2" t="n">
        <v>82</v>
      </c>
    </row>
    <row r="883" customFormat="false" ht="12.75" hidden="false" customHeight="false" outlineLevel="0" collapsed="false">
      <c r="A883" s="2" t="n">
        <v>5</v>
      </c>
    </row>
    <row r="884" customFormat="false" ht="12.75" hidden="false" customHeight="false" outlineLevel="0" collapsed="false">
      <c r="A884" s="2" t="n">
        <v>0.09</v>
      </c>
    </row>
    <row r="885" customFormat="false" ht="12.75" hidden="false" customHeight="false" outlineLevel="0" collapsed="false">
      <c r="A885" s="2" t="n">
        <v>0.5</v>
      </c>
    </row>
    <row r="886" customFormat="false" ht="12.75" hidden="false" customHeight="false" outlineLevel="0" collapsed="false">
      <c r="A886" s="2" t="n">
        <v>150</v>
      </c>
    </row>
    <row r="887" customFormat="false" ht="12.75" hidden="false" customHeight="false" outlineLevel="0" collapsed="false">
      <c r="A887" s="2" t="n">
        <v>3</v>
      </c>
    </row>
    <row r="888" customFormat="false" ht="12.75" hidden="false" customHeight="false" outlineLevel="0" collapsed="false">
      <c r="A888" s="2" t="n">
        <v>3</v>
      </c>
    </row>
    <row r="889" customFormat="false" ht="12.75" hidden="false" customHeight="false" outlineLevel="0" collapsed="false">
      <c r="A889" s="2" t="n">
        <v>950</v>
      </c>
    </row>
    <row r="890" customFormat="false" ht="12.75" hidden="false" customHeight="false" outlineLevel="0" collapsed="false">
      <c r="A890" s="2" t="n">
        <v>1</v>
      </c>
    </row>
  </sheetData>
  <mergeCells count="1">
    <mergeCell ref="C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N9" activeCellId="0" sqref="N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7.57"/>
    <col collapsed="false" customWidth="true" hidden="false" outlineLevel="0" max="3" min="2" style="1" width="15.49"/>
    <col collapsed="false" customWidth="true" hidden="false" outlineLevel="0" max="5" min="5" style="1" width="11.17"/>
  </cols>
  <sheetData>
    <row r="1" customFormat="false" ht="12.8" hidden="false" customHeight="false" outlineLevel="0" collapsed="false">
      <c r="A1" s="2" t="s">
        <v>6</v>
      </c>
    </row>
    <row r="2" customFormat="false" ht="12.8" hidden="false" customHeight="false" outlineLevel="0" collapsed="false">
      <c r="A2" s="2" t="s">
        <v>28</v>
      </c>
      <c r="C2" s="18" t="s">
        <v>3553</v>
      </c>
      <c r="D2" s="18" t="s">
        <v>3542</v>
      </c>
      <c r="E2" s="18" t="s">
        <v>3554</v>
      </c>
    </row>
    <row r="3" customFormat="false" ht="12.8" hidden="false" customHeight="false" outlineLevel="0" collapsed="false">
      <c r="A3" s="2" t="s">
        <v>36</v>
      </c>
      <c r="C3" s="20" t="s">
        <v>28</v>
      </c>
      <c r="D3" s="20" t="n">
        <f aca="false">COUNTIF(A2:A890, C3)</f>
        <v>818</v>
      </c>
      <c r="E3" s="27" t="n">
        <f aca="false">(D3/D7)*100</f>
        <v>92.1171171171171</v>
      </c>
    </row>
    <row r="4" customFormat="false" ht="12.8" hidden="false" customHeight="false" outlineLevel="0" collapsed="false">
      <c r="A4" s="2" t="s">
        <v>28</v>
      </c>
      <c r="C4" s="20" t="s">
        <v>84</v>
      </c>
      <c r="D4" s="20" t="n">
        <f aca="false">COUNTIF(A3:A891, C4)</f>
        <v>52</v>
      </c>
      <c r="E4" s="27" t="n">
        <f aca="false">(D4/D$7)*100</f>
        <v>5.85585585585586</v>
      </c>
    </row>
    <row r="5" customFormat="false" ht="12.8" hidden="false" customHeight="false" outlineLevel="0" collapsed="false">
      <c r="A5" s="2" t="s">
        <v>36</v>
      </c>
      <c r="C5" s="20" t="s">
        <v>36</v>
      </c>
      <c r="D5" s="20" t="n">
        <f aca="false">COUNTIF(A4:A892, C5)</f>
        <v>18</v>
      </c>
      <c r="E5" s="27" t="n">
        <f aca="false">(D5/D$7)*100</f>
        <v>2.02702702702703</v>
      </c>
    </row>
    <row r="6" customFormat="false" ht="12.8" hidden="false" customHeight="false" outlineLevel="0" collapsed="false">
      <c r="A6" s="2" t="s">
        <v>28</v>
      </c>
      <c r="C6" s="20"/>
      <c r="D6" s="20"/>
      <c r="E6" s="20"/>
    </row>
    <row r="7" customFormat="false" ht="12.8" hidden="false" customHeight="false" outlineLevel="0" collapsed="false">
      <c r="A7" s="2" t="s">
        <v>28</v>
      </c>
      <c r="C7" s="18" t="s">
        <v>3555</v>
      </c>
      <c r="D7" s="20" t="n">
        <f aca="false">SUM(D3:D5)</f>
        <v>888</v>
      </c>
      <c r="E7" s="20"/>
    </row>
    <row r="8" customFormat="false" ht="12.8" hidden="false" customHeight="false" outlineLevel="0" collapsed="false">
      <c r="A8" s="2" t="s">
        <v>28</v>
      </c>
    </row>
    <row r="9" customFormat="false" ht="12.8" hidden="false" customHeight="false" outlineLevel="0" collapsed="false">
      <c r="A9" s="2" t="s">
        <v>28</v>
      </c>
    </row>
    <row r="10" customFormat="false" ht="12.8" hidden="false" customHeight="false" outlineLevel="0" collapsed="false">
      <c r="A10" s="2" t="s">
        <v>28</v>
      </c>
    </row>
    <row r="11" customFormat="false" ht="12.8" hidden="false" customHeight="false" outlineLevel="0" collapsed="false">
      <c r="A11" s="2" t="s">
        <v>28</v>
      </c>
    </row>
    <row r="12" customFormat="false" ht="12.8" hidden="false" customHeight="false" outlineLevel="0" collapsed="false">
      <c r="A12" s="2" t="s">
        <v>36</v>
      </c>
    </row>
    <row r="13" customFormat="false" ht="12.8" hidden="false" customHeight="false" outlineLevel="0" collapsed="false">
      <c r="A13" s="2" t="s">
        <v>84</v>
      </c>
    </row>
    <row r="14" customFormat="false" ht="12.8" hidden="false" customHeight="false" outlineLevel="0" collapsed="false">
      <c r="A14" s="2" t="s">
        <v>84</v>
      </c>
    </row>
    <row r="15" customFormat="false" ht="12.8" hidden="false" customHeight="false" outlineLevel="0" collapsed="false">
      <c r="A15" s="2" t="s">
        <v>84</v>
      </c>
    </row>
    <row r="16" customFormat="false" ht="12.8" hidden="false" customHeight="false" outlineLevel="0" collapsed="false">
      <c r="A16" s="2" t="s">
        <v>28</v>
      </c>
    </row>
    <row r="17" customFormat="false" ht="12.8" hidden="false" customHeight="false" outlineLevel="0" collapsed="false">
      <c r="A17" s="2" t="s">
        <v>28</v>
      </c>
    </row>
    <row r="18" customFormat="false" ht="12.8" hidden="false" customHeight="false" outlineLevel="0" collapsed="false">
      <c r="A18" s="2" t="s">
        <v>28</v>
      </c>
    </row>
    <row r="19" customFormat="false" ht="12.8" hidden="false" customHeight="false" outlineLevel="0" collapsed="false">
      <c r="A19" s="2" t="s">
        <v>84</v>
      </c>
    </row>
    <row r="20" customFormat="false" ht="12.8" hidden="false" customHeight="false" outlineLevel="0" collapsed="false">
      <c r="A20" s="2" t="s">
        <v>84</v>
      </c>
    </row>
    <row r="21" customFormat="false" ht="12.8" hidden="false" customHeight="false" outlineLevel="0" collapsed="false">
      <c r="A21" s="2" t="s">
        <v>28</v>
      </c>
    </row>
    <row r="22" customFormat="false" ht="12.8" hidden="false" customHeight="false" outlineLevel="0" collapsed="false">
      <c r="A22" s="2" t="s">
        <v>28</v>
      </c>
    </row>
    <row r="23" customFormat="false" ht="12.8" hidden="false" customHeight="false" outlineLevel="0" collapsed="false">
      <c r="A23" s="2" t="s">
        <v>28</v>
      </c>
    </row>
    <row r="24" customFormat="false" ht="12.8" hidden="false" customHeight="false" outlineLevel="0" collapsed="false">
      <c r="A24" s="2" t="s">
        <v>84</v>
      </c>
    </row>
    <row r="25" customFormat="false" ht="12.8" hidden="false" customHeight="false" outlineLevel="0" collapsed="false">
      <c r="A25" s="2" t="s">
        <v>28</v>
      </c>
    </row>
    <row r="26" customFormat="false" ht="12.8" hidden="false" customHeight="false" outlineLevel="0" collapsed="false">
      <c r="A26" s="2" t="s">
        <v>28</v>
      </c>
    </row>
    <row r="27" customFormat="false" ht="12.8" hidden="false" customHeight="false" outlineLevel="0" collapsed="false">
      <c r="A27" s="2" t="s">
        <v>28</v>
      </c>
    </row>
    <row r="28" customFormat="false" ht="12.8" hidden="false" customHeight="false" outlineLevel="0" collapsed="false">
      <c r="A28" s="2" t="s">
        <v>28</v>
      </c>
    </row>
    <row r="29" customFormat="false" ht="12.8" hidden="false" customHeight="false" outlineLevel="0" collapsed="false">
      <c r="A29" s="2" t="s">
        <v>28</v>
      </c>
    </row>
    <row r="30" customFormat="false" ht="12.8" hidden="false" customHeight="false" outlineLevel="0" collapsed="false">
      <c r="A30" s="2" t="s">
        <v>28</v>
      </c>
    </row>
    <row r="31" customFormat="false" ht="12.8" hidden="false" customHeight="false" outlineLevel="0" collapsed="false">
      <c r="A31" s="2" t="s">
        <v>84</v>
      </c>
    </row>
    <row r="32" customFormat="false" ht="12.8" hidden="false" customHeight="false" outlineLevel="0" collapsed="false">
      <c r="A32" s="2" t="s">
        <v>84</v>
      </c>
    </row>
    <row r="33" customFormat="false" ht="12.8" hidden="false" customHeight="false" outlineLevel="0" collapsed="false">
      <c r="A33" s="2" t="s">
        <v>28</v>
      </c>
    </row>
    <row r="34" customFormat="false" ht="12.8" hidden="false" customHeight="false" outlineLevel="0" collapsed="false">
      <c r="A34" s="2" t="s">
        <v>28</v>
      </c>
    </row>
    <row r="35" customFormat="false" ht="12.8" hidden="false" customHeight="false" outlineLevel="0" collapsed="false">
      <c r="A35" s="2" t="s">
        <v>28</v>
      </c>
    </row>
    <row r="36" customFormat="false" ht="12.8" hidden="false" customHeight="false" outlineLevel="0" collapsed="false">
      <c r="A36" s="2" t="s">
        <v>28</v>
      </c>
    </row>
    <row r="37" customFormat="false" ht="12.8" hidden="false" customHeight="false" outlineLevel="0" collapsed="false">
      <c r="A37" s="2" t="s">
        <v>28</v>
      </c>
    </row>
    <row r="38" customFormat="false" ht="12.8" hidden="false" customHeight="false" outlineLevel="0" collapsed="false">
      <c r="A38" s="2" t="s">
        <v>28</v>
      </c>
    </row>
    <row r="39" customFormat="false" ht="12.8" hidden="false" customHeight="false" outlineLevel="0" collapsed="false">
      <c r="A39" s="2" t="s">
        <v>28</v>
      </c>
    </row>
    <row r="40" customFormat="false" ht="12.8" hidden="false" customHeight="false" outlineLevel="0" collapsed="false">
      <c r="A40" s="2" t="s">
        <v>28</v>
      </c>
    </row>
    <row r="41" customFormat="false" ht="12.8" hidden="false" customHeight="false" outlineLevel="0" collapsed="false">
      <c r="A41" s="2" t="s">
        <v>28</v>
      </c>
    </row>
    <row r="42" customFormat="false" ht="12.8" hidden="false" customHeight="false" outlineLevel="0" collapsed="false">
      <c r="A42" s="2" t="s">
        <v>28</v>
      </c>
    </row>
    <row r="43" customFormat="false" ht="12.8" hidden="false" customHeight="false" outlineLevel="0" collapsed="false">
      <c r="A43" s="2" t="s">
        <v>84</v>
      </c>
    </row>
    <row r="44" customFormat="false" ht="12.8" hidden="false" customHeight="false" outlineLevel="0" collapsed="false">
      <c r="A44" s="2" t="s">
        <v>84</v>
      </c>
    </row>
    <row r="45" customFormat="false" ht="12.8" hidden="false" customHeight="false" outlineLevel="0" collapsed="false">
      <c r="A45" s="2" t="s">
        <v>28</v>
      </c>
    </row>
    <row r="46" customFormat="false" ht="12.8" hidden="false" customHeight="false" outlineLevel="0" collapsed="false">
      <c r="A46" s="2" t="s">
        <v>84</v>
      </c>
    </row>
    <row r="47" customFormat="false" ht="12.8" hidden="false" customHeight="false" outlineLevel="0" collapsed="false">
      <c r="A47" s="2" t="s">
        <v>28</v>
      </c>
    </row>
    <row r="48" customFormat="false" ht="12.8" hidden="false" customHeight="false" outlineLevel="0" collapsed="false">
      <c r="A48" s="2" t="s">
        <v>28</v>
      </c>
    </row>
    <row r="49" customFormat="false" ht="12.8" hidden="false" customHeight="false" outlineLevel="0" collapsed="false">
      <c r="A49" s="2" t="s">
        <v>28</v>
      </c>
    </row>
    <row r="50" customFormat="false" ht="12.8" hidden="false" customHeight="false" outlineLevel="0" collapsed="false">
      <c r="A50" s="2" t="s">
        <v>28</v>
      </c>
    </row>
    <row r="51" customFormat="false" ht="12.8" hidden="false" customHeight="false" outlineLevel="0" collapsed="false">
      <c r="A51" s="2" t="s">
        <v>28</v>
      </c>
    </row>
    <row r="52" customFormat="false" ht="12.8" hidden="false" customHeight="false" outlineLevel="0" collapsed="false">
      <c r="A52" s="2" t="s">
        <v>28</v>
      </c>
    </row>
    <row r="53" customFormat="false" ht="12.8" hidden="false" customHeight="false" outlineLevel="0" collapsed="false">
      <c r="A53" s="2" t="s">
        <v>28</v>
      </c>
    </row>
    <row r="54" customFormat="false" ht="12.8" hidden="false" customHeight="false" outlineLevel="0" collapsed="false">
      <c r="A54" s="2" t="s">
        <v>28</v>
      </c>
    </row>
    <row r="55" customFormat="false" ht="12.8" hidden="false" customHeight="false" outlineLevel="0" collapsed="false">
      <c r="A55" s="2" t="s">
        <v>28</v>
      </c>
    </row>
    <row r="56" customFormat="false" ht="12.8" hidden="false" customHeight="false" outlineLevel="0" collapsed="false">
      <c r="A56" s="2" t="s">
        <v>28</v>
      </c>
    </row>
    <row r="57" customFormat="false" ht="12.8" hidden="false" customHeight="false" outlineLevel="0" collapsed="false">
      <c r="A57" s="2" t="s">
        <v>28</v>
      </c>
    </row>
    <row r="58" customFormat="false" ht="12.8" hidden="false" customHeight="false" outlineLevel="0" collapsed="false">
      <c r="A58" s="2" t="s">
        <v>28</v>
      </c>
    </row>
    <row r="59" customFormat="false" ht="12.8" hidden="false" customHeight="false" outlineLevel="0" collapsed="false">
      <c r="A59" s="2" t="s">
        <v>28</v>
      </c>
    </row>
    <row r="60" customFormat="false" ht="12.8" hidden="false" customHeight="false" outlineLevel="0" collapsed="false">
      <c r="A60" s="2" t="s">
        <v>28</v>
      </c>
    </row>
    <row r="61" customFormat="false" ht="12.8" hidden="false" customHeight="false" outlineLevel="0" collapsed="false">
      <c r="A61" s="2" t="s">
        <v>28</v>
      </c>
    </row>
    <row r="62" customFormat="false" ht="12.8" hidden="false" customHeight="false" outlineLevel="0" collapsed="false">
      <c r="A62" s="2" t="s">
        <v>28</v>
      </c>
    </row>
    <row r="63" customFormat="false" ht="12.8" hidden="false" customHeight="false" outlineLevel="0" collapsed="false">
      <c r="A63" s="2" t="s">
        <v>28</v>
      </c>
    </row>
    <row r="64" customFormat="false" ht="12.8" hidden="false" customHeight="false" outlineLevel="0" collapsed="false">
      <c r="A64" s="2" t="s">
        <v>28</v>
      </c>
    </row>
    <row r="65" customFormat="false" ht="12.8" hidden="false" customHeight="false" outlineLevel="0" collapsed="false">
      <c r="A65" s="2" t="s">
        <v>28</v>
      </c>
    </row>
    <row r="66" customFormat="false" ht="12.8" hidden="false" customHeight="false" outlineLevel="0" collapsed="false">
      <c r="A66" s="2" t="s">
        <v>28</v>
      </c>
    </row>
    <row r="67" customFormat="false" ht="12.8" hidden="false" customHeight="false" outlineLevel="0" collapsed="false">
      <c r="A67" s="2" t="s">
        <v>28</v>
      </c>
    </row>
    <row r="68" customFormat="false" ht="12.8" hidden="false" customHeight="false" outlineLevel="0" collapsed="false">
      <c r="A68" s="2" t="s">
        <v>84</v>
      </c>
    </row>
    <row r="69" customFormat="false" ht="12.8" hidden="false" customHeight="false" outlineLevel="0" collapsed="false">
      <c r="A69" s="2" t="s">
        <v>28</v>
      </c>
    </row>
    <row r="70" customFormat="false" ht="12.8" hidden="false" customHeight="false" outlineLevel="0" collapsed="false">
      <c r="A70" s="2" t="s">
        <v>28</v>
      </c>
    </row>
    <row r="71" customFormat="false" ht="12.8" hidden="false" customHeight="false" outlineLevel="0" collapsed="false">
      <c r="A71" s="2" t="s">
        <v>28</v>
      </c>
    </row>
    <row r="72" customFormat="false" ht="12.8" hidden="false" customHeight="false" outlineLevel="0" collapsed="false">
      <c r="A72" s="2" t="s">
        <v>28</v>
      </c>
    </row>
    <row r="73" customFormat="false" ht="12.8" hidden="false" customHeight="false" outlineLevel="0" collapsed="false">
      <c r="A73" s="2" t="s">
        <v>84</v>
      </c>
    </row>
    <row r="74" customFormat="false" ht="12.8" hidden="false" customHeight="false" outlineLevel="0" collapsed="false">
      <c r="A74" s="2" t="s">
        <v>28</v>
      </c>
    </row>
    <row r="75" customFormat="false" ht="12.8" hidden="false" customHeight="false" outlineLevel="0" collapsed="false">
      <c r="A75" s="2" t="s">
        <v>28</v>
      </c>
    </row>
    <row r="76" customFormat="false" ht="12.8" hidden="false" customHeight="false" outlineLevel="0" collapsed="false">
      <c r="A76" s="2" t="s">
        <v>28</v>
      </c>
    </row>
    <row r="77" customFormat="false" ht="12.8" hidden="false" customHeight="false" outlineLevel="0" collapsed="false">
      <c r="A77" s="2" t="s">
        <v>84</v>
      </c>
    </row>
    <row r="78" customFormat="false" ht="12.8" hidden="false" customHeight="false" outlineLevel="0" collapsed="false">
      <c r="A78" s="2" t="s">
        <v>28</v>
      </c>
    </row>
    <row r="79" customFormat="false" ht="12.8" hidden="false" customHeight="false" outlineLevel="0" collapsed="false">
      <c r="A79" s="2" t="s">
        <v>84</v>
      </c>
    </row>
    <row r="80" customFormat="false" ht="12.8" hidden="false" customHeight="false" outlineLevel="0" collapsed="false">
      <c r="A80" s="2" t="s">
        <v>28</v>
      </c>
    </row>
    <row r="81" customFormat="false" ht="12.8" hidden="false" customHeight="false" outlineLevel="0" collapsed="false">
      <c r="A81" s="2" t="s">
        <v>28</v>
      </c>
    </row>
    <row r="82" customFormat="false" ht="12.8" hidden="false" customHeight="false" outlineLevel="0" collapsed="false">
      <c r="A82" s="2" t="s">
        <v>28</v>
      </c>
    </row>
    <row r="83" customFormat="false" ht="12.8" hidden="false" customHeight="false" outlineLevel="0" collapsed="false">
      <c r="A83" s="2" t="s">
        <v>28</v>
      </c>
    </row>
    <row r="84" customFormat="false" ht="12.8" hidden="false" customHeight="false" outlineLevel="0" collapsed="false">
      <c r="A84" s="2" t="s">
        <v>28</v>
      </c>
    </row>
    <row r="85" customFormat="false" ht="12.8" hidden="false" customHeight="false" outlineLevel="0" collapsed="false">
      <c r="A85" s="2" t="s">
        <v>28</v>
      </c>
    </row>
    <row r="86" customFormat="false" ht="12.8" hidden="false" customHeight="false" outlineLevel="0" collapsed="false">
      <c r="A86" s="2" t="s">
        <v>28</v>
      </c>
    </row>
    <row r="87" customFormat="false" ht="12.8" hidden="false" customHeight="false" outlineLevel="0" collapsed="false">
      <c r="A87" s="2" t="s">
        <v>28</v>
      </c>
    </row>
    <row r="88" customFormat="false" ht="12.8" hidden="false" customHeight="false" outlineLevel="0" collapsed="false">
      <c r="A88" s="2" t="s">
        <v>28</v>
      </c>
    </row>
    <row r="89" customFormat="false" ht="12.8" hidden="false" customHeight="false" outlineLevel="0" collapsed="false">
      <c r="A89" s="2" t="s">
        <v>28</v>
      </c>
    </row>
    <row r="90" customFormat="false" ht="12.8" hidden="false" customHeight="false" outlineLevel="0" collapsed="false">
      <c r="A90" s="2" t="s">
        <v>28</v>
      </c>
    </row>
    <row r="91" customFormat="false" ht="12.8" hidden="false" customHeight="false" outlineLevel="0" collapsed="false">
      <c r="A91" s="2" t="s">
        <v>84</v>
      </c>
    </row>
    <row r="92" customFormat="false" ht="12.8" hidden="false" customHeight="false" outlineLevel="0" collapsed="false">
      <c r="A92" s="2" t="s">
        <v>84</v>
      </c>
    </row>
    <row r="93" customFormat="false" ht="12.8" hidden="false" customHeight="false" outlineLevel="0" collapsed="false">
      <c r="A93" s="2" t="s">
        <v>28</v>
      </c>
    </row>
    <row r="94" customFormat="false" ht="12.8" hidden="false" customHeight="false" outlineLevel="0" collapsed="false">
      <c r="A94" s="2" t="s">
        <v>28</v>
      </c>
    </row>
    <row r="95" customFormat="false" ht="12.8" hidden="false" customHeight="false" outlineLevel="0" collapsed="false">
      <c r="A95" s="2" t="s">
        <v>28</v>
      </c>
    </row>
    <row r="96" customFormat="false" ht="12.8" hidden="false" customHeight="false" outlineLevel="0" collapsed="false">
      <c r="A96" s="2" t="s">
        <v>28</v>
      </c>
    </row>
    <row r="97" customFormat="false" ht="12.8" hidden="false" customHeight="false" outlineLevel="0" collapsed="false">
      <c r="A97" s="2" t="s">
        <v>28</v>
      </c>
    </row>
    <row r="98" customFormat="false" ht="12.8" hidden="false" customHeight="false" outlineLevel="0" collapsed="false">
      <c r="A98" s="2" t="s">
        <v>84</v>
      </c>
    </row>
    <row r="99" customFormat="false" ht="12.8" hidden="false" customHeight="false" outlineLevel="0" collapsed="false">
      <c r="A99" s="2" t="s">
        <v>84</v>
      </c>
    </row>
    <row r="100" customFormat="false" ht="12.8" hidden="false" customHeight="false" outlineLevel="0" collapsed="false">
      <c r="A100" s="2" t="s">
        <v>84</v>
      </c>
    </row>
    <row r="101" customFormat="false" ht="12.8" hidden="false" customHeight="false" outlineLevel="0" collapsed="false">
      <c r="A101" s="2" t="s">
        <v>84</v>
      </c>
    </row>
    <row r="102" customFormat="false" ht="12.8" hidden="false" customHeight="false" outlineLevel="0" collapsed="false">
      <c r="A102" s="2" t="s">
        <v>84</v>
      </c>
    </row>
    <row r="103" customFormat="false" ht="12.8" hidden="false" customHeight="false" outlineLevel="0" collapsed="false">
      <c r="A103" s="2" t="s">
        <v>84</v>
      </c>
    </row>
    <row r="104" customFormat="false" ht="12.8" hidden="false" customHeight="false" outlineLevel="0" collapsed="false">
      <c r="A104" s="2" t="s">
        <v>28</v>
      </c>
    </row>
    <row r="105" customFormat="false" ht="12.8" hidden="false" customHeight="false" outlineLevel="0" collapsed="false">
      <c r="A105" s="2" t="s">
        <v>28</v>
      </c>
    </row>
    <row r="106" customFormat="false" ht="12.8" hidden="false" customHeight="false" outlineLevel="0" collapsed="false">
      <c r="A106" s="2" t="s">
        <v>28</v>
      </c>
    </row>
    <row r="107" customFormat="false" ht="12.8" hidden="false" customHeight="false" outlineLevel="0" collapsed="false">
      <c r="A107" s="2" t="s">
        <v>28</v>
      </c>
    </row>
    <row r="108" customFormat="false" ht="12.8" hidden="false" customHeight="false" outlineLevel="0" collapsed="false">
      <c r="A108" s="2" t="s">
        <v>28</v>
      </c>
    </row>
    <row r="109" customFormat="false" ht="12.8" hidden="false" customHeight="false" outlineLevel="0" collapsed="false">
      <c r="A109" s="2" t="s">
        <v>28</v>
      </c>
    </row>
    <row r="110" customFormat="false" ht="12.8" hidden="false" customHeight="false" outlineLevel="0" collapsed="false">
      <c r="A110" s="2" t="s">
        <v>28</v>
      </c>
    </row>
    <row r="111" customFormat="false" ht="12.8" hidden="false" customHeight="false" outlineLevel="0" collapsed="false">
      <c r="A111" s="2" t="s">
        <v>28</v>
      </c>
    </row>
    <row r="112" customFormat="false" ht="12.8" hidden="false" customHeight="false" outlineLevel="0" collapsed="false">
      <c r="A112" s="2" t="s">
        <v>28</v>
      </c>
    </row>
    <row r="113" customFormat="false" ht="12.8" hidden="false" customHeight="false" outlineLevel="0" collapsed="false">
      <c r="A113" s="2" t="s">
        <v>28</v>
      </c>
    </row>
    <row r="114" customFormat="false" ht="12.8" hidden="false" customHeight="false" outlineLevel="0" collapsed="false">
      <c r="A114" s="2" t="s">
        <v>28</v>
      </c>
    </row>
    <row r="115" customFormat="false" ht="12.8" hidden="false" customHeight="false" outlineLevel="0" collapsed="false">
      <c r="A115" s="2" t="s">
        <v>28</v>
      </c>
    </row>
    <row r="116" customFormat="false" ht="12.8" hidden="false" customHeight="false" outlineLevel="0" collapsed="false">
      <c r="A116" s="2" t="s">
        <v>28</v>
      </c>
    </row>
    <row r="117" customFormat="false" ht="12.8" hidden="false" customHeight="false" outlineLevel="0" collapsed="false">
      <c r="A117" s="2" t="s">
        <v>28</v>
      </c>
    </row>
    <row r="118" customFormat="false" ht="12.8" hidden="false" customHeight="false" outlineLevel="0" collapsed="false">
      <c r="A118" s="2" t="s">
        <v>28</v>
      </c>
    </row>
    <row r="119" customFormat="false" ht="12.8" hidden="false" customHeight="false" outlineLevel="0" collapsed="false">
      <c r="A119" s="2" t="s">
        <v>28</v>
      </c>
    </row>
    <row r="120" customFormat="false" ht="12.8" hidden="false" customHeight="false" outlineLevel="0" collapsed="false">
      <c r="A120" s="2" t="s">
        <v>28</v>
      </c>
    </row>
    <row r="121" customFormat="false" ht="12.8" hidden="false" customHeight="false" outlineLevel="0" collapsed="false">
      <c r="A121" s="2" t="s">
        <v>28</v>
      </c>
    </row>
    <row r="122" customFormat="false" ht="12.8" hidden="false" customHeight="false" outlineLevel="0" collapsed="false">
      <c r="A122" s="2" t="s">
        <v>28</v>
      </c>
    </row>
    <row r="123" customFormat="false" ht="12.8" hidden="false" customHeight="false" outlineLevel="0" collapsed="false">
      <c r="A123" s="2" t="s">
        <v>28</v>
      </c>
    </row>
    <row r="124" customFormat="false" ht="12.8" hidden="false" customHeight="false" outlineLevel="0" collapsed="false">
      <c r="A124" s="2" t="s">
        <v>28</v>
      </c>
    </row>
    <row r="125" customFormat="false" ht="12.8" hidden="false" customHeight="false" outlineLevel="0" collapsed="false">
      <c r="A125" s="2" t="s">
        <v>36</v>
      </c>
    </row>
    <row r="126" customFormat="false" ht="12.8" hidden="false" customHeight="false" outlineLevel="0" collapsed="false">
      <c r="A126" s="2" t="s">
        <v>28</v>
      </c>
    </row>
    <row r="127" customFormat="false" ht="12.8" hidden="false" customHeight="false" outlineLevel="0" collapsed="false">
      <c r="A127" s="2" t="s">
        <v>28</v>
      </c>
    </row>
    <row r="128" customFormat="false" ht="12.8" hidden="false" customHeight="false" outlineLevel="0" collapsed="false">
      <c r="A128" s="2" t="s">
        <v>28</v>
      </c>
    </row>
    <row r="129" customFormat="false" ht="12.8" hidden="false" customHeight="false" outlineLevel="0" collapsed="false">
      <c r="A129" s="2" t="s">
        <v>28</v>
      </c>
    </row>
    <row r="130" customFormat="false" ht="12.8" hidden="false" customHeight="false" outlineLevel="0" collapsed="false">
      <c r="A130" s="2" t="s">
        <v>28</v>
      </c>
    </row>
    <row r="131" customFormat="false" ht="12.8" hidden="false" customHeight="false" outlineLevel="0" collapsed="false">
      <c r="A131" s="2" t="s">
        <v>28</v>
      </c>
    </row>
    <row r="132" customFormat="false" ht="12.8" hidden="false" customHeight="false" outlineLevel="0" collapsed="false">
      <c r="A132" s="2" t="s">
        <v>28</v>
      </c>
    </row>
    <row r="133" customFormat="false" ht="12.8" hidden="false" customHeight="false" outlineLevel="0" collapsed="false">
      <c r="A133" s="2" t="s">
        <v>28</v>
      </c>
    </row>
    <row r="134" customFormat="false" ht="12.8" hidden="false" customHeight="false" outlineLevel="0" collapsed="false">
      <c r="A134" s="2" t="s">
        <v>28</v>
      </c>
    </row>
    <row r="135" customFormat="false" ht="12.8" hidden="false" customHeight="false" outlineLevel="0" collapsed="false">
      <c r="A135" s="2" t="s">
        <v>28</v>
      </c>
    </row>
    <row r="136" customFormat="false" ht="12.8" hidden="false" customHeight="false" outlineLevel="0" collapsed="false">
      <c r="A136" s="2" t="s">
        <v>28</v>
      </c>
    </row>
    <row r="137" customFormat="false" ht="12.8" hidden="false" customHeight="false" outlineLevel="0" collapsed="false">
      <c r="A137" s="2" t="s">
        <v>28</v>
      </c>
    </row>
    <row r="138" customFormat="false" ht="12.8" hidden="false" customHeight="false" outlineLevel="0" collapsed="false">
      <c r="A138" s="2" t="s">
        <v>28</v>
      </c>
    </row>
    <row r="139" customFormat="false" ht="12.8" hidden="false" customHeight="false" outlineLevel="0" collapsed="false">
      <c r="A139" s="2" t="s">
        <v>28</v>
      </c>
    </row>
    <row r="140" customFormat="false" ht="12.8" hidden="false" customHeight="false" outlineLevel="0" collapsed="false">
      <c r="A140" s="2" t="s">
        <v>28</v>
      </c>
    </row>
    <row r="141" customFormat="false" ht="12.8" hidden="false" customHeight="false" outlineLevel="0" collapsed="false">
      <c r="A141" s="2" t="s">
        <v>28</v>
      </c>
    </row>
    <row r="142" customFormat="false" ht="12.8" hidden="false" customHeight="false" outlineLevel="0" collapsed="false">
      <c r="A142" s="2" t="s">
        <v>28</v>
      </c>
    </row>
    <row r="143" customFormat="false" ht="12.8" hidden="false" customHeight="false" outlineLevel="0" collapsed="false">
      <c r="A143" s="2" t="s">
        <v>28</v>
      </c>
    </row>
    <row r="144" customFormat="false" ht="12.8" hidden="false" customHeight="false" outlineLevel="0" collapsed="false">
      <c r="A144" s="2" t="s">
        <v>28</v>
      </c>
    </row>
    <row r="145" customFormat="false" ht="12.8" hidden="false" customHeight="false" outlineLevel="0" collapsed="false">
      <c r="A145" s="2" t="s">
        <v>28</v>
      </c>
    </row>
    <row r="146" customFormat="false" ht="12.8" hidden="false" customHeight="false" outlineLevel="0" collapsed="false">
      <c r="A146" s="2" t="s">
        <v>28</v>
      </c>
    </row>
    <row r="147" customFormat="false" ht="12.8" hidden="false" customHeight="false" outlineLevel="0" collapsed="false">
      <c r="A147" s="2" t="s">
        <v>28</v>
      </c>
    </row>
    <row r="148" customFormat="false" ht="12.8" hidden="false" customHeight="false" outlineLevel="0" collapsed="false">
      <c r="A148" s="2" t="s">
        <v>28</v>
      </c>
    </row>
    <row r="149" customFormat="false" ht="12.8" hidden="false" customHeight="false" outlineLevel="0" collapsed="false">
      <c r="A149" s="2" t="s">
        <v>28</v>
      </c>
    </row>
    <row r="150" customFormat="false" ht="12.8" hidden="false" customHeight="false" outlineLevel="0" collapsed="false">
      <c r="A150" s="2" t="s">
        <v>28</v>
      </c>
    </row>
    <row r="151" customFormat="false" ht="12.8" hidden="false" customHeight="false" outlineLevel="0" collapsed="false">
      <c r="A151" s="2" t="s">
        <v>28</v>
      </c>
    </row>
    <row r="152" customFormat="false" ht="12.8" hidden="false" customHeight="false" outlineLevel="0" collapsed="false">
      <c r="A152" s="2" t="s">
        <v>28</v>
      </c>
    </row>
    <row r="153" customFormat="false" ht="12.8" hidden="false" customHeight="false" outlineLevel="0" collapsed="false">
      <c r="A153" s="2" t="s">
        <v>28</v>
      </c>
    </row>
    <row r="154" customFormat="false" ht="12.8" hidden="false" customHeight="false" outlineLevel="0" collapsed="false">
      <c r="A154" s="2" t="s">
        <v>28</v>
      </c>
    </row>
    <row r="155" customFormat="false" ht="12.8" hidden="false" customHeight="false" outlineLevel="0" collapsed="false">
      <c r="A155" s="2" t="s">
        <v>28</v>
      </c>
    </row>
    <row r="156" customFormat="false" ht="12.8" hidden="false" customHeight="false" outlineLevel="0" collapsed="false">
      <c r="A156" s="2" t="s">
        <v>28</v>
      </c>
    </row>
    <row r="157" customFormat="false" ht="12.8" hidden="false" customHeight="false" outlineLevel="0" collapsed="false">
      <c r="A157" s="2" t="s">
        <v>28</v>
      </c>
    </row>
    <row r="158" customFormat="false" ht="12.8" hidden="false" customHeight="false" outlineLevel="0" collapsed="false">
      <c r="A158" s="2" t="s">
        <v>28</v>
      </c>
    </row>
    <row r="159" customFormat="false" ht="12.8" hidden="false" customHeight="false" outlineLevel="0" collapsed="false">
      <c r="A159" s="2" t="s">
        <v>28</v>
      </c>
    </row>
    <row r="160" customFormat="false" ht="12.8" hidden="false" customHeight="false" outlineLevel="0" collapsed="false">
      <c r="A160" s="2" t="s">
        <v>28</v>
      </c>
    </row>
    <row r="161" customFormat="false" ht="12.8" hidden="false" customHeight="false" outlineLevel="0" collapsed="false">
      <c r="A161" s="2" t="s">
        <v>28</v>
      </c>
    </row>
    <row r="162" customFormat="false" ht="12.8" hidden="false" customHeight="false" outlineLevel="0" collapsed="false">
      <c r="A162" s="2" t="s">
        <v>28</v>
      </c>
    </row>
    <row r="163" customFormat="false" ht="12.8" hidden="false" customHeight="false" outlineLevel="0" collapsed="false">
      <c r="A163" s="2" t="s">
        <v>28</v>
      </c>
    </row>
    <row r="164" customFormat="false" ht="12.8" hidden="false" customHeight="false" outlineLevel="0" collapsed="false">
      <c r="A164" s="2" t="s">
        <v>28</v>
      </c>
    </row>
    <row r="165" customFormat="false" ht="12.8" hidden="false" customHeight="false" outlineLevel="0" collapsed="false">
      <c r="A165" s="2" t="s">
        <v>28</v>
      </c>
    </row>
    <row r="166" customFormat="false" ht="12.8" hidden="false" customHeight="false" outlineLevel="0" collapsed="false">
      <c r="A166" s="2" t="s">
        <v>28</v>
      </c>
    </row>
    <row r="167" customFormat="false" ht="12.8" hidden="false" customHeight="false" outlineLevel="0" collapsed="false">
      <c r="A167" s="2" t="s">
        <v>28</v>
      </c>
    </row>
    <row r="168" customFormat="false" ht="12.8" hidden="false" customHeight="false" outlineLevel="0" collapsed="false">
      <c r="A168" s="2" t="s">
        <v>28</v>
      </c>
    </row>
    <row r="169" customFormat="false" ht="12.8" hidden="false" customHeight="false" outlineLevel="0" collapsed="false">
      <c r="A169" s="2" t="s">
        <v>28</v>
      </c>
    </row>
    <row r="170" customFormat="false" ht="12.8" hidden="false" customHeight="false" outlineLevel="0" collapsed="false">
      <c r="A170" s="2" t="s">
        <v>28</v>
      </c>
    </row>
    <row r="171" customFormat="false" ht="12.8" hidden="false" customHeight="false" outlineLevel="0" collapsed="false">
      <c r="A171" s="2" t="s">
        <v>28</v>
      </c>
    </row>
    <row r="172" customFormat="false" ht="12.8" hidden="false" customHeight="false" outlineLevel="0" collapsed="false">
      <c r="A172" s="2" t="s">
        <v>28</v>
      </c>
    </row>
    <row r="173" customFormat="false" ht="12.8" hidden="false" customHeight="false" outlineLevel="0" collapsed="false">
      <c r="A173" s="2" t="s">
        <v>28</v>
      </c>
    </row>
    <row r="174" customFormat="false" ht="12.8" hidden="false" customHeight="false" outlineLevel="0" collapsed="false">
      <c r="A174" s="2" t="s">
        <v>28</v>
      </c>
    </row>
    <row r="175" customFormat="false" ht="12.8" hidden="false" customHeight="false" outlineLevel="0" collapsed="false">
      <c r="A175" s="2" t="s">
        <v>28</v>
      </c>
    </row>
    <row r="176" customFormat="false" ht="12.8" hidden="false" customHeight="false" outlineLevel="0" collapsed="false">
      <c r="A176" s="2" t="s">
        <v>28</v>
      </c>
    </row>
    <row r="177" customFormat="false" ht="12.8" hidden="false" customHeight="false" outlineLevel="0" collapsed="false">
      <c r="A177" s="2" t="s">
        <v>28</v>
      </c>
    </row>
    <row r="178" customFormat="false" ht="12.8" hidden="false" customHeight="false" outlineLevel="0" collapsed="false">
      <c r="A178" s="2" t="s">
        <v>28</v>
      </c>
    </row>
    <row r="179" customFormat="false" ht="12.8" hidden="false" customHeight="false" outlineLevel="0" collapsed="false">
      <c r="A179" s="2" t="s">
        <v>28</v>
      </c>
    </row>
    <row r="180" customFormat="false" ht="12.8" hidden="false" customHeight="false" outlineLevel="0" collapsed="false">
      <c r="A180" s="2" t="s">
        <v>28</v>
      </c>
    </row>
    <row r="181" customFormat="false" ht="12.8" hidden="false" customHeight="false" outlineLevel="0" collapsed="false">
      <c r="A181" s="2" t="s">
        <v>28</v>
      </c>
    </row>
    <row r="182" customFormat="false" ht="12.8" hidden="false" customHeight="false" outlineLevel="0" collapsed="false">
      <c r="A182" s="2" t="s">
        <v>28</v>
      </c>
    </row>
    <row r="183" customFormat="false" ht="12.8" hidden="false" customHeight="false" outlineLevel="0" collapsed="false">
      <c r="A183" s="2" t="s">
        <v>28</v>
      </c>
    </row>
    <row r="184" customFormat="false" ht="12.8" hidden="false" customHeight="false" outlineLevel="0" collapsed="false">
      <c r="A184" s="2" t="s">
        <v>28</v>
      </c>
    </row>
    <row r="185" customFormat="false" ht="12.8" hidden="false" customHeight="false" outlineLevel="0" collapsed="false">
      <c r="A185" s="2" t="s">
        <v>28</v>
      </c>
    </row>
    <row r="186" customFormat="false" ht="12.8" hidden="false" customHeight="false" outlineLevel="0" collapsed="false">
      <c r="A186" s="2" t="s">
        <v>28</v>
      </c>
    </row>
    <row r="187" customFormat="false" ht="12.8" hidden="false" customHeight="false" outlineLevel="0" collapsed="false">
      <c r="A187" s="2" t="s">
        <v>28</v>
      </c>
    </row>
    <row r="188" customFormat="false" ht="12.8" hidden="false" customHeight="false" outlineLevel="0" collapsed="false">
      <c r="A188" s="2" t="s">
        <v>28</v>
      </c>
    </row>
    <row r="189" customFormat="false" ht="12.8" hidden="false" customHeight="false" outlineLevel="0" collapsed="false">
      <c r="A189" s="2" t="s">
        <v>28</v>
      </c>
    </row>
    <row r="190" customFormat="false" ht="12.8" hidden="false" customHeight="false" outlineLevel="0" collapsed="false">
      <c r="A190" s="2" t="s">
        <v>28</v>
      </c>
    </row>
    <row r="191" customFormat="false" ht="12.8" hidden="false" customHeight="false" outlineLevel="0" collapsed="false">
      <c r="A191" s="2" t="s">
        <v>28</v>
      </c>
    </row>
    <row r="192" customFormat="false" ht="12.8" hidden="false" customHeight="false" outlineLevel="0" collapsed="false">
      <c r="A192" s="2" t="s">
        <v>28</v>
      </c>
    </row>
    <row r="193" customFormat="false" ht="12.8" hidden="false" customHeight="false" outlineLevel="0" collapsed="false">
      <c r="A193" s="2" t="s">
        <v>28</v>
      </c>
    </row>
    <row r="194" customFormat="false" ht="12.8" hidden="false" customHeight="false" outlineLevel="0" collapsed="false">
      <c r="A194" s="2" t="s">
        <v>28</v>
      </c>
    </row>
    <row r="195" customFormat="false" ht="12.8" hidden="false" customHeight="false" outlineLevel="0" collapsed="false">
      <c r="A195" s="2" t="s">
        <v>28</v>
      </c>
    </row>
    <row r="196" customFormat="false" ht="12.8" hidden="false" customHeight="false" outlineLevel="0" collapsed="false">
      <c r="A196" s="2" t="s">
        <v>28</v>
      </c>
    </row>
    <row r="197" customFormat="false" ht="12.8" hidden="false" customHeight="false" outlineLevel="0" collapsed="false">
      <c r="A197" s="2" t="s">
        <v>28</v>
      </c>
    </row>
    <row r="198" customFormat="false" ht="12.8" hidden="false" customHeight="false" outlineLevel="0" collapsed="false">
      <c r="A198" s="2" t="s">
        <v>28</v>
      </c>
    </row>
    <row r="199" customFormat="false" ht="12.8" hidden="false" customHeight="false" outlineLevel="0" collapsed="false">
      <c r="A199" s="2" t="s">
        <v>28</v>
      </c>
    </row>
    <row r="200" customFormat="false" ht="12.8" hidden="false" customHeight="false" outlineLevel="0" collapsed="false">
      <c r="A200" s="2" t="s">
        <v>28</v>
      </c>
    </row>
    <row r="201" customFormat="false" ht="12.8" hidden="false" customHeight="false" outlineLevel="0" collapsed="false">
      <c r="A201" s="2" t="s">
        <v>28</v>
      </c>
    </row>
    <row r="202" customFormat="false" ht="12.8" hidden="false" customHeight="false" outlineLevel="0" collapsed="false">
      <c r="A202" s="2" t="s">
        <v>28</v>
      </c>
    </row>
    <row r="203" customFormat="false" ht="12.8" hidden="false" customHeight="false" outlineLevel="0" collapsed="false">
      <c r="A203" s="2" t="s">
        <v>28</v>
      </c>
    </row>
    <row r="204" customFormat="false" ht="12.8" hidden="false" customHeight="false" outlineLevel="0" collapsed="false">
      <c r="A204" s="2" t="s">
        <v>28</v>
      </c>
    </row>
    <row r="205" customFormat="false" ht="12.8" hidden="false" customHeight="false" outlineLevel="0" collapsed="false">
      <c r="A205" s="2" t="s">
        <v>28</v>
      </c>
    </row>
    <row r="206" customFormat="false" ht="12.8" hidden="false" customHeight="false" outlineLevel="0" collapsed="false">
      <c r="A206" s="2" t="s">
        <v>28</v>
      </c>
    </row>
    <row r="207" customFormat="false" ht="12.8" hidden="false" customHeight="false" outlineLevel="0" collapsed="false">
      <c r="A207" s="2" t="s">
        <v>28</v>
      </c>
    </row>
    <row r="208" customFormat="false" ht="12.8" hidden="false" customHeight="false" outlineLevel="0" collapsed="false">
      <c r="A208" s="2" t="s">
        <v>28</v>
      </c>
    </row>
    <row r="209" customFormat="false" ht="12.8" hidden="false" customHeight="false" outlineLevel="0" collapsed="false">
      <c r="A209" s="2" t="s">
        <v>28</v>
      </c>
    </row>
    <row r="210" customFormat="false" ht="12.8" hidden="false" customHeight="false" outlineLevel="0" collapsed="false">
      <c r="A210" s="2" t="s">
        <v>28</v>
      </c>
    </row>
    <row r="211" customFormat="false" ht="12.8" hidden="false" customHeight="false" outlineLevel="0" collapsed="false">
      <c r="A211" s="2" t="s">
        <v>28</v>
      </c>
    </row>
    <row r="212" customFormat="false" ht="12.8" hidden="false" customHeight="false" outlineLevel="0" collapsed="false">
      <c r="A212" s="2" t="s">
        <v>28</v>
      </c>
    </row>
    <row r="213" customFormat="false" ht="12.8" hidden="false" customHeight="false" outlineLevel="0" collapsed="false">
      <c r="A213" s="2" t="s">
        <v>28</v>
      </c>
    </row>
    <row r="214" customFormat="false" ht="12.8" hidden="false" customHeight="false" outlineLevel="0" collapsed="false">
      <c r="A214" s="2" t="s">
        <v>28</v>
      </c>
    </row>
    <row r="215" customFormat="false" ht="12.8" hidden="false" customHeight="false" outlineLevel="0" collapsed="false">
      <c r="A215" s="2" t="s">
        <v>28</v>
      </c>
    </row>
    <row r="216" customFormat="false" ht="12.8" hidden="false" customHeight="false" outlineLevel="0" collapsed="false">
      <c r="A216" s="2" t="s">
        <v>28</v>
      </c>
    </row>
    <row r="217" customFormat="false" ht="12.8" hidden="false" customHeight="false" outlineLevel="0" collapsed="false">
      <c r="A217" s="2" t="s">
        <v>28</v>
      </c>
    </row>
    <row r="218" customFormat="false" ht="12.8" hidden="false" customHeight="false" outlineLevel="0" collapsed="false">
      <c r="A218" s="2" t="s">
        <v>28</v>
      </c>
    </row>
    <row r="219" customFormat="false" ht="12.8" hidden="false" customHeight="false" outlineLevel="0" collapsed="false">
      <c r="A219" s="2" t="s">
        <v>28</v>
      </c>
    </row>
    <row r="220" customFormat="false" ht="12.8" hidden="false" customHeight="false" outlineLevel="0" collapsed="false">
      <c r="A220" s="2" t="s">
        <v>28</v>
      </c>
    </row>
    <row r="221" customFormat="false" ht="12.8" hidden="false" customHeight="false" outlineLevel="0" collapsed="false">
      <c r="A221" s="2" t="s">
        <v>28</v>
      </c>
    </row>
    <row r="222" customFormat="false" ht="12.8" hidden="false" customHeight="false" outlineLevel="0" collapsed="false">
      <c r="A222" s="2" t="s">
        <v>28</v>
      </c>
    </row>
    <row r="223" customFormat="false" ht="12.8" hidden="false" customHeight="false" outlineLevel="0" collapsed="false">
      <c r="A223" s="2" t="s">
        <v>28</v>
      </c>
    </row>
    <row r="224" customFormat="false" ht="12.8" hidden="false" customHeight="false" outlineLevel="0" collapsed="false">
      <c r="A224" s="2" t="s">
        <v>28</v>
      </c>
    </row>
    <row r="225" customFormat="false" ht="12.8" hidden="false" customHeight="false" outlineLevel="0" collapsed="false">
      <c r="A225" s="2" t="s">
        <v>28</v>
      </c>
    </row>
    <row r="226" customFormat="false" ht="12.8" hidden="false" customHeight="false" outlineLevel="0" collapsed="false">
      <c r="A226" s="2" t="s">
        <v>28</v>
      </c>
    </row>
    <row r="227" customFormat="false" ht="12.8" hidden="false" customHeight="false" outlineLevel="0" collapsed="false">
      <c r="A227" s="2" t="s">
        <v>28</v>
      </c>
    </row>
    <row r="228" customFormat="false" ht="12.8" hidden="false" customHeight="false" outlineLevel="0" collapsed="false">
      <c r="A228" s="2" t="s">
        <v>28</v>
      </c>
    </row>
    <row r="229" customFormat="false" ht="12.8" hidden="false" customHeight="false" outlineLevel="0" collapsed="false">
      <c r="A229" s="2" t="s">
        <v>28</v>
      </c>
    </row>
    <row r="230" customFormat="false" ht="12.8" hidden="false" customHeight="false" outlineLevel="0" collapsed="false">
      <c r="A230" s="2" t="s">
        <v>28</v>
      </c>
    </row>
    <row r="231" customFormat="false" ht="12.8" hidden="false" customHeight="false" outlineLevel="0" collapsed="false">
      <c r="A231" s="2" t="s">
        <v>28</v>
      </c>
    </row>
    <row r="232" customFormat="false" ht="12.8" hidden="false" customHeight="false" outlineLevel="0" collapsed="false">
      <c r="A232" s="2" t="s">
        <v>28</v>
      </c>
    </row>
    <row r="233" customFormat="false" ht="12.8" hidden="false" customHeight="false" outlineLevel="0" collapsed="false">
      <c r="A233" s="2" t="s">
        <v>28</v>
      </c>
    </row>
    <row r="234" customFormat="false" ht="12.8" hidden="false" customHeight="false" outlineLevel="0" collapsed="false">
      <c r="A234" s="2" t="s">
        <v>28</v>
      </c>
    </row>
    <row r="235" customFormat="false" ht="12.8" hidden="false" customHeight="false" outlineLevel="0" collapsed="false">
      <c r="A235" s="2" t="s">
        <v>28</v>
      </c>
    </row>
    <row r="236" customFormat="false" ht="12.8" hidden="false" customHeight="false" outlineLevel="0" collapsed="false">
      <c r="A236" s="2" t="s">
        <v>28</v>
      </c>
    </row>
    <row r="237" customFormat="false" ht="12.8" hidden="false" customHeight="false" outlineLevel="0" collapsed="false">
      <c r="A237" s="2" t="s">
        <v>28</v>
      </c>
    </row>
    <row r="238" customFormat="false" ht="12.8" hidden="false" customHeight="false" outlineLevel="0" collapsed="false">
      <c r="A238" s="2" t="s">
        <v>28</v>
      </c>
    </row>
    <row r="239" customFormat="false" ht="12.8" hidden="false" customHeight="false" outlineLevel="0" collapsed="false">
      <c r="A239" s="2" t="s">
        <v>28</v>
      </c>
    </row>
    <row r="240" customFormat="false" ht="12.8" hidden="false" customHeight="false" outlineLevel="0" collapsed="false">
      <c r="A240" s="2" t="s">
        <v>28</v>
      </c>
    </row>
    <row r="241" customFormat="false" ht="12.8" hidden="false" customHeight="false" outlineLevel="0" collapsed="false">
      <c r="A241" s="2" t="s">
        <v>28</v>
      </c>
    </row>
    <row r="242" customFormat="false" ht="12.8" hidden="false" customHeight="false" outlineLevel="0" collapsed="false">
      <c r="A242" s="2" t="s">
        <v>28</v>
      </c>
    </row>
    <row r="243" customFormat="false" ht="12.8" hidden="false" customHeight="false" outlineLevel="0" collapsed="false">
      <c r="A243" s="2" t="s">
        <v>28</v>
      </c>
    </row>
    <row r="244" customFormat="false" ht="12.8" hidden="false" customHeight="false" outlineLevel="0" collapsed="false">
      <c r="A244" s="2" t="s">
        <v>28</v>
      </c>
    </row>
    <row r="245" customFormat="false" ht="12.8" hidden="false" customHeight="false" outlineLevel="0" collapsed="false">
      <c r="A245" s="2" t="s">
        <v>28</v>
      </c>
    </row>
    <row r="246" customFormat="false" ht="12.8" hidden="false" customHeight="false" outlineLevel="0" collapsed="false">
      <c r="A246" s="2" t="s">
        <v>28</v>
      </c>
    </row>
    <row r="247" customFormat="false" ht="12.8" hidden="false" customHeight="false" outlineLevel="0" collapsed="false">
      <c r="A247" s="2" t="s">
        <v>28</v>
      </c>
    </row>
    <row r="248" customFormat="false" ht="12.8" hidden="false" customHeight="false" outlineLevel="0" collapsed="false">
      <c r="A248" s="2" t="s">
        <v>28</v>
      </c>
    </row>
    <row r="249" customFormat="false" ht="12.8" hidden="false" customHeight="false" outlineLevel="0" collapsed="false">
      <c r="A249" s="2" t="s">
        <v>28</v>
      </c>
    </row>
    <row r="250" customFormat="false" ht="12.8" hidden="false" customHeight="false" outlineLevel="0" collapsed="false">
      <c r="A250" s="2" t="s">
        <v>28</v>
      </c>
    </row>
    <row r="251" customFormat="false" ht="12.8" hidden="false" customHeight="false" outlineLevel="0" collapsed="false">
      <c r="A251" s="2" t="s">
        <v>36</v>
      </c>
    </row>
    <row r="252" customFormat="false" ht="12.8" hidden="false" customHeight="false" outlineLevel="0" collapsed="false">
      <c r="A252" s="2" t="s">
        <v>28</v>
      </c>
    </row>
    <row r="253" customFormat="false" ht="12.8" hidden="false" customHeight="false" outlineLevel="0" collapsed="false">
      <c r="A253" s="2" t="s">
        <v>28</v>
      </c>
    </row>
    <row r="254" customFormat="false" ht="12.8" hidden="false" customHeight="false" outlineLevel="0" collapsed="false">
      <c r="A254" s="2" t="s">
        <v>28</v>
      </c>
    </row>
    <row r="255" customFormat="false" ht="12.8" hidden="false" customHeight="false" outlineLevel="0" collapsed="false">
      <c r="A255" s="2" t="s">
        <v>28</v>
      </c>
    </row>
    <row r="256" customFormat="false" ht="12.8" hidden="false" customHeight="false" outlineLevel="0" collapsed="false">
      <c r="A256" s="2" t="s">
        <v>28</v>
      </c>
    </row>
    <row r="257" customFormat="false" ht="12.8" hidden="false" customHeight="false" outlineLevel="0" collapsed="false">
      <c r="A257" s="2" t="s">
        <v>36</v>
      </c>
    </row>
    <row r="258" customFormat="false" ht="12.8" hidden="false" customHeight="false" outlineLevel="0" collapsed="false">
      <c r="A258" s="2" t="s">
        <v>36</v>
      </c>
    </row>
    <row r="259" customFormat="false" ht="12.8" hidden="false" customHeight="false" outlineLevel="0" collapsed="false">
      <c r="A259" s="2" t="s">
        <v>28</v>
      </c>
    </row>
    <row r="260" customFormat="false" ht="12.8" hidden="false" customHeight="false" outlineLevel="0" collapsed="false">
      <c r="A260" s="2" t="s">
        <v>28</v>
      </c>
    </row>
    <row r="261" customFormat="false" ht="12.8" hidden="false" customHeight="false" outlineLevel="0" collapsed="false">
      <c r="A261" s="2" t="s">
        <v>28</v>
      </c>
    </row>
    <row r="262" customFormat="false" ht="12.8" hidden="false" customHeight="false" outlineLevel="0" collapsed="false">
      <c r="A262" s="2" t="s">
        <v>28</v>
      </c>
    </row>
    <row r="263" customFormat="false" ht="12.8" hidden="false" customHeight="false" outlineLevel="0" collapsed="false">
      <c r="A263" s="2" t="s">
        <v>28</v>
      </c>
    </row>
    <row r="264" customFormat="false" ht="12.8" hidden="false" customHeight="false" outlineLevel="0" collapsed="false">
      <c r="A264" s="2" t="s">
        <v>28</v>
      </c>
    </row>
    <row r="265" customFormat="false" ht="12.8" hidden="false" customHeight="false" outlineLevel="0" collapsed="false">
      <c r="A265" s="2" t="s">
        <v>28</v>
      </c>
    </row>
    <row r="266" customFormat="false" ht="12.8" hidden="false" customHeight="false" outlineLevel="0" collapsed="false">
      <c r="A266" s="2" t="s">
        <v>28</v>
      </c>
    </row>
    <row r="267" customFormat="false" ht="12.8" hidden="false" customHeight="false" outlineLevel="0" collapsed="false">
      <c r="A267" s="2" t="s">
        <v>28</v>
      </c>
    </row>
    <row r="268" customFormat="false" ht="12.8" hidden="false" customHeight="false" outlineLevel="0" collapsed="false">
      <c r="A268" s="2" t="s">
        <v>28</v>
      </c>
    </row>
    <row r="269" customFormat="false" ht="12.8" hidden="false" customHeight="false" outlineLevel="0" collapsed="false">
      <c r="A269" s="2" t="s">
        <v>28</v>
      </c>
    </row>
    <row r="270" customFormat="false" ht="12.8" hidden="false" customHeight="false" outlineLevel="0" collapsed="false">
      <c r="A270" s="2" t="s">
        <v>28</v>
      </c>
    </row>
    <row r="271" customFormat="false" ht="12.8" hidden="false" customHeight="false" outlineLevel="0" collapsed="false">
      <c r="A271" s="2" t="s">
        <v>28</v>
      </c>
    </row>
    <row r="272" customFormat="false" ht="12.8" hidden="false" customHeight="false" outlineLevel="0" collapsed="false">
      <c r="A272" s="2" t="s">
        <v>28</v>
      </c>
    </row>
    <row r="273" customFormat="false" ht="12.8" hidden="false" customHeight="false" outlineLevel="0" collapsed="false">
      <c r="A273" s="2" t="s">
        <v>28</v>
      </c>
    </row>
    <row r="274" customFormat="false" ht="12.8" hidden="false" customHeight="false" outlineLevel="0" collapsed="false">
      <c r="A274" s="2" t="s">
        <v>28</v>
      </c>
    </row>
    <row r="275" customFormat="false" ht="12.8" hidden="false" customHeight="false" outlineLevel="0" collapsed="false">
      <c r="A275" s="2" t="s">
        <v>28</v>
      </c>
    </row>
    <row r="276" customFormat="false" ht="12.8" hidden="false" customHeight="false" outlineLevel="0" collapsed="false">
      <c r="A276" s="2" t="s">
        <v>28</v>
      </c>
    </row>
    <row r="277" customFormat="false" ht="12.8" hidden="false" customHeight="false" outlineLevel="0" collapsed="false">
      <c r="A277" s="2" t="s">
        <v>28</v>
      </c>
    </row>
    <row r="278" customFormat="false" ht="12.8" hidden="false" customHeight="false" outlineLevel="0" collapsed="false">
      <c r="A278" s="2" t="s">
        <v>28</v>
      </c>
    </row>
    <row r="279" customFormat="false" ht="12.8" hidden="false" customHeight="false" outlineLevel="0" collapsed="false">
      <c r="A279" s="2" t="s">
        <v>28</v>
      </c>
    </row>
    <row r="280" customFormat="false" ht="12.8" hidden="false" customHeight="false" outlineLevel="0" collapsed="false">
      <c r="A280" s="2" t="s">
        <v>28</v>
      </c>
    </row>
    <row r="281" customFormat="false" ht="12.8" hidden="false" customHeight="false" outlineLevel="0" collapsed="false">
      <c r="A281" s="2" t="s">
        <v>28</v>
      </c>
    </row>
    <row r="282" customFormat="false" ht="12.8" hidden="false" customHeight="false" outlineLevel="0" collapsed="false">
      <c r="A282" s="2" t="s">
        <v>28</v>
      </c>
    </row>
    <row r="283" customFormat="false" ht="12.8" hidden="false" customHeight="false" outlineLevel="0" collapsed="false">
      <c r="A283" s="2" t="s">
        <v>28</v>
      </c>
    </row>
    <row r="284" customFormat="false" ht="12.8" hidden="false" customHeight="false" outlineLevel="0" collapsed="false">
      <c r="A284" s="2" t="s">
        <v>28</v>
      </c>
    </row>
    <row r="285" customFormat="false" ht="12.8" hidden="false" customHeight="false" outlineLevel="0" collapsed="false">
      <c r="A285" s="2" t="s">
        <v>28</v>
      </c>
    </row>
    <row r="286" customFormat="false" ht="12.8" hidden="false" customHeight="false" outlineLevel="0" collapsed="false">
      <c r="A286" s="2" t="s">
        <v>28</v>
      </c>
    </row>
    <row r="287" customFormat="false" ht="12.8" hidden="false" customHeight="false" outlineLevel="0" collapsed="false">
      <c r="A287" s="2" t="s">
        <v>28</v>
      </c>
    </row>
    <row r="288" customFormat="false" ht="12.8" hidden="false" customHeight="false" outlineLevel="0" collapsed="false">
      <c r="A288" s="2" t="s">
        <v>28</v>
      </c>
    </row>
    <row r="289" customFormat="false" ht="12.8" hidden="false" customHeight="false" outlineLevel="0" collapsed="false">
      <c r="A289" s="2" t="s">
        <v>28</v>
      </c>
    </row>
    <row r="290" customFormat="false" ht="12.8" hidden="false" customHeight="false" outlineLevel="0" collapsed="false">
      <c r="A290" s="2" t="s">
        <v>28</v>
      </c>
    </row>
    <row r="291" customFormat="false" ht="12.8" hidden="false" customHeight="false" outlineLevel="0" collapsed="false">
      <c r="A291" s="2" t="s">
        <v>84</v>
      </c>
    </row>
    <row r="292" customFormat="false" ht="12.8" hidden="false" customHeight="false" outlineLevel="0" collapsed="false">
      <c r="A292" s="2" t="s">
        <v>28</v>
      </c>
    </row>
    <row r="293" customFormat="false" ht="12.8" hidden="false" customHeight="false" outlineLevel="0" collapsed="false">
      <c r="A293" s="2" t="s">
        <v>28</v>
      </c>
    </row>
    <row r="294" customFormat="false" ht="12.8" hidden="false" customHeight="false" outlineLevel="0" collapsed="false">
      <c r="A294" s="2" t="s">
        <v>28</v>
      </c>
    </row>
    <row r="295" customFormat="false" ht="12.8" hidden="false" customHeight="false" outlineLevel="0" collapsed="false">
      <c r="A295" s="2" t="s">
        <v>28</v>
      </c>
    </row>
    <row r="296" customFormat="false" ht="12.8" hidden="false" customHeight="false" outlineLevel="0" collapsed="false">
      <c r="A296" s="2" t="s">
        <v>28</v>
      </c>
    </row>
    <row r="297" customFormat="false" ht="12.8" hidden="false" customHeight="false" outlineLevel="0" collapsed="false">
      <c r="A297" s="2" t="s">
        <v>28</v>
      </c>
    </row>
    <row r="298" customFormat="false" ht="12.8" hidden="false" customHeight="false" outlineLevel="0" collapsed="false">
      <c r="A298" s="2" t="s">
        <v>28</v>
      </c>
    </row>
    <row r="299" customFormat="false" ht="12.8" hidden="false" customHeight="false" outlineLevel="0" collapsed="false">
      <c r="A299" s="2" t="s">
        <v>28</v>
      </c>
    </row>
    <row r="300" customFormat="false" ht="12.8" hidden="false" customHeight="false" outlineLevel="0" collapsed="false">
      <c r="A300" s="2" t="s">
        <v>28</v>
      </c>
    </row>
    <row r="301" customFormat="false" ht="12.8" hidden="false" customHeight="false" outlineLevel="0" collapsed="false">
      <c r="A301" s="2" t="s">
        <v>28</v>
      </c>
    </row>
    <row r="302" customFormat="false" ht="12.8" hidden="false" customHeight="false" outlineLevel="0" collapsed="false">
      <c r="A302" s="2" t="s">
        <v>28</v>
      </c>
    </row>
    <row r="303" customFormat="false" ht="12.8" hidden="false" customHeight="false" outlineLevel="0" collapsed="false">
      <c r="A303" s="2" t="s">
        <v>28</v>
      </c>
    </row>
    <row r="304" customFormat="false" ht="12.8" hidden="false" customHeight="false" outlineLevel="0" collapsed="false">
      <c r="A304" s="2" t="s">
        <v>28</v>
      </c>
    </row>
    <row r="305" customFormat="false" ht="12.8" hidden="false" customHeight="false" outlineLevel="0" collapsed="false">
      <c r="A305" s="2" t="s">
        <v>28</v>
      </c>
    </row>
    <row r="306" customFormat="false" ht="12.8" hidden="false" customHeight="false" outlineLevel="0" collapsed="false">
      <c r="A306" s="2" t="s">
        <v>28</v>
      </c>
    </row>
    <row r="307" customFormat="false" ht="12.8" hidden="false" customHeight="false" outlineLevel="0" collapsed="false">
      <c r="A307" s="2" t="s">
        <v>28</v>
      </c>
    </row>
    <row r="308" customFormat="false" ht="12.8" hidden="false" customHeight="false" outlineLevel="0" collapsed="false">
      <c r="A308" s="2" t="s">
        <v>28</v>
      </c>
    </row>
    <row r="309" customFormat="false" ht="12.8" hidden="false" customHeight="false" outlineLevel="0" collapsed="false">
      <c r="A309" s="2" t="s">
        <v>28</v>
      </c>
    </row>
    <row r="310" customFormat="false" ht="12.8" hidden="false" customHeight="false" outlineLevel="0" collapsed="false">
      <c r="A310" s="2" t="s">
        <v>28</v>
      </c>
    </row>
    <row r="311" customFormat="false" ht="12.8" hidden="false" customHeight="false" outlineLevel="0" collapsed="false">
      <c r="A311" s="2" t="s">
        <v>28</v>
      </c>
    </row>
    <row r="312" customFormat="false" ht="12.8" hidden="false" customHeight="false" outlineLevel="0" collapsed="false">
      <c r="A312" s="2" t="s">
        <v>28</v>
      </c>
    </row>
    <row r="313" customFormat="false" ht="12.8" hidden="false" customHeight="false" outlineLevel="0" collapsed="false">
      <c r="A313" s="2" t="s">
        <v>28</v>
      </c>
    </row>
    <row r="314" customFormat="false" ht="12.8" hidden="false" customHeight="false" outlineLevel="0" collapsed="false">
      <c r="A314" s="2" t="s">
        <v>28</v>
      </c>
    </row>
    <row r="315" customFormat="false" ht="12.8" hidden="false" customHeight="false" outlineLevel="0" collapsed="false">
      <c r="A315" s="2" t="s">
        <v>28</v>
      </c>
    </row>
    <row r="316" customFormat="false" ht="12.8" hidden="false" customHeight="false" outlineLevel="0" collapsed="false">
      <c r="A316" s="2" t="s">
        <v>28</v>
      </c>
    </row>
    <row r="317" customFormat="false" ht="12.8" hidden="false" customHeight="false" outlineLevel="0" collapsed="false">
      <c r="A317" s="2" t="s">
        <v>28</v>
      </c>
    </row>
    <row r="318" customFormat="false" ht="12.8" hidden="false" customHeight="false" outlineLevel="0" collapsed="false">
      <c r="A318" s="2" t="s">
        <v>28</v>
      </c>
    </row>
    <row r="319" customFormat="false" ht="12.8" hidden="false" customHeight="false" outlineLevel="0" collapsed="false">
      <c r="A319" s="2" t="s">
        <v>28</v>
      </c>
    </row>
    <row r="320" customFormat="false" ht="12.8" hidden="false" customHeight="false" outlineLevel="0" collapsed="false">
      <c r="A320" s="2" t="s">
        <v>28</v>
      </c>
    </row>
    <row r="321" customFormat="false" ht="12.8" hidden="false" customHeight="false" outlineLevel="0" collapsed="false">
      <c r="A321" s="2" t="s">
        <v>28</v>
      </c>
    </row>
    <row r="322" customFormat="false" ht="12.8" hidden="false" customHeight="false" outlineLevel="0" collapsed="false">
      <c r="A322" s="2" t="s">
        <v>28</v>
      </c>
    </row>
    <row r="323" customFormat="false" ht="12.8" hidden="false" customHeight="false" outlineLevel="0" collapsed="false">
      <c r="A323" s="2" t="s">
        <v>28</v>
      </c>
    </row>
    <row r="324" customFormat="false" ht="12.8" hidden="false" customHeight="false" outlineLevel="0" collapsed="false">
      <c r="A324" s="2" t="s">
        <v>28</v>
      </c>
    </row>
    <row r="325" customFormat="false" ht="12.8" hidden="false" customHeight="false" outlineLevel="0" collapsed="false">
      <c r="A325" s="2" t="s">
        <v>28</v>
      </c>
    </row>
    <row r="326" customFormat="false" ht="12.8" hidden="false" customHeight="false" outlineLevel="0" collapsed="false">
      <c r="A326" s="2" t="s">
        <v>28</v>
      </c>
    </row>
    <row r="327" customFormat="false" ht="12.8" hidden="false" customHeight="false" outlineLevel="0" collapsed="false">
      <c r="A327" s="2" t="s">
        <v>28</v>
      </c>
    </row>
    <row r="328" customFormat="false" ht="12.8" hidden="false" customHeight="false" outlineLevel="0" collapsed="false">
      <c r="A328" s="2" t="s">
        <v>28</v>
      </c>
    </row>
    <row r="329" customFormat="false" ht="12.8" hidden="false" customHeight="false" outlineLevel="0" collapsed="false">
      <c r="A329" s="2" t="s">
        <v>28</v>
      </c>
    </row>
    <row r="330" customFormat="false" ht="12.8" hidden="false" customHeight="false" outlineLevel="0" collapsed="false">
      <c r="A330" s="2" t="s">
        <v>28</v>
      </c>
    </row>
    <row r="331" customFormat="false" ht="12.8" hidden="false" customHeight="false" outlineLevel="0" collapsed="false">
      <c r="A331" s="2" t="s">
        <v>28</v>
      </c>
    </row>
    <row r="332" customFormat="false" ht="12.8" hidden="false" customHeight="false" outlineLevel="0" collapsed="false">
      <c r="A332" s="2" t="s">
        <v>28</v>
      </c>
    </row>
    <row r="333" customFormat="false" ht="12.8" hidden="false" customHeight="false" outlineLevel="0" collapsed="false">
      <c r="A333" s="2" t="s">
        <v>28</v>
      </c>
    </row>
    <row r="334" customFormat="false" ht="12.8" hidden="false" customHeight="false" outlineLevel="0" collapsed="false">
      <c r="A334" s="2" t="s">
        <v>28</v>
      </c>
    </row>
    <row r="335" customFormat="false" ht="12.8" hidden="false" customHeight="false" outlineLevel="0" collapsed="false">
      <c r="A335" s="2" t="s">
        <v>28</v>
      </c>
    </row>
    <row r="336" customFormat="false" ht="12.8" hidden="false" customHeight="false" outlineLevel="0" collapsed="false">
      <c r="A336" s="2" t="s">
        <v>28</v>
      </c>
    </row>
    <row r="337" customFormat="false" ht="12.8" hidden="false" customHeight="false" outlineLevel="0" collapsed="false">
      <c r="A337" s="2" t="s">
        <v>28</v>
      </c>
    </row>
    <row r="338" customFormat="false" ht="12.8" hidden="false" customHeight="false" outlineLevel="0" collapsed="false">
      <c r="A338" s="2" t="s">
        <v>28</v>
      </c>
    </row>
    <row r="339" customFormat="false" ht="12.8" hidden="false" customHeight="false" outlineLevel="0" collapsed="false">
      <c r="A339" s="2" t="s">
        <v>28</v>
      </c>
    </row>
    <row r="340" customFormat="false" ht="12.8" hidden="false" customHeight="false" outlineLevel="0" collapsed="false">
      <c r="A340" s="2" t="s">
        <v>28</v>
      </c>
    </row>
    <row r="341" customFormat="false" ht="12.8" hidden="false" customHeight="false" outlineLevel="0" collapsed="false">
      <c r="A341" s="2" t="s">
        <v>28</v>
      </c>
    </row>
    <row r="342" customFormat="false" ht="12.8" hidden="false" customHeight="false" outlineLevel="0" collapsed="false">
      <c r="A342" s="2" t="s">
        <v>28</v>
      </c>
    </row>
    <row r="343" customFormat="false" ht="12.8" hidden="false" customHeight="false" outlineLevel="0" collapsed="false">
      <c r="A343" s="2" t="s">
        <v>28</v>
      </c>
    </row>
    <row r="344" customFormat="false" ht="12.8" hidden="false" customHeight="false" outlineLevel="0" collapsed="false">
      <c r="A344" s="2" t="s">
        <v>28</v>
      </c>
    </row>
    <row r="345" customFormat="false" ht="12.8" hidden="false" customHeight="false" outlineLevel="0" collapsed="false">
      <c r="A345" s="2" t="s">
        <v>28</v>
      </c>
    </row>
    <row r="346" customFormat="false" ht="12.8" hidden="false" customHeight="false" outlineLevel="0" collapsed="false">
      <c r="A346" s="2" t="s">
        <v>28</v>
      </c>
    </row>
    <row r="347" customFormat="false" ht="12.8" hidden="false" customHeight="false" outlineLevel="0" collapsed="false">
      <c r="A347" s="2" t="s">
        <v>28</v>
      </c>
    </row>
    <row r="348" customFormat="false" ht="12.8" hidden="false" customHeight="false" outlineLevel="0" collapsed="false">
      <c r="A348" s="2" t="s">
        <v>28</v>
      </c>
    </row>
    <row r="349" customFormat="false" ht="12.8" hidden="false" customHeight="false" outlineLevel="0" collapsed="false">
      <c r="A349" s="2" t="s">
        <v>28</v>
      </c>
    </row>
    <row r="350" customFormat="false" ht="12.8" hidden="false" customHeight="false" outlineLevel="0" collapsed="false">
      <c r="A350" s="2" t="s">
        <v>28</v>
      </c>
    </row>
    <row r="351" customFormat="false" ht="12.8" hidden="false" customHeight="false" outlineLevel="0" collapsed="false">
      <c r="A351" s="2" t="s">
        <v>28</v>
      </c>
    </row>
    <row r="352" customFormat="false" ht="12.8" hidden="false" customHeight="false" outlineLevel="0" collapsed="false">
      <c r="A352" s="2" t="s">
        <v>28</v>
      </c>
    </row>
    <row r="353" customFormat="false" ht="12.8" hidden="false" customHeight="false" outlineLevel="0" collapsed="false">
      <c r="A353" s="2" t="s">
        <v>28</v>
      </c>
    </row>
    <row r="354" customFormat="false" ht="12.8" hidden="false" customHeight="false" outlineLevel="0" collapsed="false">
      <c r="A354" s="2" t="s">
        <v>28</v>
      </c>
    </row>
    <row r="355" customFormat="false" ht="12.8" hidden="false" customHeight="false" outlineLevel="0" collapsed="false">
      <c r="A355" s="2" t="s">
        <v>28</v>
      </c>
    </row>
    <row r="356" customFormat="false" ht="12.8" hidden="false" customHeight="false" outlineLevel="0" collapsed="false">
      <c r="A356" s="2" t="s">
        <v>28</v>
      </c>
    </row>
    <row r="357" customFormat="false" ht="12.8" hidden="false" customHeight="false" outlineLevel="0" collapsed="false">
      <c r="A357" s="2" t="s">
        <v>28</v>
      </c>
    </row>
    <row r="358" customFormat="false" ht="12.8" hidden="false" customHeight="false" outlineLevel="0" collapsed="false">
      <c r="A358" s="2" t="s">
        <v>28</v>
      </c>
    </row>
    <row r="359" customFormat="false" ht="12.8" hidden="false" customHeight="false" outlineLevel="0" collapsed="false">
      <c r="A359" s="2" t="s">
        <v>28</v>
      </c>
    </row>
    <row r="360" customFormat="false" ht="12.8" hidden="false" customHeight="false" outlineLevel="0" collapsed="false">
      <c r="A360" s="2" t="s">
        <v>28</v>
      </c>
    </row>
    <row r="361" customFormat="false" ht="12.8" hidden="false" customHeight="false" outlineLevel="0" collapsed="false">
      <c r="A361" s="2" t="s">
        <v>28</v>
      </c>
    </row>
    <row r="362" customFormat="false" ht="12.8" hidden="false" customHeight="false" outlineLevel="0" collapsed="false">
      <c r="A362" s="2" t="s">
        <v>28</v>
      </c>
    </row>
    <row r="363" customFormat="false" ht="12.8" hidden="false" customHeight="false" outlineLevel="0" collapsed="false">
      <c r="A363" s="2" t="s">
        <v>28</v>
      </c>
    </row>
    <row r="364" customFormat="false" ht="12.8" hidden="false" customHeight="false" outlineLevel="0" collapsed="false">
      <c r="A364" s="2" t="s">
        <v>28</v>
      </c>
    </row>
    <row r="365" customFormat="false" ht="12.8" hidden="false" customHeight="false" outlineLevel="0" collapsed="false">
      <c r="A365" s="2" t="s">
        <v>28</v>
      </c>
    </row>
    <row r="366" customFormat="false" ht="12.8" hidden="false" customHeight="false" outlineLevel="0" collapsed="false">
      <c r="A366" s="2" t="s">
        <v>28</v>
      </c>
    </row>
    <row r="367" customFormat="false" ht="12.8" hidden="false" customHeight="false" outlineLevel="0" collapsed="false">
      <c r="A367" s="2" t="s">
        <v>28</v>
      </c>
    </row>
    <row r="368" customFormat="false" ht="12.8" hidden="false" customHeight="false" outlineLevel="0" collapsed="false">
      <c r="A368" s="2" t="s">
        <v>28</v>
      </c>
    </row>
    <row r="369" customFormat="false" ht="12.8" hidden="false" customHeight="false" outlineLevel="0" collapsed="false">
      <c r="A369" s="2" t="s">
        <v>28</v>
      </c>
    </row>
    <row r="370" customFormat="false" ht="12.8" hidden="false" customHeight="false" outlineLevel="0" collapsed="false">
      <c r="A370" s="2" t="s">
        <v>28</v>
      </c>
    </row>
    <row r="371" customFormat="false" ht="12.8" hidden="false" customHeight="false" outlineLevel="0" collapsed="false">
      <c r="A371" s="2" t="s">
        <v>28</v>
      </c>
    </row>
    <row r="372" customFormat="false" ht="12.8" hidden="false" customHeight="false" outlineLevel="0" collapsed="false">
      <c r="A372" s="2" t="s">
        <v>28</v>
      </c>
    </row>
    <row r="373" customFormat="false" ht="12.8" hidden="false" customHeight="false" outlineLevel="0" collapsed="false">
      <c r="A373" s="2" t="s">
        <v>28</v>
      </c>
    </row>
    <row r="374" customFormat="false" ht="12.8" hidden="false" customHeight="false" outlineLevel="0" collapsed="false">
      <c r="A374" s="2" t="s">
        <v>28</v>
      </c>
    </row>
    <row r="375" customFormat="false" ht="12.8" hidden="false" customHeight="false" outlineLevel="0" collapsed="false">
      <c r="A375" s="2" t="s">
        <v>28</v>
      </c>
    </row>
    <row r="376" customFormat="false" ht="12.8" hidden="false" customHeight="false" outlineLevel="0" collapsed="false">
      <c r="A376" s="2" t="s">
        <v>28</v>
      </c>
    </row>
    <row r="377" customFormat="false" ht="12.8" hidden="false" customHeight="false" outlineLevel="0" collapsed="false">
      <c r="A377" s="2" t="s">
        <v>28</v>
      </c>
    </row>
    <row r="378" customFormat="false" ht="12.8" hidden="false" customHeight="false" outlineLevel="0" collapsed="false">
      <c r="A378" s="2" t="s">
        <v>28</v>
      </c>
    </row>
    <row r="379" customFormat="false" ht="12.8" hidden="false" customHeight="false" outlineLevel="0" collapsed="false">
      <c r="A379" s="2" t="s">
        <v>28</v>
      </c>
    </row>
    <row r="380" customFormat="false" ht="12.8" hidden="false" customHeight="false" outlineLevel="0" collapsed="false">
      <c r="A380" s="2" t="s">
        <v>28</v>
      </c>
    </row>
    <row r="381" customFormat="false" ht="12.8" hidden="false" customHeight="false" outlineLevel="0" collapsed="false">
      <c r="A381" s="2" t="s">
        <v>28</v>
      </c>
    </row>
    <row r="382" customFormat="false" ht="12.8" hidden="false" customHeight="false" outlineLevel="0" collapsed="false">
      <c r="A382" s="2" t="s">
        <v>28</v>
      </c>
    </row>
    <row r="383" customFormat="false" ht="12.8" hidden="false" customHeight="false" outlineLevel="0" collapsed="false">
      <c r="A383" s="2" t="s">
        <v>28</v>
      </c>
    </row>
    <row r="384" customFormat="false" ht="12.8" hidden="false" customHeight="false" outlineLevel="0" collapsed="false">
      <c r="A384" s="2" t="s">
        <v>28</v>
      </c>
    </row>
    <row r="385" customFormat="false" ht="12.8" hidden="false" customHeight="false" outlineLevel="0" collapsed="false">
      <c r="A385" s="2" t="s">
        <v>28</v>
      </c>
    </row>
    <row r="386" customFormat="false" ht="12.8" hidden="false" customHeight="false" outlineLevel="0" collapsed="false">
      <c r="A386" s="2" t="s">
        <v>28</v>
      </c>
    </row>
    <row r="387" customFormat="false" ht="12.8" hidden="false" customHeight="false" outlineLevel="0" collapsed="false">
      <c r="A387" s="2" t="s">
        <v>28</v>
      </c>
    </row>
    <row r="388" customFormat="false" ht="12.8" hidden="false" customHeight="false" outlineLevel="0" collapsed="false">
      <c r="A388" s="2" t="s">
        <v>28</v>
      </c>
    </row>
    <row r="389" customFormat="false" ht="12.8" hidden="false" customHeight="false" outlineLevel="0" collapsed="false">
      <c r="A389" s="2" t="s">
        <v>28</v>
      </c>
    </row>
    <row r="390" customFormat="false" ht="12.8" hidden="false" customHeight="false" outlineLevel="0" collapsed="false">
      <c r="A390" s="2" t="s">
        <v>28</v>
      </c>
    </row>
    <row r="391" customFormat="false" ht="12.8" hidden="false" customHeight="false" outlineLevel="0" collapsed="false">
      <c r="A391" s="2" t="s">
        <v>28</v>
      </c>
    </row>
    <row r="392" customFormat="false" ht="12.8" hidden="false" customHeight="false" outlineLevel="0" collapsed="false">
      <c r="A392" s="2" t="s">
        <v>28</v>
      </c>
    </row>
    <row r="393" customFormat="false" ht="12.8" hidden="false" customHeight="false" outlineLevel="0" collapsed="false">
      <c r="A393" s="2" t="s">
        <v>28</v>
      </c>
    </row>
    <row r="394" customFormat="false" ht="12.8" hidden="false" customHeight="false" outlineLevel="0" collapsed="false">
      <c r="A394" s="2" t="s">
        <v>28</v>
      </c>
    </row>
    <row r="395" customFormat="false" ht="12.8" hidden="false" customHeight="false" outlineLevel="0" collapsed="false">
      <c r="A395" s="2" t="s">
        <v>28</v>
      </c>
    </row>
    <row r="396" customFormat="false" ht="12.8" hidden="false" customHeight="false" outlineLevel="0" collapsed="false">
      <c r="A396" s="2" t="s">
        <v>28</v>
      </c>
    </row>
    <row r="397" customFormat="false" ht="12.8" hidden="false" customHeight="false" outlineLevel="0" collapsed="false">
      <c r="A397" s="2" t="s">
        <v>28</v>
      </c>
    </row>
    <row r="398" customFormat="false" ht="12.8" hidden="false" customHeight="false" outlineLevel="0" collapsed="false">
      <c r="A398" s="2" t="s">
        <v>28</v>
      </c>
    </row>
    <row r="399" customFormat="false" ht="12.8" hidden="false" customHeight="false" outlineLevel="0" collapsed="false">
      <c r="A399" s="2" t="s">
        <v>28</v>
      </c>
    </row>
    <row r="400" customFormat="false" ht="12.8" hidden="false" customHeight="false" outlineLevel="0" collapsed="false">
      <c r="A400" s="2" t="s">
        <v>28</v>
      </c>
    </row>
    <row r="401" customFormat="false" ht="12.8" hidden="false" customHeight="false" outlineLevel="0" collapsed="false">
      <c r="A401" s="2" t="s">
        <v>28</v>
      </c>
    </row>
    <row r="402" customFormat="false" ht="12.8" hidden="false" customHeight="false" outlineLevel="0" collapsed="false">
      <c r="A402" s="2" t="s">
        <v>28</v>
      </c>
    </row>
    <row r="403" customFormat="false" ht="12.8" hidden="false" customHeight="false" outlineLevel="0" collapsed="false">
      <c r="A403" s="2" t="s">
        <v>28</v>
      </c>
    </row>
    <row r="404" customFormat="false" ht="12.8" hidden="false" customHeight="false" outlineLevel="0" collapsed="false">
      <c r="A404" s="2" t="s">
        <v>28</v>
      </c>
    </row>
    <row r="405" customFormat="false" ht="12.8" hidden="false" customHeight="false" outlineLevel="0" collapsed="false">
      <c r="A405" s="2" t="s">
        <v>28</v>
      </c>
    </row>
    <row r="406" customFormat="false" ht="12.8" hidden="false" customHeight="false" outlineLevel="0" collapsed="false">
      <c r="A406" s="2" t="s">
        <v>28</v>
      </c>
    </row>
    <row r="407" customFormat="false" ht="12.8" hidden="false" customHeight="false" outlineLevel="0" collapsed="false">
      <c r="A407" s="2" t="s">
        <v>28</v>
      </c>
    </row>
    <row r="408" customFormat="false" ht="12.8" hidden="false" customHeight="false" outlineLevel="0" collapsed="false">
      <c r="A408" s="2" t="s">
        <v>28</v>
      </c>
    </row>
    <row r="409" customFormat="false" ht="12.8" hidden="false" customHeight="false" outlineLevel="0" collapsed="false">
      <c r="A409" s="2" t="s">
        <v>28</v>
      </c>
    </row>
    <row r="410" customFormat="false" ht="12.8" hidden="false" customHeight="false" outlineLevel="0" collapsed="false">
      <c r="A410" s="2" t="s">
        <v>28</v>
      </c>
    </row>
    <row r="411" customFormat="false" ht="12.8" hidden="false" customHeight="false" outlineLevel="0" collapsed="false">
      <c r="A411" s="2" t="s">
        <v>28</v>
      </c>
    </row>
    <row r="412" customFormat="false" ht="12.8" hidden="false" customHeight="false" outlineLevel="0" collapsed="false">
      <c r="A412" s="2" t="s">
        <v>28</v>
      </c>
    </row>
    <row r="413" customFormat="false" ht="12.8" hidden="false" customHeight="false" outlineLevel="0" collapsed="false">
      <c r="A413" s="2" t="s">
        <v>28</v>
      </c>
    </row>
    <row r="414" customFormat="false" ht="12.8" hidden="false" customHeight="false" outlineLevel="0" collapsed="false">
      <c r="A414" s="2" t="s">
        <v>28</v>
      </c>
    </row>
    <row r="415" customFormat="false" ht="12.8" hidden="false" customHeight="false" outlineLevel="0" collapsed="false">
      <c r="A415" s="2" t="s">
        <v>28</v>
      </c>
    </row>
    <row r="416" customFormat="false" ht="12.8" hidden="false" customHeight="false" outlineLevel="0" collapsed="false">
      <c r="A416" s="2" t="s">
        <v>28</v>
      </c>
    </row>
    <row r="417" customFormat="false" ht="12.8" hidden="false" customHeight="false" outlineLevel="0" collapsed="false">
      <c r="A417" s="2" t="s">
        <v>28</v>
      </c>
    </row>
    <row r="418" customFormat="false" ht="12.8" hidden="false" customHeight="false" outlineLevel="0" collapsed="false">
      <c r="A418" s="2" t="s">
        <v>28</v>
      </c>
    </row>
    <row r="419" customFormat="false" ht="12.8" hidden="false" customHeight="false" outlineLevel="0" collapsed="false">
      <c r="A419" s="2" t="s">
        <v>28</v>
      </c>
    </row>
    <row r="420" customFormat="false" ht="12.8" hidden="false" customHeight="false" outlineLevel="0" collapsed="false">
      <c r="A420" s="2" t="s">
        <v>28</v>
      </c>
    </row>
    <row r="421" customFormat="false" ht="12.8" hidden="false" customHeight="false" outlineLevel="0" collapsed="false">
      <c r="A421" s="2" t="s">
        <v>28</v>
      </c>
    </row>
    <row r="422" customFormat="false" ht="12.8" hidden="false" customHeight="false" outlineLevel="0" collapsed="false">
      <c r="A422" s="2" t="s">
        <v>28</v>
      </c>
    </row>
    <row r="423" customFormat="false" ht="12.8" hidden="false" customHeight="false" outlineLevel="0" collapsed="false">
      <c r="A423" s="2" t="s">
        <v>28</v>
      </c>
    </row>
    <row r="424" customFormat="false" ht="12.8" hidden="false" customHeight="false" outlineLevel="0" collapsed="false">
      <c r="A424" s="2" t="s">
        <v>28</v>
      </c>
    </row>
    <row r="425" customFormat="false" ht="12.8" hidden="false" customHeight="false" outlineLevel="0" collapsed="false">
      <c r="A425" s="2" t="s">
        <v>28</v>
      </c>
    </row>
    <row r="426" customFormat="false" ht="12.8" hidden="false" customHeight="false" outlineLevel="0" collapsed="false">
      <c r="A426" s="2" t="s">
        <v>28</v>
      </c>
    </row>
    <row r="427" customFormat="false" ht="12.8" hidden="false" customHeight="false" outlineLevel="0" collapsed="false">
      <c r="A427" s="2" t="s">
        <v>28</v>
      </c>
    </row>
    <row r="428" customFormat="false" ht="12.8" hidden="false" customHeight="false" outlineLevel="0" collapsed="false">
      <c r="A428" s="2" t="s">
        <v>28</v>
      </c>
    </row>
    <row r="429" customFormat="false" ht="12.8" hidden="false" customHeight="false" outlineLevel="0" collapsed="false">
      <c r="A429" s="2" t="s">
        <v>28</v>
      </c>
    </row>
    <row r="430" customFormat="false" ht="12.8" hidden="false" customHeight="false" outlineLevel="0" collapsed="false">
      <c r="A430" s="2" t="s">
        <v>28</v>
      </c>
    </row>
    <row r="431" customFormat="false" ht="12.8" hidden="false" customHeight="false" outlineLevel="0" collapsed="false">
      <c r="A431" s="2" t="s">
        <v>28</v>
      </c>
    </row>
    <row r="432" customFormat="false" ht="12.8" hidden="false" customHeight="false" outlineLevel="0" collapsed="false">
      <c r="A432" s="2" t="s">
        <v>28</v>
      </c>
    </row>
    <row r="433" customFormat="false" ht="12.8" hidden="false" customHeight="false" outlineLevel="0" collapsed="false">
      <c r="A433" s="2" t="s">
        <v>28</v>
      </c>
    </row>
    <row r="434" customFormat="false" ht="12.8" hidden="false" customHeight="false" outlineLevel="0" collapsed="false">
      <c r="A434" s="2" t="s">
        <v>28</v>
      </c>
    </row>
    <row r="435" customFormat="false" ht="12.8" hidden="false" customHeight="false" outlineLevel="0" collapsed="false">
      <c r="A435" s="2" t="s">
        <v>28</v>
      </c>
    </row>
    <row r="436" customFormat="false" ht="12.8" hidden="false" customHeight="false" outlineLevel="0" collapsed="false">
      <c r="A436" s="2" t="s">
        <v>28</v>
      </c>
    </row>
    <row r="437" customFormat="false" ht="12.8" hidden="false" customHeight="false" outlineLevel="0" collapsed="false">
      <c r="A437" s="2" t="s">
        <v>28</v>
      </c>
    </row>
    <row r="438" customFormat="false" ht="12.8" hidden="false" customHeight="false" outlineLevel="0" collapsed="false">
      <c r="A438" s="2" t="s">
        <v>28</v>
      </c>
    </row>
    <row r="439" customFormat="false" ht="12.8" hidden="false" customHeight="false" outlineLevel="0" collapsed="false">
      <c r="A439" s="2" t="s">
        <v>28</v>
      </c>
    </row>
    <row r="440" customFormat="false" ht="12.8" hidden="false" customHeight="false" outlineLevel="0" collapsed="false">
      <c r="A440" s="2" t="s">
        <v>28</v>
      </c>
    </row>
    <row r="441" customFormat="false" ht="12.8" hidden="false" customHeight="false" outlineLevel="0" collapsed="false">
      <c r="A441" s="2" t="s">
        <v>28</v>
      </c>
    </row>
    <row r="442" customFormat="false" ht="12.8" hidden="false" customHeight="false" outlineLevel="0" collapsed="false">
      <c r="A442" s="2" t="s">
        <v>28</v>
      </c>
    </row>
    <row r="443" customFormat="false" ht="12.8" hidden="false" customHeight="false" outlineLevel="0" collapsed="false">
      <c r="A443" s="2" t="s">
        <v>28</v>
      </c>
    </row>
    <row r="444" customFormat="false" ht="12.8" hidden="false" customHeight="false" outlineLevel="0" collapsed="false">
      <c r="A444" s="2" t="s">
        <v>28</v>
      </c>
    </row>
    <row r="445" customFormat="false" ht="12.8" hidden="false" customHeight="false" outlineLevel="0" collapsed="false">
      <c r="A445" s="2" t="s">
        <v>28</v>
      </c>
    </row>
    <row r="446" customFormat="false" ht="12.8" hidden="false" customHeight="false" outlineLevel="0" collapsed="false">
      <c r="A446" s="2" t="s">
        <v>28</v>
      </c>
    </row>
    <row r="447" customFormat="false" ht="12.8" hidden="false" customHeight="false" outlineLevel="0" collapsed="false">
      <c r="A447" s="2" t="s">
        <v>28</v>
      </c>
    </row>
    <row r="448" customFormat="false" ht="12.8" hidden="false" customHeight="false" outlineLevel="0" collapsed="false">
      <c r="A448" s="2" t="s">
        <v>28</v>
      </c>
    </row>
    <row r="449" customFormat="false" ht="12.8" hidden="false" customHeight="false" outlineLevel="0" collapsed="false">
      <c r="A449" s="2" t="s">
        <v>28</v>
      </c>
    </row>
    <row r="450" customFormat="false" ht="12.8" hidden="false" customHeight="false" outlineLevel="0" collapsed="false">
      <c r="A450" s="2" t="s">
        <v>28</v>
      </c>
    </row>
    <row r="451" customFormat="false" ht="12.8" hidden="false" customHeight="false" outlineLevel="0" collapsed="false">
      <c r="A451" s="2" t="s">
        <v>28</v>
      </c>
    </row>
    <row r="452" customFormat="false" ht="12.8" hidden="false" customHeight="false" outlineLevel="0" collapsed="false">
      <c r="A452" s="2" t="s">
        <v>28</v>
      </c>
    </row>
    <row r="453" customFormat="false" ht="12.8" hidden="false" customHeight="false" outlineLevel="0" collapsed="false">
      <c r="A453" s="2" t="s">
        <v>28</v>
      </c>
    </row>
    <row r="454" customFormat="false" ht="12.8" hidden="false" customHeight="false" outlineLevel="0" collapsed="false">
      <c r="A454" s="2" t="s">
        <v>28</v>
      </c>
    </row>
    <row r="455" customFormat="false" ht="12.8" hidden="false" customHeight="false" outlineLevel="0" collapsed="false">
      <c r="A455" s="2" t="s">
        <v>28</v>
      </c>
    </row>
    <row r="456" customFormat="false" ht="12.8" hidden="false" customHeight="false" outlineLevel="0" collapsed="false">
      <c r="A456" s="2" t="s">
        <v>28</v>
      </c>
    </row>
    <row r="457" customFormat="false" ht="12.8" hidden="false" customHeight="false" outlineLevel="0" collapsed="false">
      <c r="A457" s="2" t="s">
        <v>28</v>
      </c>
    </row>
    <row r="458" customFormat="false" ht="12.8" hidden="false" customHeight="false" outlineLevel="0" collapsed="false">
      <c r="A458" s="2" t="s">
        <v>28</v>
      </c>
    </row>
    <row r="459" customFormat="false" ht="12.8" hidden="false" customHeight="false" outlineLevel="0" collapsed="false">
      <c r="A459" s="2" t="s">
        <v>28</v>
      </c>
    </row>
    <row r="460" customFormat="false" ht="12.8" hidden="false" customHeight="false" outlineLevel="0" collapsed="false">
      <c r="A460" s="2" t="s">
        <v>28</v>
      </c>
    </row>
    <row r="461" customFormat="false" ht="12.8" hidden="false" customHeight="false" outlineLevel="0" collapsed="false">
      <c r="A461" s="2" t="s">
        <v>28</v>
      </c>
    </row>
    <row r="462" customFormat="false" ht="12.8" hidden="false" customHeight="false" outlineLevel="0" collapsed="false">
      <c r="A462" s="2" t="s">
        <v>28</v>
      </c>
    </row>
    <row r="463" customFormat="false" ht="12.8" hidden="false" customHeight="false" outlineLevel="0" collapsed="false">
      <c r="A463" s="2" t="s">
        <v>28</v>
      </c>
    </row>
    <row r="464" customFormat="false" ht="12.8" hidden="false" customHeight="false" outlineLevel="0" collapsed="false">
      <c r="A464" s="2" t="s">
        <v>28</v>
      </c>
    </row>
    <row r="465" customFormat="false" ht="12.8" hidden="false" customHeight="false" outlineLevel="0" collapsed="false">
      <c r="A465" s="2" t="s">
        <v>28</v>
      </c>
    </row>
    <row r="466" customFormat="false" ht="12.8" hidden="false" customHeight="false" outlineLevel="0" collapsed="false">
      <c r="A466" s="2" t="s">
        <v>28</v>
      </c>
    </row>
    <row r="467" customFormat="false" ht="12.8" hidden="false" customHeight="false" outlineLevel="0" collapsed="false">
      <c r="A467" s="2" t="s">
        <v>84</v>
      </c>
    </row>
    <row r="468" customFormat="false" ht="12.8" hidden="false" customHeight="false" outlineLevel="0" collapsed="false">
      <c r="A468" s="2" t="s">
        <v>84</v>
      </c>
    </row>
    <row r="469" customFormat="false" ht="12.8" hidden="false" customHeight="false" outlineLevel="0" collapsed="false">
      <c r="A469" s="2" t="s">
        <v>84</v>
      </c>
    </row>
    <row r="470" customFormat="false" ht="12.8" hidden="false" customHeight="false" outlineLevel="0" collapsed="false">
      <c r="A470" s="2" t="s">
        <v>28</v>
      </c>
    </row>
    <row r="471" customFormat="false" ht="12.8" hidden="false" customHeight="false" outlineLevel="0" collapsed="false">
      <c r="A471" s="2" t="s">
        <v>84</v>
      </c>
    </row>
    <row r="472" customFormat="false" ht="12.8" hidden="false" customHeight="false" outlineLevel="0" collapsed="false">
      <c r="A472" s="2" t="s">
        <v>28</v>
      </c>
    </row>
    <row r="473" customFormat="false" ht="12.8" hidden="false" customHeight="false" outlineLevel="0" collapsed="false">
      <c r="A473" s="2" t="s">
        <v>28</v>
      </c>
    </row>
    <row r="474" customFormat="false" ht="12.8" hidden="false" customHeight="false" outlineLevel="0" collapsed="false">
      <c r="A474" s="2" t="s">
        <v>28</v>
      </c>
    </row>
    <row r="475" customFormat="false" ht="12.8" hidden="false" customHeight="false" outlineLevel="0" collapsed="false">
      <c r="A475" s="2" t="s">
        <v>28</v>
      </c>
    </row>
    <row r="476" customFormat="false" ht="12.8" hidden="false" customHeight="false" outlineLevel="0" collapsed="false">
      <c r="A476" s="2" t="s">
        <v>28</v>
      </c>
    </row>
    <row r="477" customFormat="false" ht="12.8" hidden="false" customHeight="false" outlineLevel="0" collapsed="false">
      <c r="A477" s="2" t="s">
        <v>28</v>
      </c>
    </row>
    <row r="478" customFormat="false" ht="12.8" hidden="false" customHeight="false" outlineLevel="0" collapsed="false">
      <c r="A478" s="2" t="s">
        <v>84</v>
      </c>
    </row>
    <row r="479" customFormat="false" ht="12.8" hidden="false" customHeight="false" outlineLevel="0" collapsed="false">
      <c r="A479" s="2" t="s">
        <v>28</v>
      </c>
    </row>
    <row r="480" customFormat="false" ht="12.8" hidden="false" customHeight="false" outlineLevel="0" collapsed="false">
      <c r="A480" s="2" t="s">
        <v>84</v>
      </c>
    </row>
    <row r="481" customFormat="false" ht="12.8" hidden="false" customHeight="false" outlineLevel="0" collapsed="false">
      <c r="A481" s="2" t="s">
        <v>28</v>
      </c>
    </row>
    <row r="482" customFormat="false" ht="12.8" hidden="false" customHeight="false" outlineLevel="0" collapsed="false">
      <c r="A482" s="2" t="s">
        <v>28</v>
      </c>
    </row>
    <row r="483" customFormat="false" ht="12.8" hidden="false" customHeight="false" outlineLevel="0" collapsed="false">
      <c r="A483" s="2" t="s">
        <v>28</v>
      </c>
    </row>
    <row r="484" customFormat="false" ht="12.8" hidden="false" customHeight="false" outlineLevel="0" collapsed="false">
      <c r="A484" s="2" t="s">
        <v>28</v>
      </c>
    </row>
    <row r="485" customFormat="false" ht="12.8" hidden="false" customHeight="false" outlineLevel="0" collapsed="false">
      <c r="A485" s="2" t="s">
        <v>28</v>
      </c>
    </row>
    <row r="486" customFormat="false" ht="12.8" hidden="false" customHeight="false" outlineLevel="0" collapsed="false">
      <c r="A486" s="2" t="s">
        <v>28</v>
      </c>
    </row>
    <row r="487" customFormat="false" ht="12.8" hidden="false" customHeight="false" outlineLevel="0" collapsed="false">
      <c r="A487" s="2" t="s">
        <v>28</v>
      </c>
    </row>
    <row r="488" customFormat="false" ht="12.8" hidden="false" customHeight="false" outlineLevel="0" collapsed="false">
      <c r="A488" s="2" t="s">
        <v>28</v>
      </c>
    </row>
    <row r="489" customFormat="false" ht="12.8" hidden="false" customHeight="false" outlineLevel="0" collapsed="false">
      <c r="A489" s="2" t="s">
        <v>28</v>
      </c>
    </row>
    <row r="490" customFormat="false" ht="12.8" hidden="false" customHeight="false" outlineLevel="0" collapsed="false">
      <c r="A490" s="2" t="s">
        <v>28</v>
      </c>
    </row>
    <row r="491" customFormat="false" ht="12.8" hidden="false" customHeight="false" outlineLevel="0" collapsed="false">
      <c r="A491" s="2" t="s">
        <v>28</v>
      </c>
    </row>
    <row r="492" customFormat="false" ht="12.8" hidden="false" customHeight="false" outlineLevel="0" collapsed="false">
      <c r="A492" s="2" t="s">
        <v>84</v>
      </c>
    </row>
    <row r="493" customFormat="false" ht="12.8" hidden="false" customHeight="false" outlineLevel="0" collapsed="false">
      <c r="A493" s="2" t="s">
        <v>84</v>
      </c>
    </row>
    <row r="494" customFormat="false" ht="12.8" hidden="false" customHeight="false" outlineLevel="0" collapsed="false">
      <c r="A494" s="2" t="s">
        <v>84</v>
      </c>
    </row>
    <row r="495" customFormat="false" ht="12.8" hidden="false" customHeight="false" outlineLevel="0" collapsed="false">
      <c r="A495" s="2" t="s">
        <v>84</v>
      </c>
    </row>
    <row r="496" customFormat="false" ht="12.8" hidden="false" customHeight="false" outlineLevel="0" collapsed="false">
      <c r="A496" s="2" t="s">
        <v>28</v>
      </c>
    </row>
    <row r="497" customFormat="false" ht="12.8" hidden="false" customHeight="false" outlineLevel="0" collapsed="false">
      <c r="A497" s="2" t="s">
        <v>28</v>
      </c>
    </row>
    <row r="498" customFormat="false" ht="12.8" hidden="false" customHeight="false" outlineLevel="0" collapsed="false">
      <c r="A498" s="2" t="s">
        <v>28</v>
      </c>
    </row>
    <row r="499" customFormat="false" ht="12.8" hidden="false" customHeight="false" outlineLevel="0" collapsed="false">
      <c r="A499" s="2" t="s">
        <v>28</v>
      </c>
    </row>
    <row r="500" customFormat="false" ht="12.8" hidden="false" customHeight="false" outlineLevel="0" collapsed="false">
      <c r="A500" s="2" t="s">
        <v>84</v>
      </c>
    </row>
    <row r="501" customFormat="false" ht="12.8" hidden="false" customHeight="false" outlineLevel="0" collapsed="false">
      <c r="A501" s="2" t="s">
        <v>84</v>
      </c>
    </row>
    <row r="502" customFormat="false" ht="12.8" hidden="false" customHeight="false" outlineLevel="0" collapsed="false">
      <c r="A502" s="2" t="s">
        <v>28</v>
      </c>
    </row>
    <row r="503" customFormat="false" ht="12.8" hidden="false" customHeight="false" outlineLevel="0" collapsed="false">
      <c r="A503" s="2" t="s">
        <v>28</v>
      </c>
    </row>
    <row r="504" customFormat="false" ht="12.8" hidden="false" customHeight="false" outlineLevel="0" collapsed="false">
      <c r="A504" s="2" t="s">
        <v>28</v>
      </c>
    </row>
    <row r="505" customFormat="false" ht="12.8" hidden="false" customHeight="false" outlineLevel="0" collapsed="false">
      <c r="A505" s="2" t="s">
        <v>84</v>
      </c>
    </row>
    <row r="506" customFormat="false" ht="12.8" hidden="false" customHeight="false" outlineLevel="0" collapsed="false">
      <c r="A506" s="2" t="s">
        <v>28</v>
      </c>
    </row>
    <row r="507" customFormat="false" ht="12.8" hidden="false" customHeight="false" outlineLevel="0" collapsed="false">
      <c r="A507" s="2" t="s">
        <v>28</v>
      </c>
    </row>
    <row r="508" customFormat="false" ht="12.8" hidden="false" customHeight="false" outlineLevel="0" collapsed="false">
      <c r="A508" s="2" t="s">
        <v>28</v>
      </c>
    </row>
    <row r="509" customFormat="false" ht="12.8" hidden="false" customHeight="false" outlineLevel="0" collapsed="false">
      <c r="A509" s="2" t="s">
        <v>28</v>
      </c>
    </row>
    <row r="510" customFormat="false" ht="12.8" hidden="false" customHeight="false" outlineLevel="0" collapsed="false">
      <c r="A510" s="2" t="s">
        <v>28</v>
      </c>
    </row>
    <row r="511" customFormat="false" ht="12.8" hidden="false" customHeight="false" outlineLevel="0" collapsed="false">
      <c r="A511" s="2" t="s">
        <v>28</v>
      </c>
    </row>
    <row r="512" customFormat="false" ht="12.8" hidden="false" customHeight="false" outlineLevel="0" collapsed="false">
      <c r="A512" s="2" t="s">
        <v>84</v>
      </c>
    </row>
    <row r="513" customFormat="false" ht="12.8" hidden="false" customHeight="false" outlineLevel="0" collapsed="false">
      <c r="A513" s="2" t="s">
        <v>84</v>
      </c>
    </row>
    <row r="514" customFormat="false" ht="12.8" hidden="false" customHeight="false" outlineLevel="0" collapsed="false">
      <c r="A514" s="2" t="s">
        <v>28</v>
      </c>
    </row>
    <row r="515" customFormat="false" ht="12.8" hidden="false" customHeight="false" outlineLevel="0" collapsed="false">
      <c r="A515" s="2" t="s">
        <v>28</v>
      </c>
    </row>
    <row r="516" customFormat="false" ht="12.8" hidden="false" customHeight="false" outlineLevel="0" collapsed="false">
      <c r="A516" s="2" t="s">
        <v>28</v>
      </c>
    </row>
    <row r="517" customFormat="false" ht="12.8" hidden="false" customHeight="false" outlineLevel="0" collapsed="false">
      <c r="A517" s="2" t="s">
        <v>28</v>
      </c>
    </row>
    <row r="518" customFormat="false" ht="12.8" hidden="false" customHeight="false" outlineLevel="0" collapsed="false">
      <c r="A518" s="2" t="s">
        <v>28</v>
      </c>
    </row>
    <row r="519" customFormat="false" ht="12.8" hidden="false" customHeight="false" outlineLevel="0" collapsed="false">
      <c r="A519" s="2" t="s">
        <v>28</v>
      </c>
    </row>
    <row r="520" customFormat="false" ht="12.8" hidden="false" customHeight="false" outlineLevel="0" collapsed="false">
      <c r="A520" s="2" t="s">
        <v>28</v>
      </c>
    </row>
    <row r="521" customFormat="false" ht="12.8" hidden="false" customHeight="false" outlineLevel="0" collapsed="false">
      <c r="A521" s="2" t="s">
        <v>28</v>
      </c>
    </row>
    <row r="522" customFormat="false" ht="12.8" hidden="false" customHeight="false" outlineLevel="0" collapsed="false">
      <c r="A522" s="2" t="s">
        <v>28</v>
      </c>
    </row>
    <row r="523" customFormat="false" ht="12.8" hidden="false" customHeight="false" outlineLevel="0" collapsed="false">
      <c r="A523" s="2" t="s">
        <v>28</v>
      </c>
    </row>
    <row r="524" customFormat="false" ht="12.8" hidden="false" customHeight="false" outlineLevel="0" collapsed="false">
      <c r="A524" s="2" t="s">
        <v>28</v>
      </c>
    </row>
    <row r="525" customFormat="false" ht="12.8" hidden="false" customHeight="false" outlineLevel="0" collapsed="false">
      <c r="A525" s="2" t="s">
        <v>84</v>
      </c>
    </row>
    <row r="526" customFormat="false" ht="12.8" hidden="false" customHeight="false" outlineLevel="0" collapsed="false">
      <c r="A526" s="2" t="s">
        <v>28</v>
      </c>
    </row>
    <row r="527" customFormat="false" ht="12.8" hidden="false" customHeight="false" outlineLevel="0" collapsed="false">
      <c r="A527" s="2" t="s">
        <v>84</v>
      </c>
    </row>
    <row r="528" customFormat="false" ht="12.8" hidden="false" customHeight="false" outlineLevel="0" collapsed="false">
      <c r="A528" s="2" t="s">
        <v>28</v>
      </c>
    </row>
    <row r="529" customFormat="false" ht="12.8" hidden="false" customHeight="false" outlineLevel="0" collapsed="false">
      <c r="A529" s="2" t="s">
        <v>28</v>
      </c>
    </row>
    <row r="530" customFormat="false" ht="12.8" hidden="false" customHeight="false" outlineLevel="0" collapsed="false">
      <c r="A530" s="2" t="s">
        <v>28</v>
      </c>
    </row>
    <row r="531" customFormat="false" ht="12.8" hidden="false" customHeight="false" outlineLevel="0" collapsed="false">
      <c r="A531" s="2" t="s">
        <v>28</v>
      </c>
    </row>
    <row r="532" customFormat="false" ht="12.8" hidden="false" customHeight="false" outlineLevel="0" collapsed="false">
      <c r="A532" s="2" t="s">
        <v>28</v>
      </c>
    </row>
    <row r="533" customFormat="false" ht="12.8" hidden="false" customHeight="false" outlineLevel="0" collapsed="false">
      <c r="A533" s="2" t="s">
        <v>28</v>
      </c>
    </row>
    <row r="534" customFormat="false" ht="12.8" hidden="false" customHeight="false" outlineLevel="0" collapsed="false">
      <c r="A534" s="2" t="s">
        <v>28</v>
      </c>
    </row>
    <row r="535" customFormat="false" ht="12.8" hidden="false" customHeight="false" outlineLevel="0" collapsed="false">
      <c r="A535" s="2" t="s">
        <v>28</v>
      </c>
    </row>
    <row r="536" customFormat="false" ht="12.8" hidden="false" customHeight="false" outlineLevel="0" collapsed="false">
      <c r="A536" s="2" t="s">
        <v>28</v>
      </c>
    </row>
    <row r="537" customFormat="false" ht="12.8" hidden="false" customHeight="false" outlineLevel="0" collapsed="false">
      <c r="A537" s="2" t="s">
        <v>28</v>
      </c>
    </row>
    <row r="538" customFormat="false" ht="12.8" hidden="false" customHeight="false" outlineLevel="0" collapsed="false">
      <c r="A538" s="2" t="s">
        <v>28</v>
      </c>
    </row>
    <row r="539" customFormat="false" ht="12.8" hidden="false" customHeight="false" outlineLevel="0" collapsed="false">
      <c r="A539" s="2" t="s">
        <v>28</v>
      </c>
    </row>
    <row r="540" customFormat="false" ht="12.8" hidden="false" customHeight="false" outlineLevel="0" collapsed="false">
      <c r="A540" s="2" t="s">
        <v>28</v>
      </c>
    </row>
    <row r="541" customFormat="false" ht="12.8" hidden="false" customHeight="false" outlineLevel="0" collapsed="false">
      <c r="A541" s="2" t="s">
        <v>28</v>
      </c>
    </row>
    <row r="542" customFormat="false" ht="12.8" hidden="false" customHeight="false" outlineLevel="0" collapsed="false">
      <c r="A542" s="2" t="s">
        <v>28</v>
      </c>
    </row>
    <row r="543" customFormat="false" ht="12.8" hidden="false" customHeight="false" outlineLevel="0" collapsed="false">
      <c r="A543" s="2" t="s">
        <v>28</v>
      </c>
    </row>
    <row r="544" customFormat="false" ht="12.8" hidden="false" customHeight="false" outlineLevel="0" collapsed="false">
      <c r="A544" s="2" t="s">
        <v>28</v>
      </c>
    </row>
    <row r="545" customFormat="false" ht="12.8" hidden="false" customHeight="false" outlineLevel="0" collapsed="false">
      <c r="A545" s="2" t="s">
        <v>28</v>
      </c>
    </row>
    <row r="546" customFormat="false" ht="12.8" hidden="false" customHeight="false" outlineLevel="0" collapsed="false">
      <c r="A546" s="2" t="s">
        <v>84</v>
      </c>
    </row>
    <row r="547" customFormat="false" ht="12.8" hidden="false" customHeight="false" outlineLevel="0" collapsed="false">
      <c r="A547" s="2" t="s">
        <v>84</v>
      </c>
    </row>
    <row r="548" customFormat="false" ht="12.8" hidden="false" customHeight="false" outlineLevel="0" collapsed="false">
      <c r="A548" s="2" t="s">
        <v>84</v>
      </c>
    </row>
    <row r="549" customFormat="false" ht="12.8" hidden="false" customHeight="false" outlineLevel="0" collapsed="false">
      <c r="A549" s="2" t="s">
        <v>84</v>
      </c>
    </row>
    <row r="550" customFormat="false" ht="12.8" hidden="false" customHeight="false" outlineLevel="0" collapsed="false">
      <c r="A550" s="2" t="s">
        <v>28</v>
      </c>
    </row>
    <row r="551" customFormat="false" ht="12.8" hidden="false" customHeight="false" outlineLevel="0" collapsed="false">
      <c r="A551" s="2" t="s">
        <v>28</v>
      </c>
    </row>
    <row r="552" customFormat="false" ht="12.8" hidden="false" customHeight="false" outlineLevel="0" collapsed="false">
      <c r="A552" s="2" t="s">
        <v>28</v>
      </c>
    </row>
    <row r="553" customFormat="false" ht="12.8" hidden="false" customHeight="false" outlineLevel="0" collapsed="false">
      <c r="A553" s="2" t="s">
        <v>28</v>
      </c>
    </row>
    <row r="554" customFormat="false" ht="12.8" hidden="false" customHeight="false" outlineLevel="0" collapsed="false">
      <c r="A554" s="2" t="s">
        <v>28</v>
      </c>
    </row>
    <row r="555" customFormat="false" ht="12.8" hidden="false" customHeight="false" outlineLevel="0" collapsed="false">
      <c r="A555" s="2" t="s">
        <v>28</v>
      </c>
    </row>
    <row r="556" customFormat="false" ht="12.8" hidden="false" customHeight="false" outlineLevel="0" collapsed="false">
      <c r="A556" s="2" t="s">
        <v>28</v>
      </c>
    </row>
    <row r="557" customFormat="false" ht="12.8" hidden="false" customHeight="false" outlineLevel="0" collapsed="false">
      <c r="A557" s="2" t="s">
        <v>28</v>
      </c>
    </row>
    <row r="558" customFormat="false" ht="12.8" hidden="false" customHeight="false" outlineLevel="0" collapsed="false">
      <c r="A558" s="2" t="s">
        <v>28</v>
      </c>
    </row>
    <row r="559" customFormat="false" ht="12.8" hidden="false" customHeight="false" outlineLevel="0" collapsed="false">
      <c r="A559" s="2" t="s">
        <v>28</v>
      </c>
    </row>
    <row r="560" customFormat="false" ht="12.8" hidden="false" customHeight="false" outlineLevel="0" collapsed="false">
      <c r="A560" s="2" t="s">
        <v>84</v>
      </c>
    </row>
    <row r="561" customFormat="false" ht="12.8" hidden="false" customHeight="false" outlineLevel="0" collapsed="false">
      <c r="A561" s="2" t="s">
        <v>28</v>
      </c>
    </row>
    <row r="562" customFormat="false" ht="12.8" hidden="false" customHeight="false" outlineLevel="0" collapsed="false">
      <c r="A562" s="2" t="s">
        <v>28</v>
      </c>
    </row>
    <row r="563" customFormat="false" ht="12.8" hidden="false" customHeight="false" outlineLevel="0" collapsed="false">
      <c r="A563" s="2" t="s">
        <v>28</v>
      </c>
    </row>
    <row r="564" customFormat="false" ht="12.8" hidden="false" customHeight="false" outlineLevel="0" collapsed="false">
      <c r="A564" s="2" t="s">
        <v>28</v>
      </c>
    </row>
    <row r="565" customFormat="false" ht="12.8" hidden="false" customHeight="false" outlineLevel="0" collapsed="false">
      <c r="A565" s="2" t="s">
        <v>28</v>
      </c>
    </row>
    <row r="566" customFormat="false" ht="12.8" hidden="false" customHeight="false" outlineLevel="0" collapsed="false">
      <c r="A566" s="2" t="s">
        <v>28</v>
      </c>
    </row>
    <row r="567" customFormat="false" ht="12.8" hidden="false" customHeight="false" outlineLevel="0" collapsed="false">
      <c r="A567" s="2" t="s">
        <v>84</v>
      </c>
    </row>
    <row r="568" customFormat="false" ht="12.8" hidden="false" customHeight="false" outlineLevel="0" collapsed="false">
      <c r="A568" s="2" t="s">
        <v>28</v>
      </c>
    </row>
    <row r="569" customFormat="false" ht="12.8" hidden="false" customHeight="false" outlineLevel="0" collapsed="false">
      <c r="A569" s="2" t="s">
        <v>84</v>
      </c>
    </row>
    <row r="570" customFormat="false" ht="12.8" hidden="false" customHeight="false" outlineLevel="0" collapsed="false">
      <c r="A570" s="2" t="s">
        <v>28</v>
      </c>
    </row>
    <row r="571" customFormat="false" ht="12.8" hidden="false" customHeight="false" outlineLevel="0" collapsed="false">
      <c r="A571" s="2" t="s">
        <v>28</v>
      </c>
    </row>
    <row r="572" customFormat="false" ht="12.8" hidden="false" customHeight="false" outlineLevel="0" collapsed="false">
      <c r="A572" s="2" t="s">
        <v>28</v>
      </c>
    </row>
    <row r="573" customFormat="false" ht="12.8" hidden="false" customHeight="false" outlineLevel="0" collapsed="false">
      <c r="A573" s="2" t="s">
        <v>28</v>
      </c>
    </row>
    <row r="574" customFormat="false" ht="12.8" hidden="false" customHeight="false" outlineLevel="0" collapsed="false">
      <c r="A574" s="2" t="s">
        <v>28</v>
      </c>
    </row>
    <row r="575" customFormat="false" ht="12.8" hidden="false" customHeight="false" outlineLevel="0" collapsed="false">
      <c r="A575" s="2" t="s">
        <v>28</v>
      </c>
    </row>
    <row r="576" customFormat="false" ht="12.8" hidden="false" customHeight="false" outlineLevel="0" collapsed="false">
      <c r="A576" s="2" t="s">
        <v>84</v>
      </c>
    </row>
    <row r="577" customFormat="false" ht="12.8" hidden="false" customHeight="false" outlineLevel="0" collapsed="false">
      <c r="A577" s="2" t="s">
        <v>28</v>
      </c>
    </row>
    <row r="578" customFormat="false" ht="12.8" hidden="false" customHeight="false" outlineLevel="0" collapsed="false">
      <c r="A578" s="2" t="s">
        <v>28</v>
      </c>
    </row>
    <row r="579" customFormat="false" ht="12.8" hidden="false" customHeight="false" outlineLevel="0" collapsed="false">
      <c r="A579" s="2" t="s">
        <v>28</v>
      </c>
    </row>
    <row r="580" customFormat="false" ht="12.8" hidden="false" customHeight="false" outlineLevel="0" collapsed="false">
      <c r="A580" s="2" t="s">
        <v>28</v>
      </c>
    </row>
    <row r="581" customFormat="false" ht="12.8" hidden="false" customHeight="false" outlineLevel="0" collapsed="false">
      <c r="A581" s="2" t="s">
        <v>28</v>
      </c>
    </row>
    <row r="582" customFormat="false" ht="12.8" hidden="false" customHeight="false" outlineLevel="0" collapsed="false">
      <c r="A582" s="2" t="s">
        <v>28</v>
      </c>
    </row>
    <row r="583" customFormat="false" ht="12.8" hidden="false" customHeight="false" outlineLevel="0" collapsed="false">
      <c r="A583" s="2" t="s">
        <v>28</v>
      </c>
    </row>
    <row r="584" customFormat="false" ht="12.8" hidden="false" customHeight="false" outlineLevel="0" collapsed="false">
      <c r="A584" s="2" t="s">
        <v>28</v>
      </c>
    </row>
    <row r="585" customFormat="false" ht="12.8" hidden="false" customHeight="false" outlineLevel="0" collapsed="false">
      <c r="A585" s="2" t="s">
        <v>28</v>
      </c>
    </row>
    <row r="586" customFormat="false" ht="12.8" hidden="false" customHeight="false" outlineLevel="0" collapsed="false">
      <c r="A586" s="2" t="s">
        <v>28</v>
      </c>
    </row>
    <row r="587" customFormat="false" ht="12.8" hidden="false" customHeight="false" outlineLevel="0" collapsed="false">
      <c r="A587" s="2" t="s">
        <v>28</v>
      </c>
    </row>
    <row r="588" customFormat="false" ht="12.8" hidden="false" customHeight="false" outlineLevel="0" collapsed="false">
      <c r="A588" s="2" t="s">
        <v>28</v>
      </c>
    </row>
    <row r="589" customFormat="false" ht="12.8" hidden="false" customHeight="false" outlineLevel="0" collapsed="false">
      <c r="A589" s="2" t="s">
        <v>28</v>
      </c>
    </row>
    <row r="590" customFormat="false" ht="12.8" hidden="false" customHeight="false" outlineLevel="0" collapsed="false">
      <c r="A590" s="2" t="s">
        <v>28</v>
      </c>
    </row>
    <row r="591" customFormat="false" ht="12.8" hidden="false" customHeight="false" outlineLevel="0" collapsed="false">
      <c r="A591" s="2" t="s">
        <v>28</v>
      </c>
    </row>
    <row r="592" customFormat="false" ht="12.8" hidden="false" customHeight="false" outlineLevel="0" collapsed="false">
      <c r="A592" s="2" t="s">
        <v>28</v>
      </c>
    </row>
    <row r="593" customFormat="false" ht="12.8" hidden="false" customHeight="false" outlineLevel="0" collapsed="false">
      <c r="A593" s="2" t="s">
        <v>28</v>
      </c>
    </row>
    <row r="594" customFormat="false" ht="12.8" hidden="false" customHeight="false" outlineLevel="0" collapsed="false">
      <c r="A594" s="2" t="s">
        <v>28</v>
      </c>
    </row>
    <row r="595" customFormat="false" ht="12.8" hidden="false" customHeight="false" outlineLevel="0" collapsed="false">
      <c r="A595" s="2" t="s">
        <v>28</v>
      </c>
    </row>
    <row r="596" customFormat="false" ht="12.8" hidden="false" customHeight="false" outlineLevel="0" collapsed="false">
      <c r="A596" s="2" t="s">
        <v>28</v>
      </c>
    </row>
    <row r="597" customFormat="false" ht="12.8" hidden="false" customHeight="false" outlineLevel="0" collapsed="false">
      <c r="A597" s="2" t="s">
        <v>28</v>
      </c>
    </row>
    <row r="598" customFormat="false" ht="12.8" hidden="false" customHeight="false" outlineLevel="0" collapsed="false">
      <c r="A598" s="2" t="s">
        <v>28</v>
      </c>
    </row>
    <row r="599" customFormat="false" ht="12.8" hidden="false" customHeight="false" outlineLevel="0" collapsed="false">
      <c r="A599" s="2" t="s">
        <v>28</v>
      </c>
    </row>
    <row r="600" customFormat="false" ht="12.8" hidden="false" customHeight="false" outlineLevel="0" collapsed="false">
      <c r="A600" s="2" t="s">
        <v>28</v>
      </c>
    </row>
    <row r="601" customFormat="false" ht="12.8" hidden="false" customHeight="false" outlineLevel="0" collapsed="false">
      <c r="A601" s="2" t="s">
        <v>28</v>
      </c>
    </row>
    <row r="602" customFormat="false" ht="12.8" hidden="false" customHeight="false" outlineLevel="0" collapsed="false">
      <c r="A602" s="2" t="s">
        <v>28</v>
      </c>
    </row>
    <row r="603" customFormat="false" ht="12.8" hidden="false" customHeight="false" outlineLevel="0" collapsed="false">
      <c r="A603" s="2" t="s">
        <v>28</v>
      </c>
    </row>
    <row r="604" customFormat="false" ht="12.8" hidden="false" customHeight="false" outlineLevel="0" collapsed="false">
      <c r="A604" s="2" t="s">
        <v>28</v>
      </c>
    </row>
    <row r="605" customFormat="false" ht="12.8" hidden="false" customHeight="false" outlineLevel="0" collapsed="false">
      <c r="A605" s="2" t="s">
        <v>28</v>
      </c>
    </row>
    <row r="606" customFormat="false" ht="12.8" hidden="false" customHeight="false" outlineLevel="0" collapsed="false">
      <c r="A606" s="2" t="s">
        <v>28</v>
      </c>
    </row>
    <row r="607" customFormat="false" ht="12.8" hidden="false" customHeight="false" outlineLevel="0" collapsed="false">
      <c r="A607" s="2" t="s">
        <v>28</v>
      </c>
    </row>
    <row r="608" customFormat="false" ht="12.8" hidden="false" customHeight="false" outlineLevel="0" collapsed="false">
      <c r="A608" s="2" t="s">
        <v>28</v>
      </c>
    </row>
    <row r="609" customFormat="false" ht="12.8" hidden="false" customHeight="false" outlineLevel="0" collapsed="false">
      <c r="A609" s="2" t="s">
        <v>28</v>
      </c>
    </row>
    <row r="610" customFormat="false" ht="12.8" hidden="false" customHeight="false" outlineLevel="0" collapsed="false">
      <c r="A610" s="2" t="s">
        <v>28</v>
      </c>
    </row>
    <row r="611" customFormat="false" ht="12.8" hidden="false" customHeight="false" outlineLevel="0" collapsed="false">
      <c r="A611" s="2" t="s">
        <v>28</v>
      </c>
    </row>
    <row r="612" customFormat="false" ht="12.8" hidden="false" customHeight="false" outlineLevel="0" collapsed="false">
      <c r="A612" s="2" t="s">
        <v>28</v>
      </c>
    </row>
    <row r="613" customFormat="false" ht="12.8" hidden="false" customHeight="false" outlineLevel="0" collapsed="false">
      <c r="A613" s="2" t="s">
        <v>28</v>
      </c>
    </row>
    <row r="614" customFormat="false" ht="12.8" hidden="false" customHeight="false" outlineLevel="0" collapsed="false">
      <c r="A614" s="2" t="s">
        <v>28</v>
      </c>
    </row>
    <row r="615" customFormat="false" ht="12.8" hidden="false" customHeight="false" outlineLevel="0" collapsed="false">
      <c r="A615" s="2" t="s">
        <v>28</v>
      </c>
    </row>
    <row r="616" customFormat="false" ht="12.8" hidden="false" customHeight="false" outlineLevel="0" collapsed="false">
      <c r="A616" s="2" t="s">
        <v>28</v>
      </c>
    </row>
    <row r="617" customFormat="false" ht="12.8" hidden="false" customHeight="false" outlineLevel="0" collapsed="false">
      <c r="A617" s="2" t="s">
        <v>28</v>
      </c>
    </row>
    <row r="618" customFormat="false" ht="12.8" hidden="false" customHeight="false" outlineLevel="0" collapsed="false">
      <c r="A618" s="2" t="s">
        <v>28</v>
      </c>
    </row>
    <row r="619" customFormat="false" ht="12.8" hidden="false" customHeight="false" outlineLevel="0" collapsed="false">
      <c r="A619" s="2" t="s">
        <v>28</v>
      </c>
    </row>
    <row r="620" customFormat="false" ht="12.8" hidden="false" customHeight="false" outlineLevel="0" collapsed="false">
      <c r="A620" s="2" t="s">
        <v>28</v>
      </c>
    </row>
    <row r="621" customFormat="false" ht="12.8" hidden="false" customHeight="false" outlineLevel="0" collapsed="false">
      <c r="A621" s="2" t="s">
        <v>28</v>
      </c>
    </row>
    <row r="622" customFormat="false" ht="12.8" hidden="false" customHeight="false" outlineLevel="0" collapsed="false">
      <c r="A622" s="2" t="s">
        <v>28</v>
      </c>
    </row>
    <row r="623" customFormat="false" ht="12.8" hidden="false" customHeight="false" outlineLevel="0" collapsed="false">
      <c r="A623" s="2" t="s">
        <v>28</v>
      </c>
    </row>
    <row r="624" customFormat="false" ht="12.8" hidden="false" customHeight="false" outlineLevel="0" collapsed="false">
      <c r="A624" s="2" t="s">
        <v>28</v>
      </c>
    </row>
    <row r="625" customFormat="false" ht="12.8" hidden="false" customHeight="false" outlineLevel="0" collapsed="false">
      <c r="A625" s="2" t="s">
        <v>28</v>
      </c>
    </row>
    <row r="626" customFormat="false" ht="12.8" hidden="false" customHeight="false" outlineLevel="0" collapsed="false">
      <c r="A626" s="2" t="s">
        <v>28</v>
      </c>
    </row>
    <row r="627" customFormat="false" ht="12.8" hidden="false" customHeight="false" outlineLevel="0" collapsed="false">
      <c r="A627" s="2" t="s">
        <v>28</v>
      </c>
    </row>
    <row r="628" customFormat="false" ht="12.8" hidden="false" customHeight="false" outlineLevel="0" collapsed="false">
      <c r="A628" s="2" t="s">
        <v>28</v>
      </c>
    </row>
    <row r="629" customFormat="false" ht="12.8" hidden="false" customHeight="false" outlineLevel="0" collapsed="false">
      <c r="A629" s="2" t="s">
        <v>28</v>
      </c>
    </row>
    <row r="630" customFormat="false" ht="12.8" hidden="false" customHeight="false" outlineLevel="0" collapsed="false">
      <c r="A630" s="2" t="s">
        <v>28</v>
      </c>
    </row>
    <row r="631" customFormat="false" ht="12.8" hidden="false" customHeight="false" outlineLevel="0" collapsed="false">
      <c r="A631" s="2" t="s">
        <v>28</v>
      </c>
    </row>
    <row r="632" customFormat="false" ht="12.8" hidden="false" customHeight="false" outlineLevel="0" collapsed="false">
      <c r="A632" s="2" t="s">
        <v>28</v>
      </c>
    </row>
    <row r="633" customFormat="false" ht="12.8" hidden="false" customHeight="false" outlineLevel="0" collapsed="false">
      <c r="A633" s="2" t="s">
        <v>28</v>
      </c>
    </row>
    <row r="634" customFormat="false" ht="12.8" hidden="false" customHeight="false" outlineLevel="0" collapsed="false">
      <c r="A634" s="2" t="s">
        <v>28</v>
      </c>
    </row>
    <row r="635" customFormat="false" ht="12.8" hidden="false" customHeight="false" outlineLevel="0" collapsed="false">
      <c r="A635" s="2" t="s">
        <v>28</v>
      </c>
    </row>
    <row r="636" customFormat="false" ht="12.8" hidden="false" customHeight="false" outlineLevel="0" collapsed="false">
      <c r="A636" s="2" t="s">
        <v>28</v>
      </c>
    </row>
    <row r="637" customFormat="false" ht="12.8" hidden="false" customHeight="false" outlineLevel="0" collapsed="false">
      <c r="A637" s="2" t="s">
        <v>28</v>
      </c>
    </row>
    <row r="638" customFormat="false" ht="12.8" hidden="false" customHeight="false" outlineLevel="0" collapsed="false">
      <c r="A638" s="2" t="s">
        <v>28</v>
      </c>
    </row>
    <row r="639" customFormat="false" ht="12.8" hidden="false" customHeight="false" outlineLevel="0" collapsed="false">
      <c r="A639" s="2" t="s">
        <v>28</v>
      </c>
    </row>
    <row r="640" customFormat="false" ht="12.8" hidden="false" customHeight="false" outlineLevel="0" collapsed="false">
      <c r="A640" s="2" t="s">
        <v>28</v>
      </c>
    </row>
    <row r="641" customFormat="false" ht="12.8" hidden="false" customHeight="false" outlineLevel="0" collapsed="false">
      <c r="A641" s="2" t="s">
        <v>28</v>
      </c>
    </row>
    <row r="642" customFormat="false" ht="12.8" hidden="false" customHeight="false" outlineLevel="0" collapsed="false">
      <c r="A642" s="2" t="s">
        <v>28</v>
      </c>
    </row>
    <row r="643" customFormat="false" ht="12.8" hidden="false" customHeight="false" outlineLevel="0" collapsed="false">
      <c r="A643" s="2" t="s">
        <v>28</v>
      </c>
    </row>
    <row r="644" customFormat="false" ht="12.8" hidden="false" customHeight="false" outlineLevel="0" collapsed="false">
      <c r="A644" s="2" t="s">
        <v>28</v>
      </c>
    </row>
    <row r="645" customFormat="false" ht="12.8" hidden="false" customHeight="false" outlineLevel="0" collapsed="false">
      <c r="A645" s="2" t="s">
        <v>84</v>
      </c>
    </row>
    <row r="646" customFormat="false" ht="12.8" hidden="false" customHeight="false" outlineLevel="0" collapsed="false">
      <c r="A646" s="2" t="s">
        <v>28</v>
      </c>
    </row>
    <row r="647" customFormat="false" ht="12.8" hidden="false" customHeight="false" outlineLevel="0" collapsed="false">
      <c r="A647" s="2" t="s">
        <v>28</v>
      </c>
    </row>
    <row r="648" customFormat="false" ht="12.8" hidden="false" customHeight="false" outlineLevel="0" collapsed="false">
      <c r="A648" s="2" t="s">
        <v>28</v>
      </c>
    </row>
    <row r="649" customFormat="false" ht="12.8" hidden="false" customHeight="false" outlineLevel="0" collapsed="false">
      <c r="A649" s="2" t="s">
        <v>28</v>
      </c>
    </row>
    <row r="650" customFormat="false" ht="12.8" hidden="false" customHeight="false" outlineLevel="0" collapsed="false">
      <c r="A650" s="2" t="s">
        <v>28</v>
      </c>
    </row>
    <row r="651" customFormat="false" ht="12.8" hidden="false" customHeight="false" outlineLevel="0" collapsed="false">
      <c r="A651" s="2" t="s">
        <v>28</v>
      </c>
    </row>
    <row r="652" customFormat="false" ht="12.8" hidden="false" customHeight="false" outlineLevel="0" collapsed="false">
      <c r="A652" s="2" t="s">
        <v>28</v>
      </c>
    </row>
    <row r="653" customFormat="false" ht="12.8" hidden="false" customHeight="false" outlineLevel="0" collapsed="false">
      <c r="A653" s="2" t="s">
        <v>28</v>
      </c>
    </row>
    <row r="654" customFormat="false" ht="12.8" hidden="false" customHeight="false" outlineLevel="0" collapsed="false">
      <c r="A654" s="2" t="s">
        <v>28</v>
      </c>
    </row>
    <row r="655" customFormat="false" ht="12.8" hidden="false" customHeight="false" outlineLevel="0" collapsed="false">
      <c r="A655" s="2" t="s">
        <v>28</v>
      </c>
    </row>
    <row r="656" customFormat="false" ht="12.8" hidden="false" customHeight="false" outlineLevel="0" collapsed="false">
      <c r="A656" s="2" t="s">
        <v>28</v>
      </c>
    </row>
    <row r="657" customFormat="false" ht="12.8" hidden="false" customHeight="false" outlineLevel="0" collapsed="false">
      <c r="A657" s="2" t="s">
        <v>28</v>
      </c>
    </row>
    <row r="658" customFormat="false" ht="12.8" hidden="false" customHeight="false" outlineLevel="0" collapsed="false">
      <c r="A658" s="2" t="s">
        <v>28</v>
      </c>
    </row>
    <row r="659" customFormat="false" ht="12.8" hidden="false" customHeight="false" outlineLevel="0" collapsed="false">
      <c r="A659" s="2" t="s">
        <v>28</v>
      </c>
    </row>
    <row r="660" customFormat="false" ht="12.8" hidden="false" customHeight="false" outlineLevel="0" collapsed="false">
      <c r="A660" s="2" t="s">
        <v>28</v>
      </c>
    </row>
    <row r="661" customFormat="false" ht="12.8" hidden="false" customHeight="false" outlineLevel="0" collapsed="false">
      <c r="A661" s="2" t="s">
        <v>28</v>
      </c>
    </row>
    <row r="662" customFormat="false" ht="12.8" hidden="false" customHeight="false" outlineLevel="0" collapsed="false">
      <c r="A662" s="2" t="s">
        <v>28</v>
      </c>
    </row>
    <row r="663" customFormat="false" ht="12.8" hidden="false" customHeight="false" outlineLevel="0" collapsed="false">
      <c r="A663" s="2" t="s">
        <v>28</v>
      </c>
    </row>
    <row r="664" customFormat="false" ht="12.8" hidden="false" customHeight="false" outlineLevel="0" collapsed="false">
      <c r="A664" s="2" t="s">
        <v>28</v>
      </c>
    </row>
    <row r="665" customFormat="false" ht="12.8" hidden="false" customHeight="false" outlineLevel="0" collapsed="false">
      <c r="A665" s="2" t="s">
        <v>28</v>
      </c>
    </row>
    <row r="666" customFormat="false" ht="12.8" hidden="false" customHeight="false" outlineLevel="0" collapsed="false">
      <c r="A666" s="2" t="s">
        <v>28</v>
      </c>
    </row>
    <row r="667" customFormat="false" ht="12.8" hidden="false" customHeight="false" outlineLevel="0" collapsed="false">
      <c r="A667" s="2" t="s">
        <v>28</v>
      </c>
    </row>
    <row r="668" customFormat="false" ht="12.8" hidden="false" customHeight="false" outlineLevel="0" collapsed="false">
      <c r="A668" s="2" t="s">
        <v>28</v>
      </c>
    </row>
    <row r="669" customFormat="false" ht="12.8" hidden="false" customHeight="false" outlineLevel="0" collapsed="false">
      <c r="A669" s="2" t="s">
        <v>28</v>
      </c>
    </row>
    <row r="670" customFormat="false" ht="12.8" hidden="false" customHeight="false" outlineLevel="0" collapsed="false">
      <c r="A670" s="2" t="s">
        <v>28</v>
      </c>
    </row>
    <row r="671" customFormat="false" ht="12.8" hidden="false" customHeight="false" outlineLevel="0" collapsed="false">
      <c r="A671" s="2" t="s">
        <v>28</v>
      </c>
    </row>
    <row r="672" customFormat="false" ht="12.8" hidden="false" customHeight="false" outlineLevel="0" collapsed="false">
      <c r="A672" s="2" t="s">
        <v>28</v>
      </c>
    </row>
    <row r="673" customFormat="false" ht="12.8" hidden="false" customHeight="false" outlineLevel="0" collapsed="false">
      <c r="A673" s="2" t="s">
        <v>28</v>
      </c>
    </row>
    <row r="674" customFormat="false" ht="12.8" hidden="false" customHeight="false" outlineLevel="0" collapsed="false">
      <c r="A674" s="2" t="s">
        <v>28</v>
      </c>
    </row>
    <row r="675" customFormat="false" ht="12.8" hidden="false" customHeight="false" outlineLevel="0" collapsed="false">
      <c r="A675" s="2" t="s">
        <v>28</v>
      </c>
    </row>
    <row r="676" customFormat="false" ht="12.8" hidden="false" customHeight="false" outlineLevel="0" collapsed="false">
      <c r="A676" s="2" t="s">
        <v>28</v>
      </c>
    </row>
    <row r="677" customFormat="false" ht="12.8" hidden="false" customHeight="false" outlineLevel="0" collapsed="false">
      <c r="A677" s="2" t="s">
        <v>28</v>
      </c>
    </row>
    <row r="678" customFormat="false" ht="12.8" hidden="false" customHeight="false" outlineLevel="0" collapsed="false">
      <c r="A678" s="2" t="s">
        <v>28</v>
      </c>
    </row>
    <row r="679" customFormat="false" ht="12.8" hidden="false" customHeight="false" outlineLevel="0" collapsed="false">
      <c r="A679" s="2" t="s">
        <v>28</v>
      </c>
    </row>
    <row r="680" customFormat="false" ht="12.8" hidden="false" customHeight="false" outlineLevel="0" collapsed="false">
      <c r="A680" s="2" t="s">
        <v>28</v>
      </c>
    </row>
    <row r="681" customFormat="false" ht="12.8" hidden="false" customHeight="false" outlineLevel="0" collapsed="false">
      <c r="A681" s="2" t="s">
        <v>28</v>
      </c>
    </row>
    <row r="682" customFormat="false" ht="12.8" hidden="false" customHeight="false" outlineLevel="0" collapsed="false">
      <c r="A682" s="2" t="s">
        <v>28</v>
      </c>
    </row>
    <row r="683" customFormat="false" ht="12.8" hidden="false" customHeight="false" outlineLevel="0" collapsed="false">
      <c r="A683" s="2" t="s">
        <v>28</v>
      </c>
    </row>
    <row r="684" customFormat="false" ht="12.8" hidden="false" customHeight="false" outlineLevel="0" collapsed="false">
      <c r="A684" s="2" t="s">
        <v>28</v>
      </c>
    </row>
    <row r="685" customFormat="false" ht="12.8" hidden="false" customHeight="false" outlineLevel="0" collapsed="false">
      <c r="A685" s="2" t="s">
        <v>28</v>
      </c>
    </row>
    <row r="686" customFormat="false" ht="12.8" hidden="false" customHeight="false" outlineLevel="0" collapsed="false">
      <c r="A686" s="2" t="s">
        <v>28</v>
      </c>
    </row>
    <row r="687" customFormat="false" ht="12.8" hidden="false" customHeight="false" outlineLevel="0" collapsed="false">
      <c r="A687" s="2" t="s">
        <v>28</v>
      </c>
    </row>
    <row r="688" customFormat="false" ht="12.8" hidden="false" customHeight="false" outlineLevel="0" collapsed="false">
      <c r="A688" s="2" t="s">
        <v>28</v>
      </c>
    </row>
    <row r="689" customFormat="false" ht="12.8" hidden="false" customHeight="false" outlineLevel="0" collapsed="false">
      <c r="A689" s="2" t="s">
        <v>28</v>
      </c>
    </row>
    <row r="690" customFormat="false" ht="12.8" hidden="false" customHeight="false" outlineLevel="0" collapsed="false">
      <c r="A690" s="2" t="s">
        <v>28</v>
      </c>
    </row>
    <row r="691" customFormat="false" ht="12.8" hidden="false" customHeight="false" outlineLevel="0" collapsed="false">
      <c r="A691" s="2" t="s">
        <v>28</v>
      </c>
    </row>
    <row r="692" customFormat="false" ht="12.8" hidden="false" customHeight="false" outlineLevel="0" collapsed="false">
      <c r="A692" s="2" t="s">
        <v>28</v>
      </c>
    </row>
    <row r="693" customFormat="false" ht="12.8" hidden="false" customHeight="false" outlineLevel="0" collapsed="false">
      <c r="A693" s="2" t="s">
        <v>28</v>
      </c>
    </row>
    <row r="694" customFormat="false" ht="12.8" hidden="false" customHeight="false" outlineLevel="0" collapsed="false">
      <c r="A694" s="2" t="s">
        <v>36</v>
      </c>
    </row>
    <row r="695" customFormat="false" ht="12.8" hidden="false" customHeight="false" outlineLevel="0" collapsed="false">
      <c r="A695" s="2" t="s">
        <v>28</v>
      </c>
    </row>
    <row r="696" customFormat="false" ht="12.8" hidden="false" customHeight="false" outlineLevel="0" collapsed="false">
      <c r="A696" s="2" t="s">
        <v>28</v>
      </c>
    </row>
    <row r="697" customFormat="false" ht="12.8" hidden="false" customHeight="false" outlineLevel="0" collapsed="false">
      <c r="A697" s="2" t="s">
        <v>28</v>
      </c>
    </row>
    <row r="698" customFormat="false" ht="12.8" hidden="false" customHeight="false" outlineLevel="0" collapsed="false">
      <c r="A698" s="2" t="s">
        <v>28</v>
      </c>
    </row>
    <row r="699" customFormat="false" ht="12.8" hidden="false" customHeight="false" outlineLevel="0" collapsed="false">
      <c r="A699" s="2" t="s">
        <v>28</v>
      </c>
    </row>
    <row r="700" customFormat="false" ht="12.8" hidden="false" customHeight="false" outlineLevel="0" collapsed="false">
      <c r="A700" s="2" t="s">
        <v>28</v>
      </c>
    </row>
    <row r="701" customFormat="false" ht="12.8" hidden="false" customHeight="false" outlineLevel="0" collapsed="false">
      <c r="A701" s="2" t="s">
        <v>36</v>
      </c>
    </row>
    <row r="702" customFormat="false" ht="12.8" hidden="false" customHeight="false" outlineLevel="0" collapsed="false">
      <c r="A702" s="2" t="s">
        <v>28</v>
      </c>
    </row>
    <row r="703" customFormat="false" ht="12.8" hidden="false" customHeight="false" outlineLevel="0" collapsed="false">
      <c r="A703" s="2" t="s">
        <v>28</v>
      </c>
    </row>
    <row r="704" customFormat="false" ht="12.8" hidden="false" customHeight="false" outlineLevel="0" collapsed="false">
      <c r="A704" s="2" t="s">
        <v>28</v>
      </c>
    </row>
    <row r="705" customFormat="false" ht="12.8" hidden="false" customHeight="false" outlineLevel="0" collapsed="false">
      <c r="A705" s="2" t="s">
        <v>28</v>
      </c>
    </row>
    <row r="706" customFormat="false" ht="12.8" hidden="false" customHeight="false" outlineLevel="0" collapsed="false">
      <c r="A706" s="2" t="s">
        <v>28</v>
      </c>
    </row>
    <row r="707" customFormat="false" ht="12.8" hidden="false" customHeight="false" outlineLevel="0" collapsed="false">
      <c r="A707" s="2" t="s">
        <v>28</v>
      </c>
    </row>
    <row r="708" customFormat="false" ht="12.8" hidden="false" customHeight="false" outlineLevel="0" collapsed="false">
      <c r="A708" s="2" t="s">
        <v>28</v>
      </c>
    </row>
    <row r="709" customFormat="false" ht="12.8" hidden="false" customHeight="false" outlineLevel="0" collapsed="false">
      <c r="A709" s="2" t="s">
        <v>28</v>
      </c>
    </row>
    <row r="710" customFormat="false" ht="12.8" hidden="false" customHeight="false" outlineLevel="0" collapsed="false">
      <c r="A710" s="2" t="s">
        <v>28</v>
      </c>
    </row>
    <row r="711" customFormat="false" ht="12.8" hidden="false" customHeight="false" outlineLevel="0" collapsed="false">
      <c r="A711" s="2" t="s">
        <v>28</v>
      </c>
    </row>
    <row r="712" customFormat="false" ht="12.8" hidden="false" customHeight="false" outlineLevel="0" collapsed="false">
      <c r="A712" s="2" t="s">
        <v>28</v>
      </c>
    </row>
    <row r="713" customFormat="false" ht="12.8" hidden="false" customHeight="false" outlineLevel="0" collapsed="false">
      <c r="A713" s="2" t="s">
        <v>28</v>
      </c>
    </row>
    <row r="714" customFormat="false" ht="12.8" hidden="false" customHeight="false" outlineLevel="0" collapsed="false">
      <c r="A714" s="2" t="s">
        <v>28</v>
      </c>
    </row>
    <row r="715" customFormat="false" ht="12.8" hidden="false" customHeight="false" outlineLevel="0" collapsed="false">
      <c r="A715" s="2" t="s">
        <v>28</v>
      </c>
    </row>
    <row r="716" customFormat="false" ht="12.8" hidden="false" customHeight="false" outlineLevel="0" collapsed="false">
      <c r="A716" s="2" t="s">
        <v>28</v>
      </c>
    </row>
    <row r="717" customFormat="false" ht="12.8" hidden="false" customHeight="false" outlineLevel="0" collapsed="false">
      <c r="A717" s="2" t="s">
        <v>28</v>
      </c>
    </row>
    <row r="718" customFormat="false" ht="12.8" hidden="false" customHeight="false" outlineLevel="0" collapsed="false">
      <c r="A718" s="2" t="s">
        <v>36</v>
      </c>
    </row>
    <row r="719" customFormat="false" ht="12.8" hidden="false" customHeight="false" outlineLevel="0" collapsed="false">
      <c r="A719" s="2" t="s">
        <v>28</v>
      </c>
    </row>
    <row r="720" customFormat="false" ht="12.8" hidden="false" customHeight="false" outlineLevel="0" collapsed="false">
      <c r="A720" s="2" t="s">
        <v>28</v>
      </c>
    </row>
    <row r="721" customFormat="false" ht="12.8" hidden="false" customHeight="false" outlineLevel="0" collapsed="false">
      <c r="A721" s="2" t="s">
        <v>28</v>
      </c>
    </row>
    <row r="722" customFormat="false" ht="12.8" hidden="false" customHeight="false" outlineLevel="0" collapsed="false">
      <c r="A722" s="2" t="s">
        <v>28</v>
      </c>
    </row>
    <row r="723" customFormat="false" ht="12.8" hidden="false" customHeight="false" outlineLevel="0" collapsed="false">
      <c r="A723" s="2" t="s">
        <v>28</v>
      </c>
    </row>
    <row r="724" customFormat="false" ht="12.8" hidden="false" customHeight="false" outlineLevel="0" collapsed="false">
      <c r="A724" s="2" t="s">
        <v>28</v>
      </c>
    </row>
    <row r="725" customFormat="false" ht="12.8" hidden="false" customHeight="false" outlineLevel="0" collapsed="false">
      <c r="A725" s="2" t="s">
        <v>28</v>
      </c>
    </row>
    <row r="726" customFormat="false" ht="12.8" hidden="false" customHeight="false" outlineLevel="0" collapsed="false">
      <c r="A726" s="2" t="s">
        <v>28</v>
      </c>
    </row>
    <row r="727" customFormat="false" ht="12.8" hidden="false" customHeight="false" outlineLevel="0" collapsed="false">
      <c r="A727" s="2" t="s">
        <v>28</v>
      </c>
    </row>
    <row r="728" customFormat="false" ht="12.8" hidden="false" customHeight="false" outlineLevel="0" collapsed="false">
      <c r="A728" s="2" t="s">
        <v>28</v>
      </c>
    </row>
    <row r="729" customFormat="false" ht="12.8" hidden="false" customHeight="false" outlineLevel="0" collapsed="false">
      <c r="A729" s="2" t="s">
        <v>28</v>
      </c>
    </row>
    <row r="730" customFormat="false" ht="12.8" hidden="false" customHeight="false" outlineLevel="0" collapsed="false">
      <c r="A730" s="2" t="s">
        <v>28</v>
      </c>
    </row>
    <row r="731" customFormat="false" ht="12.8" hidden="false" customHeight="false" outlineLevel="0" collapsed="false">
      <c r="A731" s="2" t="s">
        <v>28</v>
      </c>
    </row>
    <row r="732" customFormat="false" ht="12.8" hidden="false" customHeight="false" outlineLevel="0" collapsed="false">
      <c r="A732" s="2" t="s">
        <v>28</v>
      </c>
    </row>
    <row r="733" customFormat="false" ht="12.8" hidden="false" customHeight="false" outlineLevel="0" collapsed="false">
      <c r="A733" s="2" t="s">
        <v>28</v>
      </c>
    </row>
    <row r="734" customFormat="false" ht="12.8" hidden="false" customHeight="false" outlineLevel="0" collapsed="false">
      <c r="A734" s="2" t="s">
        <v>28</v>
      </c>
    </row>
    <row r="735" customFormat="false" ht="12.8" hidden="false" customHeight="false" outlineLevel="0" collapsed="false">
      <c r="A735" s="2" t="s">
        <v>36</v>
      </c>
    </row>
    <row r="736" customFormat="false" ht="12.8" hidden="false" customHeight="false" outlineLevel="0" collapsed="false">
      <c r="A736" s="2" t="s">
        <v>28</v>
      </c>
    </row>
    <row r="737" customFormat="false" ht="12.8" hidden="false" customHeight="false" outlineLevel="0" collapsed="false">
      <c r="A737" s="2" t="s">
        <v>28</v>
      </c>
    </row>
    <row r="738" customFormat="false" ht="12.8" hidden="false" customHeight="false" outlineLevel="0" collapsed="false">
      <c r="A738" s="2" t="s">
        <v>28</v>
      </c>
    </row>
    <row r="739" customFormat="false" ht="12.8" hidden="false" customHeight="false" outlineLevel="0" collapsed="false">
      <c r="A739" s="2" t="s">
        <v>28</v>
      </c>
    </row>
    <row r="740" customFormat="false" ht="12.8" hidden="false" customHeight="false" outlineLevel="0" collapsed="false">
      <c r="A740" s="2" t="s">
        <v>28</v>
      </c>
    </row>
    <row r="741" customFormat="false" ht="12.8" hidden="false" customHeight="false" outlineLevel="0" collapsed="false">
      <c r="A741" s="2" t="s">
        <v>28</v>
      </c>
    </row>
    <row r="742" customFormat="false" ht="12.8" hidden="false" customHeight="false" outlineLevel="0" collapsed="false">
      <c r="A742" s="2" t="s">
        <v>28</v>
      </c>
    </row>
    <row r="743" customFormat="false" ht="12.8" hidden="false" customHeight="false" outlineLevel="0" collapsed="false">
      <c r="A743" s="2" t="s">
        <v>28</v>
      </c>
    </row>
    <row r="744" customFormat="false" ht="12.8" hidden="false" customHeight="false" outlineLevel="0" collapsed="false">
      <c r="A744" s="2" t="s">
        <v>28</v>
      </c>
    </row>
    <row r="745" customFormat="false" ht="12.8" hidden="false" customHeight="false" outlineLevel="0" collapsed="false">
      <c r="A745" s="2" t="s">
        <v>28</v>
      </c>
    </row>
    <row r="746" customFormat="false" ht="12.8" hidden="false" customHeight="false" outlineLevel="0" collapsed="false">
      <c r="A746" s="2" t="s">
        <v>28</v>
      </c>
    </row>
    <row r="747" customFormat="false" ht="12.8" hidden="false" customHeight="false" outlineLevel="0" collapsed="false">
      <c r="A747" s="2" t="s">
        <v>36</v>
      </c>
    </row>
    <row r="748" customFormat="false" ht="12.8" hidden="false" customHeight="false" outlineLevel="0" collapsed="false">
      <c r="A748" s="2" t="s">
        <v>28</v>
      </c>
    </row>
    <row r="749" customFormat="false" ht="12.8" hidden="false" customHeight="false" outlineLevel="0" collapsed="false">
      <c r="A749" s="2" t="s">
        <v>28</v>
      </c>
    </row>
    <row r="750" customFormat="false" ht="12.8" hidden="false" customHeight="false" outlineLevel="0" collapsed="false">
      <c r="A750" s="2" t="s">
        <v>28</v>
      </c>
    </row>
    <row r="751" customFormat="false" ht="12.8" hidden="false" customHeight="false" outlineLevel="0" collapsed="false">
      <c r="A751" s="2" t="s">
        <v>28</v>
      </c>
    </row>
    <row r="752" customFormat="false" ht="12.8" hidden="false" customHeight="false" outlineLevel="0" collapsed="false">
      <c r="A752" s="2" t="s">
        <v>28</v>
      </c>
    </row>
    <row r="753" customFormat="false" ht="12.8" hidden="false" customHeight="false" outlineLevel="0" collapsed="false">
      <c r="A753" s="2" t="s">
        <v>28</v>
      </c>
    </row>
    <row r="754" customFormat="false" ht="12.8" hidden="false" customHeight="false" outlineLevel="0" collapsed="false">
      <c r="A754" s="2" t="s">
        <v>28</v>
      </c>
    </row>
    <row r="755" customFormat="false" ht="12.8" hidden="false" customHeight="false" outlineLevel="0" collapsed="false">
      <c r="A755" s="2" t="s">
        <v>28</v>
      </c>
    </row>
    <row r="756" customFormat="false" ht="12.8" hidden="false" customHeight="false" outlineLevel="0" collapsed="false">
      <c r="A756" s="2" t="s">
        <v>28</v>
      </c>
    </row>
    <row r="757" customFormat="false" ht="12.8" hidden="false" customHeight="false" outlineLevel="0" collapsed="false">
      <c r="A757" s="2" t="s">
        <v>28</v>
      </c>
    </row>
    <row r="758" customFormat="false" ht="12.8" hidden="false" customHeight="false" outlineLevel="0" collapsed="false">
      <c r="A758" s="2" t="s">
        <v>28</v>
      </c>
    </row>
    <row r="759" customFormat="false" ht="12.8" hidden="false" customHeight="false" outlineLevel="0" collapsed="false">
      <c r="A759" s="2" t="s">
        <v>28</v>
      </c>
    </row>
    <row r="760" customFormat="false" ht="12.8" hidden="false" customHeight="false" outlineLevel="0" collapsed="false">
      <c r="A760" s="2" t="s">
        <v>28</v>
      </c>
    </row>
    <row r="761" customFormat="false" ht="12.8" hidden="false" customHeight="false" outlineLevel="0" collapsed="false">
      <c r="A761" s="2" t="s">
        <v>28</v>
      </c>
    </row>
    <row r="762" customFormat="false" ht="12.8" hidden="false" customHeight="false" outlineLevel="0" collapsed="false">
      <c r="A762" s="2" t="s">
        <v>28</v>
      </c>
    </row>
    <row r="763" customFormat="false" ht="12.8" hidden="false" customHeight="false" outlineLevel="0" collapsed="false">
      <c r="A763" s="2" t="s">
        <v>28</v>
      </c>
    </row>
    <row r="764" customFormat="false" ht="12.8" hidden="false" customHeight="false" outlineLevel="0" collapsed="false">
      <c r="A764" s="2" t="s">
        <v>28</v>
      </c>
    </row>
    <row r="765" customFormat="false" ht="12.8" hidden="false" customHeight="false" outlineLevel="0" collapsed="false">
      <c r="A765" s="2" t="s">
        <v>28</v>
      </c>
    </row>
    <row r="766" customFormat="false" ht="12.8" hidden="false" customHeight="false" outlineLevel="0" collapsed="false">
      <c r="A766" s="2" t="s">
        <v>28</v>
      </c>
    </row>
    <row r="767" customFormat="false" ht="12.8" hidden="false" customHeight="false" outlineLevel="0" collapsed="false">
      <c r="A767" s="2" t="s">
        <v>28</v>
      </c>
    </row>
    <row r="768" customFormat="false" ht="12.8" hidden="false" customHeight="false" outlineLevel="0" collapsed="false">
      <c r="A768" s="2" t="s">
        <v>28</v>
      </c>
    </row>
    <row r="769" customFormat="false" ht="12.8" hidden="false" customHeight="false" outlineLevel="0" collapsed="false">
      <c r="A769" s="2" t="s">
        <v>28</v>
      </c>
    </row>
    <row r="770" customFormat="false" ht="12.8" hidden="false" customHeight="false" outlineLevel="0" collapsed="false">
      <c r="A770" s="2" t="s">
        <v>28</v>
      </c>
    </row>
    <row r="771" customFormat="false" ht="12.8" hidden="false" customHeight="false" outlineLevel="0" collapsed="false">
      <c r="A771" s="2" t="s">
        <v>28</v>
      </c>
    </row>
    <row r="772" customFormat="false" ht="12.8" hidden="false" customHeight="false" outlineLevel="0" collapsed="false">
      <c r="A772" s="2" t="s">
        <v>28</v>
      </c>
    </row>
    <row r="773" customFormat="false" ht="12.8" hidden="false" customHeight="false" outlineLevel="0" collapsed="false">
      <c r="A773" s="2" t="s">
        <v>28</v>
      </c>
    </row>
    <row r="774" customFormat="false" ht="12.8" hidden="false" customHeight="false" outlineLevel="0" collapsed="false">
      <c r="A774" s="2" t="s">
        <v>28</v>
      </c>
    </row>
    <row r="775" customFormat="false" ht="12.8" hidden="false" customHeight="false" outlineLevel="0" collapsed="false">
      <c r="A775" s="2" t="s">
        <v>28</v>
      </c>
    </row>
    <row r="776" customFormat="false" ht="12.8" hidden="false" customHeight="false" outlineLevel="0" collapsed="false">
      <c r="A776" s="2" t="s">
        <v>28</v>
      </c>
    </row>
    <row r="777" customFormat="false" ht="12.8" hidden="false" customHeight="false" outlineLevel="0" collapsed="false">
      <c r="A777" s="2" t="s">
        <v>28</v>
      </c>
    </row>
    <row r="778" customFormat="false" ht="12.8" hidden="false" customHeight="false" outlineLevel="0" collapsed="false">
      <c r="A778" s="2" t="s">
        <v>28</v>
      </c>
    </row>
    <row r="779" customFormat="false" ht="12.8" hidden="false" customHeight="false" outlineLevel="0" collapsed="false">
      <c r="A779" s="2" t="s">
        <v>28</v>
      </c>
    </row>
    <row r="780" customFormat="false" ht="12.8" hidden="false" customHeight="false" outlineLevel="0" collapsed="false">
      <c r="A780" s="2" t="s">
        <v>28</v>
      </c>
    </row>
    <row r="781" customFormat="false" ht="12.8" hidden="false" customHeight="false" outlineLevel="0" collapsed="false">
      <c r="A781" s="2" t="s">
        <v>28</v>
      </c>
    </row>
    <row r="782" customFormat="false" ht="12.8" hidden="false" customHeight="false" outlineLevel="0" collapsed="false">
      <c r="A782" s="2" t="s">
        <v>28</v>
      </c>
    </row>
    <row r="783" customFormat="false" ht="12.8" hidden="false" customHeight="false" outlineLevel="0" collapsed="false">
      <c r="A783" s="2" t="s">
        <v>28</v>
      </c>
    </row>
    <row r="784" customFormat="false" ht="12.8" hidden="false" customHeight="false" outlineLevel="0" collapsed="false">
      <c r="A784" s="2" t="s">
        <v>28</v>
      </c>
    </row>
    <row r="785" customFormat="false" ht="12.8" hidden="false" customHeight="false" outlineLevel="0" collapsed="false">
      <c r="A785" s="2" t="s">
        <v>28</v>
      </c>
    </row>
    <row r="786" customFormat="false" ht="12.8" hidden="false" customHeight="false" outlineLevel="0" collapsed="false">
      <c r="A786" s="2" t="s">
        <v>28</v>
      </c>
    </row>
    <row r="787" customFormat="false" ht="12.8" hidden="false" customHeight="false" outlineLevel="0" collapsed="false">
      <c r="A787" s="2" t="s">
        <v>28</v>
      </c>
    </row>
    <row r="788" customFormat="false" ht="12.8" hidden="false" customHeight="false" outlineLevel="0" collapsed="false">
      <c r="A788" s="2" t="s">
        <v>28</v>
      </c>
    </row>
    <row r="789" customFormat="false" ht="12.8" hidden="false" customHeight="false" outlineLevel="0" collapsed="false">
      <c r="A789" s="2" t="s">
        <v>28</v>
      </c>
    </row>
    <row r="790" customFormat="false" ht="12.8" hidden="false" customHeight="false" outlineLevel="0" collapsed="false">
      <c r="A790" s="2" t="s">
        <v>28</v>
      </c>
    </row>
    <row r="791" customFormat="false" ht="12.8" hidden="false" customHeight="false" outlineLevel="0" collapsed="false">
      <c r="A791" s="2" t="s">
        <v>28</v>
      </c>
    </row>
    <row r="792" customFormat="false" ht="12.8" hidden="false" customHeight="false" outlineLevel="0" collapsed="false">
      <c r="A792" s="2" t="s">
        <v>28</v>
      </c>
    </row>
    <row r="793" customFormat="false" ht="12.8" hidden="false" customHeight="false" outlineLevel="0" collapsed="false">
      <c r="A793" s="2" t="s">
        <v>28</v>
      </c>
    </row>
    <row r="794" customFormat="false" ht="12.8" hidden="false" customHeight="false" outlineLevel="0" collapsed="false">
      <c r="A794" s="2" t="s">
        <v>28</v>
      </c>
    </row>
    <row r="795" customFormat="false" ht="12.8" hidden="false" customHeight="false" outlineLevel="0" collapsed="false">
      <c r="A795" s="2" t="s">
        <v>28</v>
      </c>
    </row>
    <row r="796" customFormat="false" ht="12.8" hidden="false" customHeight="false" outlineLevel="0" collapsed="false">
      <c r="A796" s="2" t="s">
        <v>28</v>
      </c>
    </row>
    <row r="797" customFormat="false" ht="12.8" hidden="false" customHeight="false" outlineLevel="0" collapsed="false">
      <c r="A797" s="2" t="s">
        <v>28</v>
      </c>
    </row>
    <row r="798" customFormat="false" ht="12.8" hidden="false" customHeight="false" outlineLevel="0" collapsed="false">
      <c r="A798" s="2" t="s">
        <v>28</v>
      </c>
    </row>
    <row r="799" customFormat="false" ht="12.8" hidden="false" customHeight="false" outlineLevel="0" collapsed="false">
      <c r="A799" s="2" t="s">
        <v>28</v>
      </c>
    </row>
    <row r="800" customFormat="false" ht="12.8" hidden="false" customHeight="false" outlineLevel="0" collapsed="false">
      <c r="A800" s="2" t="s">
        <v>28</v>
      </c>
    </row>
    <row r="801" customFormat="false" ht="12.8" hidden="false" customHeight="false" outlineLevel="0" collapsed="false">
      <c r="A801" s="2" t="s">
        <v>28</v>
      </c>
    </row>
    <row r="802" customFormat="false" ht="12.8" hidden="false" customHeight="false" outlineLevel="0" collapsed="false">
      <c r="A802" s="2" t="s">
        <v>28</v>
      </c>
    </row>
    <row r="803" customFormat="false" ht="12.8" hidden="false" customHeight="false" outlineLevel="0" collapsed="false">
      <c r="A803" s="2" t="s">
        <v>28</v>
      </c>
    </row>
    <row r="804" customFormat="false" ht="12.8" hidden="false" customHeight="false" outlineLevel="0" collapsed="false">
      <c r="A804" s="2" t="s">
        <v>28</v>
      </c>
    </row>
    <row r="805" customFormat="false" ht="12.8" hidden="false" customHeight="false" outlineLevel="0" collapsed="false">
      <c r="A805" s="2" t="s">
        <v>28</v>
      </c>
    </row>
    <row r="806" customFormat="false" ht="12.8" hidden="false" customHeight="false" outlineLevel="0" collapsed="false">
      <c r="A806" s="2" t="s">
        <v>28</v>
      </c>
    </row>
    <row r="807" customFormat="false" ht="12.8" hidden="false" customHeight="false" outlineLevel="0" collapsed="false">
      <c r="A807" s="2" t="s">
        <v>28</v>
      </c>
    </row>
    <row r="808" customFormat="false" ht="12.8" hidden="false" customHeight="false" outlineLevel="0" collapsed="false">
      <c r="A808" s="2" t="s">
        <v>28</v>
      </c>
    </row>
    <row r="809" customFormat="false" ht="12.8" hidden="false" customHeight="false" outlineLevel="0" collapsed="false">
      <c r="A809" s="2" t="s">
        <v>28</v>
      </c>
    </row>
    <row r="810" customFormat="false" ht="12.8" hidden="false" customHeight="false" outlineLevel="0" collapsed="false">
      <c r="A810" s="2" t="s">
        <v>28</v>
      </c>
    </row>
    <row r="811" customFormat="false" ht="12.8" hidden="false" customHeight="false" outlineLevel="0" collapsed="false">
      <c r="A811" s="2" t="s">
        <v>28</v>
      </c>
    </row>
    <row r="812" customFormat="false" ht="12.8" hidden="false" customHeight="false" outlineLevel="0" collapsed="false">
      <c r="A812" s="2" t="s">
        <v>84</v>
      </c>
    </row>
    <row r="813" customFormat="false" ht="12.8" hidden="false" customHeight="false" outlineLevel="0" collapsed="false">
      <c r="A813" s="2" t="s">
        <v>28</v>
      </c>
    </row>
    <row r="814" customFormat="false" ht="12.8" hidden="false" customHeight="false" outlineLevel="0" collapsed="false">
      <c r="A814" s="2" t="s">
        <v>28</v>
      </c>
    </row>
    <row r="815" customFormat="false" ht="12.8" hidden="false" customHeight="false" outlineLevel="0" collapsed="false">
      <c r="A815" s="2" t="s">
        <v>28</v>
      </c>
    </row>
    <row r="816" customFormat="false" ht="12.8" hidden="false" customHeight="false" outlineLevel="0" collapsed="false">
      <c r="A816" s="2" t="s">
        <v>28</v>
      </c>
    </row>
    <row r="817" customFormat="false" ht="12.8" hidden="false" customHeight="false" outlineLevel="0" collapsed="false">
      <c r="A817" s="2" t="s">
        <v>84</v>
      </c>
    </row>
    <row r="818" customFormat="false" ht="12.8" hidden="false" customHeight="false" outlineLevel="0" collapsed="false">
      <c r="A818" s="2" t="s">
        <v>28</v>
      </c>
    </row>
    <row r="819" customFormat="false" ht="12.8" hidden="false" customHeight="false" outlineLevel="0" collapsed="false">
      <c r="A819" s="2" t="s">
        <v>28</v>
      </c>
    </row>
    <row r="820" customFormat="false" ht="12.8" hidden="false" customHeight="false" outlineLevel="0" collapsed="false">
      <c r="A820" s="2" t="s">
        <v>28</v>
      </c>
    </row>
    <row r="821" customFormat="false" ht="12.8" hidden="false" customHeight="false" outlineLevel="0" collapsed="false">
      <c r="A821" s="2" t="s">
        <v>28</v>
      </c>
    </row>
    <row r="822" customFormat="false" ht="12.8" hidden="false" customHeight="false" outlineLevel="0" collapsed="false">
      <c r="A822" s="2" t="s">
        <v>28</v>
      </c>
    </row>
    <row r="823" customFormat="false" ht="12.8" hidden="false" customHeight="false" outlineLevel="0" collapsed="false">
      <c r="A823" s="2" t="s">
        <v>28</v>
      </c>
    </row>
    <row r="824" customFormat="false" ht="12.8" hidden="false" customHeight="false" outlineLevel="0" collapsed="false">
      <c r="A824" s="2" t="s">
        <v>28</v>
      </c>
    </row>
    <row r="825" customFormat="false" ht="12.8" hidden="false" customHeight="false" outlineLevel="0" collapsed="false">
      <c r="A825" s="2" t="s">
        <v>28</v>
      </c>
    </row>
    <row r="826" customFormat="false" ht="12.8" hidden="false" customHeight="false" outlineLevel="0" collapsed="false">
      <c r="A826" s="2" t="s">
        <v>28</v>
      </c>
    </row>
    <row r="827" customFormat="false" ht="12.8" hidden="false" customHeight="false" outlineLevel="0" collapsed="false">
      <c r="A827" s="2" t="s">
        <v>28</v>
      </c>
    </row>
    <row r="828" customFormat="false" ht="12.8" hidden="false" customHeight="false" outlineLevel="0" collapsed="false">
      <c r="A828" s="2" t="s">
        <v>28</v>
      </c>
    </row>
    <row r="829" customFormat="false" ht="12.8" hidden="false" customHeight="false" outlineLevel="0" collapsed="false">
      <c r="A829" s="2" t="s">
        <v>28</v>
      </c>
    </row>
    <row r="830" customFormat="false" ht="12.8" hidden="false" customHeight="false" outlineLevel="0" collapsed="false">
      <c r="A830" s="2" t="s">
        <v>28</v>
      </c>
    </row>
    <row r="831" customFormat="false" ht="12.8" hidden="false" customHeight="false" outlineLevel="0" collapsed="false">
      <c r="A831" s="2" t="s">
        <v>28</v>
      </c>
    </row>
    <row r="832" customFormat="false" ht="12.8" hidden="false" customHeight="false" outlineLevel="0" collapsed="false">
      <c r="A832" s="2" t="s">
        <v>28</v>
      </c>
    </row>
    <row r="833" customFormat="false" ht="12.8" hidden="false" customHeight="false" outlineLevel="0" collapsed="false">
      <c r="A833" s="2" t="s">
        <v>28</v>
      </c>
    </row>
    <row r="834" customFormat="false" ht="12.8" hidden="false" customHeight="false" outlineLevel="0" collapsed="false">
      <c r="A834" s="2" t="s">
        <v>28</v>
      </c>
    </row>
    <row r="835" customFormat="false" ht="12.8" hidden="false" customHeight="false" outlineLevel="0" collapsed="false">
      <c r="A835" s="2" t="s">
        <v>28</v>
      </c>
    </row>
    <row r="836" customFormat="false" ht="12.8" hidden="false" customHeight="false" outlineLevel="0" collapsed="false">
      <c r="A836" s="2" t="s">
        <v>28</v>
      </c>
    </row>
    <row r="837" customFormat="false" ht="12.8" hidden="false" customHeight="false" outlineLevel="0" collapsed="false">
      <c r="A837" s="2" t="s">
        <v>28</v>
      </c>
    </row>
    <row r="838" customFormat="false" ht="12.8" hidden="false" customHeight="false" outlineLevel="0" collapsed="false">
      <c r="A838" s="2" t="s">
        <v>28</v>
      </c>
    </row>
    <row r="839" customFormat="false" ht="12.8" hidden="false" customHeight="false" outlineLevel="0" collapsed="false">
      <c r="A839" s="2" t="s">
        <v>28</v>
      </c>
    </row>
    <row r="840" customFormat="false" ht="12.8" hidden="false" customHeight="false" outlineLevel="0" collapsed="false">
      <c r="A840" s="2" t="s">
        <v>36</v>
      </c>
    </row>
    <row r="841" customFormat="false" ht="12.8" hidden="false" customHeight="false" outlineLevel="0" collapsed="false">
      <c r="A841" s="2" t="s">
        <v>28</v>
      </c>
    </row>
    <row r="842" customFormat="false" ht="12.8" hidden="false" customHeight="false" outlineLevel="0" collapsed="false">
      <c r="A842" s="2" t="s">
        <v>28</v>
      </c>
    </row>
    <row r="843" customFormat="false" ht="12.8" hidden="false" customHeight="false" outlineLevel="0" collapsed="false">
      <c r="A843" s="2" t="s">
        <v>28</v>
      </c>
    </row>
    <row r="844" customFormat="false" ht="12.8" hidden="false" customHeight="false" outlineLevel="0" collapsed="false">
      <c r="A844" s="2" t="s">
        <v>28</v>
      </c>
    </row>
    <row r="845" customFormat="false" ht="12.8" hidden="false" customHeight="false" outlineLevel="0" collapsed="false">
      <c r="A845" s="2" t="s">
        <v>28</v>
      </c>
    </row>
    <row r="846" customFormat="false" ht="12.8" hidden="false" customHeight="false" outlineLevel="0" collapsed="false">
      <c r="A846" s="2" t="s">
        <v>28</v>
      </c>
    </row>
    <row r="847" customFormat="false" ht="12.8" hidden="false" customHeight="false" outlineLevel="0" collapsed="false">
      <c r="A847" s="2" t="s">
        <v>28</v>
      </c>
    </row>
    <row r="848" customFormat="false" ht="12.8" hidden="false" customHeight="false" outlineLevel="0" collapsed="false">
      <c r="A848" s="2" t="s">
        <v>28</v>
      </c>
    </row>
    <row r="849" customFormat="false" ht="12.8" hidden="false" customHeight="false" outlineLevel="0" collapsed="false">
      <c r="A849" s="2" t="s">
        <v>28</v>
      </c>
    </row>
    <row r="850" customFormat="false" ht="12.8" hidden="false" customHeight="false" outlineLevel="0" collapsed="false">
      <c r="A850" s="2" t="s">
        <v>28</v>
      </c>
    </row>
    <row r="851" customFormat="false" ht="12.8" hidden="false" customHeight="false" outlineLevel="0" collapsed="false">
      <c r="A851" s="2" t="s">
        <v>28</v>
      </c>
    </row>
    <row r="852" customFormat="false" ht="12.8" hidden="false" customHeight="false" outlineLevel="0" collapsed="false">
      <c r="A852" s="2" t="s">
        <v>28</v>
      </c>
    </row>
    <row r="853" customFormat="false" ht="12.8" hidden="false" customHeight="false" outlineLevel="0" collapsed="false">
      <c r="A853" s="2" t="s">
        <v>28</v>
      </c>
    </row>
    <row r="854" customFormat="false" ht="12.8" hidden="false" customHeight="false" outlineLevel="0" collapsed="false">
      <c r="A854" s="2" t="s">
        <v>28</v>
      </c>
    </row>
    <row r="855" customFormat="false" ht="12.8" hidden="false" customHeight="false" outlineLevel="0" collapsed="false">
      <c r="A855" s="2" t="s">
        <v>28</v>
      </c>
    </row>
    <row r="856" customFormat="false" ht="12.8" hidden="false" customHeight="false" outlineLevel="0" collapsed="false">
      <c r="A856" s="2" t="s">
        <v>28</v>
      </c>
    </row>
    <row r="857" customFormat="false" ht="12.8" hidden="false" customHeight="false" outlineLevel="0" collapsed="false">
      <c r="A857" s="2" t="s">
        <v>28</v>
      </c>
    </row>
    <row r="858" customFormat="false" ht="12.8" hidden="false" customHeight="false" outlineLevel="0" collapsed="false">
      <c r="A858" s="2" t="s">
        <v>28</v>
      </c>
    </row>
    <row r="859" customFormat="false" ht="12.8" hidden="false" customHeight="false" outlineLevel="0" collapsed="false">
      <c r="A859" s="2" t="s">
        <v>28</v>
      </c>
    </row>
    <row r="860" customFormat="false" ht="12.8" hidden="false" customHeight="false" outlineLevel="0" collapsed="false">
      <c r="A860" s="2" t="s">
        <v>28</v>
      </c>
    </row>
    <row r="861" customFormat="false" ht="12.8" hidden="false" customHeight="false" outlineLevel="0" collapsed="false">
      <c r="A861" s="2" t="s">
        <v>28</v>
      </c>
    </row>
    <row r="862" customFormat="false" ht="12.8" hidden="false" customHeight="false" outlineLevel="0" collapsed="false">
      <c r="A862" s="2" t="s">
        <v>28</v>
      </c>
    </row>
    <row r="863" customFormat="false" ht="12.8" hidden="false" customHeight="false" outlineLevel="0" collapsed="false">
      <c r="A863" s="2" t="s">
        <v>28</v>
      </c>
    </row>
    <row r="864" customFormat="false" ht="12.8" hidden="false" customHeight="false" outlineLevel="0" collapsed="false">
      <c r="A864" s="2" t="s">
        <v>28</v>
      </c>
    </row>
    <row r="865" customFormat="false" ht="12.8" hidden="false" customHeight="false" outlineLevel="0" collapsed="false">
      <c r="A865" s="2" t="s">
        <v>28</v>
      </c>
    </row>
    <row r="866" customFormat="false" ht="12.8" hidden="false" customHeight="false" outlineLevel="0" collapsed="false">
      <c r="A866" s="2" t="s">
        <v>28</v>
      </c>
    </row>
    <row r="867" customFormat="false" ht="12.8" hidden="false" customHeight="false" outlineLevel="0" collapsed="false">
      <c r="A867" s="2" t="s">
        <v>28</v>
      </c>
    </row>
    <row r="868" customFormat="false" ht="12.8" hidden="false" customHeight="false" outlineLevel="0" collapsed="false">
      <c r="A868" s="2" t="s">
        <v>36</v>
      </c>
    </row>
    <row r="869" customFormat="false" ht="12.8" hidden="false" customHeight="false" outlineLevel="0" collapsed="false">
      <c r="A869" s="2" t="s">
        <v>36</v>
      </c>
    </row>
    <row r="870" customFormat="false" ht="12.8" hidden="false" customHeight="false" outlineLevel="0" collapsed="false">
      <c r="A870" s="2" t="s">
        <v>28</v>
      </c>
    </row>
    <row r="871" customFormat="false" ht="12.8" hidden="false" customHeight="false" outlineLevel="0" collapsed="false">
      <c r="A871" s="2" t="s">
        <v>28</v>
      </c>
    </row>
    <row r="872" customFormat="false" ht="12.8" hidden="false" customHeight="false" outlineLevel="0" collapsed="false">
      <c r="A872" s="2" t="s">
        <v>28</v>
      </c>
    </row>
    <row r="873" customFormat="false" ht="12.8" hidden="false" customHeight="false" outlineLevel="0" collapsed="false">
      <c r="A873" s="2" t="s">
        <v>28</v>
      </c>
    </row>
    <row r="874" customFormat="false" ht="12.8" hidden="false" customHeight="false" outlineLevel="0" collapsed="false">
      <c r="A874" s="2" t="s">
        <v>36</v>
      </c>
    </row>
    <row r="875" customFormat="false" ht="12.8" hidden="false" customHeight="false" outlineLevel="0" collapsed="false">
      <c r="A875" s="2" t="s">
        <v>28</v>
      </c>
    </row>
    <row r="876" customFormat="false" ht="12.8" hidden="false" customHeight="false" outlineLevel="0" collapsed="false">
      <c r="A876" s="2" t="s">
        <v>28</v>
      </c>
    </row>
    <row r="877" customFormat="false" ht="12.8" hidden="false" customHeight="false" outlineLevel="0" collapsed="false">
      <c r="A877" s="2" t="s">
        <v>28</v>
      </c>
    </row>
    <row r="878" customFormat="false" ht="12.8" hidden="false" customHeight="false" outlineLevel="0" collapsed="false">
      <c r="A878" s="2" t="s">
        <v>36</v>
      </c>
    </row>
    <row r="879" customFormat="false" ht="12.8" hidden="false" customHeight="false" outlineLevel="0" collapsed="false">
      <c r="A879" s="2" t="s">
        <v>28</v>
      </c>
    </row>
    <row r="880" customFormat="false" ht="12.8" hidden="false" customHeight="false" outlineLevel="0" collapsed="false">
      <c r="A880" s="2" t="s">
        <v>28</v>
      </c>
    </row>
    <row r="881" customFormat="false" ht="12.8" hidden="false" customHeight="false" outlineLevel="0" collapsed="false">
      <c r="A881" s="2" t="s">
        <v>28</v>
      </c>
    </row>
    <row r="882" customFormat="false" ht="12.8" hidden="false" customHeight="false" outlineLevel="0" collapsed="false">
      <c r="A882" s="2" t="s">
        <v>28</v>
      </c>
    </row>
    <row r="883" customFormat="false" ht="12.8" hidden="false" customHeight="false" outlineLevel="0" collapsed="false">
      <c r="A883" s="2" t="s">
        <v>28</v>
      </c>
    </row>
    <row r="884" customFormat="false" ht="12.8" hidden="false" customHeight="false" outlineLevel="0" collapsed="false">
      <c r="A884" s="2" t="s">
        <v>28</v>
      </c>
    </row>
    <row r="885" customFormat="false" ht="12.8" hidden="false" customHeight="false" outlineLevel="0" collapsed="false">
      <c r="A885" s="2" t="s">
        <v>28</v>
      </c>
    </row>
    <row r="886" customFormat="false" ht="12.8" hidden="false" customHeight="false" outlineLevel="0" collapsed="false">
      <c r="A886" s="2" t="s">
        <v>28</v>
      </c>
    </row>
    <row r="887" customFormat="false" ht="12.8" hidden="false" customHeight="false" outlineLevel="0" collapsed="false">
      <c r="A887" s="2" t="s">
        <v>28</v>
      </c>
    </row>
    <row r="888" customFormat="false" ht="12.8" hidden="false" customHeight="false" outlineLevel="0" collapsed="false">
      <c r="A888" s="2" t="s">
        <v>28</v>
      </c>
    </row>
    <row r="889" customFormat="false" ht="12.8" hidden="false" customHeight="false" outlineLevel="0" collapsed="false">
      <c r="A889" s="2" t="s">
        <v>36</v>
      </c>
    </row>
    <row r="890" customFormat="false" ht="12.8" hidden="false" customHeight="false" outlineLevel="0" collapsed="false">
      <c r="A890" s="2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2026-07-27T12:11:26Z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